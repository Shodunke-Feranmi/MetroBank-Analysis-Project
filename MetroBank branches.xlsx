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10"/>
  <workbookPr hidePivotFieldList="1" defaultThemeVersion="166925"/>
  <mc:AlternateContent xmlns:mc="http://schemas.openxmlformats.org/markup-compatibility/2006">
    <mc:Choice Requires="x15">
      <x15ac:absPath xmlns:x15ac="http://schemas.microsoft.com/office/spreadsheetml/2010/11/ac" url="C:\Users\User\Downloads\Data Analysis\Projects Completed\MetroBank Project\"/>
    </mc:Choice>
  </mc:AlternateContent>
  <xr:revisionPtr revIDLastSave="0" documentId="13_ncr:1_{4B66D23B-BD0C-4015-BAD4-EA3E3D14D7DF}" xr6:coauthVersionLast="47" xr6:coauthVersionMax="47" xr10:uidLastSave="{00000000-0000-0000-0000-000000000000}"/>
  <bookViews>
    <workbookView xWindow="-120" yWindow="-120" windowWidth="20730" windowHeight="11160" activeTab="3" xr2:uid="{D5325CE0-FB7C-46EF-84D3-A79138F60428}"/>
  </bookViews>
  <sheets>
    <sheet name="MetroBank branches" sheetId="1" r:id="rId1"/>
    <sheet name="Pivot Tables" sheetId="2" r:id="rId2"/>
    <sheet name="Insights" sheetId="11" r:id="rId3"/>
    <sheet name="Dashboard" sheetId="6" r:id="rId4"/>
  </sheets>
  <definedNames>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H2" i="1" l="1"/>
  <c r="H3" i="1"/>
  <c r="H4" i="1"/>
  <c r="H5" i="1"/>
  <c r="H6" i="1"/>
  <c r="H7" i="1"/>
  <c r="H8" i="1"/>
  <c r="H9" i="1"/>
  <c r="H10" i="1"/>
  <c r="H11" i="1"/>
  <c r="H12" i="1"/>
  <c r="H13" i="1"/>
  <c r="H14" i="1"/>
  <c r="H15" i="1"/>
  <c r="H16" i="1"/>
  <c r="H17" i="1"/>
  <c r="H18" i="1"/>
  <c r="H19" i="1"/>
  <c r="H20" i="1"/>
  <c r="H21" i="1"/>
  <c r="H5" i="2"/>
  <c r="H4" i="2"/>
  <c r="G3" i="1"/>
  <c r="G4" i="1"/>
  <c r="G5" i="1"/>
  <c r="G6" i="1"/>
  <c r="G7" i="1"/>
  <c r="G8" i="1"/>
  <c r="G9" i="1"/>
  <c r="G10" i="1"/>
  <c r="G11" i="1"/>
  <c r="G12" i="1"/>
  <c r="G13" i="1"/>
  <c r="G14" i="1"/>
  <c r="G15" i="1"/>
  <c r="G16" i="1"/>
  <c r="G17" i="1"/>
  <c r="G18" i="1"/>
  <c r="G19" i="1"/>
  <c r="G20" i="1"/>
  <c r="G21" i="1"/>
  <c r="G2" i="1"/>
  <c r="H3" i="2"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F1DE566-FC8C-48CC-82E7-1D22106C1147}" keepAlive="1" name="Query - Merge1" description="Connection to the 'Merge1' query in the workbook." type="5" refreshedVersion="0" background="1">
    <dbPr connection="Provider=Microsoft.Mashup.OleDb.1;Data Source=$Workbook$;Location=Merge1;Extended Properties=&quot;&quot;" command="SELECT * FROM [Merge1]"/>
  </connection>
  <connection id="2" xr16:uid="{5F1EA6B8-6628-4CA3-8268-500DF10C4110}" keepAlive="1" name="Query - Table1" description="Connection to the 'Table1' query in the workbook." type="5" refreshedVersion="0" background="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<sst xmlns="http://schemas.openxmlformats.org/spreadsheetml/2006/main" count="248" uniqueCount="67">
  <si>
    <t>BranchID</t>
  </si>
  <si>
    <t>Region</t>
  </si>
  <si>
    <t>City</t>
  </si>
  <si>
    <t>Revenue</t>
  </si>
  <si>
    <t>BR001</t>
  </si>
  <si>
    <t>West</t>
  </si>
  <si>
    <t>West Loganmouth</t>
  </si>
  <si>
    <t>BR002</t>
  </si>
  <si>
    <t>North</t>
  </si>
  <si>
    <t>West Robert</t>
  </si>
  <si>
    <t>BR003</t>
  </si>
  <si>
    <t>South</t>
  </si>
  <si>
    <t>North Daniel</t>
  </si>
  <si>
    <t>BR004</t>
  </si>
  <si>
    <t>Stevenfurt</t>
  </si>
  <si>
    <t>BR005</t>
  </si>
  <si>
    <t>Robertaport</t>
  </si>
  <si>
    <t>BR006</t>
  </si>
  <si>
    <t>Javiertown</t>
  </si>
  <si>
    <t>BR007</t>
  </si>
  <si>
    <t>New Adrienne</t>
  </si>
  <si>
    <t>BR008</t>
  </si>
  <si>
    <t>East</t>
  </si>
  <si>
    <t>West Linda</t>
  </si>
  <si>
    <t>BR009</t>
  </si>
  <si>
    <t>Hurleyview</t>
  </si>
  <si>
    <t>BR010</t>
  </si>
  <si>
    <t>Brittanyland</t>
  </si>
  <si>
    <t>BR011</t>
  </si>
  <si>
    <t>South Andrew</t>
  </si>
  <si>
    <t>BR012</t>
  </si>
  <si>
    <t>Lisaville</t>
  </si>
  <si>
    <t>BR013</t>
  </si>
  <si>
    <t>Caldwellburgh</t>
  </si>
  <si>
    <t>BR014</t>
  </si>
  <si>
    <t>Simonland</t>
  </si>
  <si>
    <t>BR015</t>
  </si>
  <si>
    <t>Michaeltown</t>
  </si>
  <si>
    <t>BR016</t>
  </si>
  <si>
    <t>Petersonport</t>
  </si>
  <si>
    <t>BR017</t>
  </si>
  <si>
    <t>Lake Lynnton</t>
  </si>
  <si>
    <t>BR018</t>
  </si>
  <si>
    <t>Leahtown</t>
  </si>
  <si>
    <t>BR019</t>
  </si>
  <si>
    <t>Port Michaelhaven</t>
  </si>
  <si>
    <t>BR020</t>
  </si>
  <si>
    <t>Carterstad</t>
  </si>
  <si>
    <t>Profit</t>
  </si>
  <si>
    <t>Row Labels</t>
  </si>
  <si>
    <t>Grand Total</t>
  </si>
  <si>
    <t>Sum of Profit</t>
  </si>
  <si>
    <t>TOTAL</t>
  </si>
  <si>
    <t>Profits</t>
  </si>
  <si>
    <t>Operating Cost</t>
  </si>
  <si>
    <t xml:space="preserve">Most Profitable Region </t>
  </si>
  <si>
    <t>Sum of Revenue</t>
  </si>
  <si>
    <t>Key  Performance Indicator</t>
  </si>
  <si>
    <t>Revenue by Branch</t>
  </si>
  <si>
    <t>Revenue Per Employee</t>
  </si>
  <si>
    <t>Staff Count</t>
  </si>
  <si>
    <t>Sum of Revenue Per Employee</t>
  </si>
  <si>
    <t>Sum of Operating Cost</t>
  </si>
  <si>
    <t>Top ten Highest Operating Cost</t>
  </si>
  <si>
    <t>Top 10 Most Profitable Branch</t>
  </si>
  <si>
    <t>Employee Count</t>
  </si>
  <si>
    <t>Sum of Staff 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</si>
</sst>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quot;$&quot;#,##0.00"/>
    <numFmt numFmtId="165" formatCode="&quot;$&quot;#,##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165"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8" fillId="0" borderId="0" xfId="0" applyFont="1"/>
    <xf numFmtId="9" fontId="0" fillId="0" borderId="0" xfId="0" applyNumberFormat="1"/>
    <xf numFmtId="0" fontId="0" fillId="33" borderId="0" xfId="0"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2">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3" formatCode="0%"/>
    </dxf>
    <dxf>
      <numFmt numFmtId="13" formatCode="0%"/>
    </dxf>
    <dxf>
      <numFmt numFmtId="13" formatCode="0%"/>
    </dxf>
    <dxf>
      <numFmt numFmtId="14" formatCode="0.0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numFmt numFmtId="165" formatCode="&quot;$&quot;#,##0"/>
    </dxf>
    <dxf>
      <font>
        <b/>
        <i val="0"/>
        <sz val="14"/>
      </font>
      <fill>
        <patternFill patternType="solid">
          <bgColor rgb="FF5B2682"/>
        </patternFill>
      </fill>
    </dxf>
    <dxf>
      <fill>
        <patternFill>
          <bgColor rgb="FF5B2682"/>
        </patternFill>
      </fill>
    </dxf>
    <dxf>
      <fill>
        <patternFill>
          <fgColor rgb="FF5B2682"/>
        </patternFill>
      </fill>
    </dxf>
    <dxf>
      <fill>
        <patternFill patternType="none">
          <bgColor auto="1"/>
        </patternFill>
      </fill>
      <border diagonalUp="0" diagonalDown="0">
        <left/>
        <right/>
        <top/>
        <bottom/>
        <vertical/>
        <horizontal/>
      </border>
    </dxf>
    <dxf>
      <font>
        <b val="0"/>
        <i val="0"/>
        <color theme="1"/>
      </font>
      <border diagonalUp="0" diagonalDown="0">
        <left/>
        <right/>
        <top/>
        <bottom/>
        <vertical/>
        <horizontal/>
      </border>
    </dxf>
    <dxf>
      <fill>
        <patternFill>
          <fgColor rgb="FFB934D4"/>
        </patternFill>
      </fill>
    </dxf>
    <dxf>
      <fill>
        <patternFill>
          <fgColor rgb="FFD567E7"/>
        </patternFill>
      </fill>
    </dxf>
    <dxf>
      <fill>
        <patternFill patternType="lightHorizontal">
          <bgColor rgb="FF7030A0"/>
        </patternFill>
      </fill>
      <border diagonalUp="0" diagonalDown="0">
        <left/>
        <right/>
        <top/>
        <bottom/>
        <vertical/>
        <horizontal/>
      </border>
    </dxf>
    <dxf>
      <font>
        <b/>
        <i val="0"/>
        <sz val="16"/>
        <color theme="0"/>
      </font>
      <fill>
        <patternFill>
          <bgColor rgb="FF5B2682"/>
        </patternFill>
      </fill>
    </dxf>
    <dxf>
      <font>
        <b/>
        <i val="0"/>
        <sz val="16"/>
        <color theme="0"/>
      </font>
      <fill>
        <patternFill>
          <bgColor rgb="FF7030A0"/>
        </patternFill>
      </fill>
      <border diagonalUp="1" diagonalDown="0">
        <left/>
        <right/>
        <top/>
        <bottom/>
        <diagonal style="thin">
          <color auto="1"/>
        </diagonal>
        <vertical/>
        <horizontal/>
      </border>
    </dxf>
    <dxf>
      <fill>
        <patternFill>
          <bgColor rgb="FF7030A0"/>
        </patternFill>
      </fill>
    </dxf>
  </dxfs>
  <tableStyles count="11" defaultTableStyle="TableStyleMedium2" defaultPivotStyle="PivotStyleLight22">
    <tableStyle name="Slicer Style 1" pivot="0" table="0" count="1" xr9:uid="{A97B5192-33F2-4CE4-87FE-520F9EE1834A}">
      <tableStyleElement type="wholeTable" dxfId="31"/>
    </tableStyle>
    <tableStyle name="Slicer Style 10" pivot="0" table="0" count="1" xr9:uid="{69F0EDBD-452C-42AD-8299-6789AD882649}">
      <tableStyleElement type="wholeTable" dxfId="30"/>
    </tableStyle>
    <tableStyle name="Slicer Style 11" pivot="0" table="0" count="1" xr9:uid="{625CF581-C1F2-4466-884E-FF0D48D53001}">
      <tableStyleElement type="wholeTable" dxfId="29"/>
    </tableStyle>
    <tableStyle name="Slicer Style 2" pivot="0" table="0" count="1" xr9:uid="{AA6DEE4F-D37B-446E-B9FA-04F1CDB9F305}">
      <tableStyleElement type="wholeTable" dxfId="28"/>
    </tableStyle>
    <tableStyle name="Slicer Style 3" pivot="0" table="0" count="1" xr9:uid="{3872BF34-0588-46E1-BC9A-27182395303B}">
      <tableStyleElement type="wholeTable" dxfId="27"/>
    </tableStyle>
    <tableStyle name="Slicer Style 4" pivot="0" table="0" count="1" xr9:uid="{C3AD07A3-6272-4D24-877C-06D876D6A52B}">
      <tableStyleElement type="wholeTable" dxfId="26"/>
    </tableStyle>
    <tableStyle name="Slicer Style 5" pivot="0" table="0" count="1" xr9:uid="{437047E7-5550-4A21-A473-C55C0FF10300}">
      <tableStyleElement type="wholeTable" dxfId="25"/>
    </tableStyle>
    <tableStyle name="Slicer Style 6" pivot="0" table="0" count="1" xr9:uid="{0D923538-79C2-4284-867F-8DFC4A6F06F9}">
      <tableStyleElement type="wholeTable" dxfId="24"/>
    </tableStyle>
    <tableStyle name="Slicer Style 7" pivot="0" table="0" count="1" xr9:uid="{A31A740A-14E6-4AB0-BB0A-37A98801E545}">
      <tableStyleElement type="wholeTable" dxfId="23"/>
    </tableStyle>
    <tableStyle name="Slicer Style 8" pivot="0" table="0" count="1" xr9:uid="{D8617F01-C08E-43BD-B5CF-3BD9325DC2B8}">
      <tableStyleElement type="wholeTable" dxfId="22"/>
    </tableStyle>
    <tableStyle name="Slicer Style 9" pivot="0" table="0" count="1" xr9:uid="{CBCC9BC9-E130-4132-A90C-F03665F21F88}">
      <tableStyleElement type="wholeTable" dxfId="21"/>
    </tableStyle>
  </tableStyles>
  <colors>
    <mruColors>
      <color rgb="FF5B2682"/>
      <color rgb="FF3F2204"/>
      <color rgb="FF858C57"/>
      <color rgb="FFE27D60"/>
      <color rgb="FFD9B99B"/>
      <color rgb="FFF5F5DC"/>
      <color rgb="FFE08FED"/>
      <color rgb="FF481F67"/>
      <color rgb="FFD567E7"/>
      <color rgb="FFB520CE"/>
    </mruColors>
  </colors>
  <extLst>
    <ext xmlns:x14="http://schemas.microsoft.com/office/spreadsheetml/2009/9/main" uri="{EB79DEF2-80B8-43e5-95BD-54CBDDF9020C}">
      <x14:slicerStyles defaultSlicerStyle="SlicerStyleLight1">
        <x14:slicerStyle name="Slicer Style 1"/>
        <x14:slicerStyle name="Slicer Style 10"/>
        <x14:slicerStyle name="Slicer Style 11"/>
        <x14:slicerStyle name="Slicer Style 2"/>
        <x14:slicerStyle name="Slicer Style 3"/>
        <x14:slicerStyle name="Slicer Style 4"/>
        <x14:slicerStyle name="Slicer Style 5"/>
        <x14:slicerStyle name="Slicer Style 6"/>
        <x14:slicerStyle name="Slicer Style 7"/>
        <x14:slicerStyle name="Slicer Style 8"/>
        <x14:slicerStyle name="Slicer Style 9"/>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[MetroBank branches.xlsx]Pivot Tables!PivotTable1</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481F6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481F6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481F67"/>
          </a:solidFill>
          <a:ln>
            <a:noFill/>
          </a:ln>
          <a:effectLst/>
        </c:spPr>
        <c:dLbl>
          <c:idx val="0"/>
          <c:layout>
            <c:manualLayout>
              <c:x val="2.6863649843535103E-2"/>
              <c:y val="-4.0404181801002087E-3"/>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958812877686348"/>
          <c:y val="4.4444599981102298E-2"/>
          <c:w val="0.73254747638924889"/>
          <c:h val="0.89090870913729436"/>
        </c:manualLayout>
      </c:layout>
      <c:barChart>
        <c:barDir val="bar"/>
        <c:grouping val="clustered"/>
        <c:varyColors val="0"/>
        <c:ser>
          <c:idx val="0"/>
          <c:order val="0"/>
          <c:tx>
            <c:strRef>
              <c:f>'Pivot Tables'!$B$2</c:f>
              <c:strCache>
                <c:ptCount val="1"/>
                <c:pt idx="0">
                  <c:v>Total</c:v>
                </c:pt>
              </c:strCache>
            </c:strRef>
          </c:tx>
          <c:spPr>
            <a:solidFill>
              <a:srgbClr val="481F67"/>
            </a:solidFill>
            <a:ln>
              <a:noFill/>
            </a:ln>
            <a:effectLst/>
          </c:spPr>
          <c:invertIfNegative val="0"/>
          <c:dPt>
            <c:idx val="0"/>
            <c:invertIfNegative val="0"/>
            <c:bubble3D val="0"/>
            <c:spPr>
              <a:solidFill>
                <a:srgbClr val="481F67"/>
              </a:solidFill>
              <a:ln>
                <a:noFill/>
              </a:ln>
              <a:effectLst/>
            </c:spPr>
            <c:extLst>
              <c:ext xmlns:c16="http://schemas.microsoft.com/office/drawing/2014/chart" uri="{C3380CC4-5D6E-409C-BE32-E72D297353CC}">
                <c16:uniqueId val="{00000003-06FB-4C5B-8E58-8189963DC28C}"/>
              </c:ext>
            </c:extLst>
          </c:dPt>
          <c:dLbls>
            <c:dLbl>
              <c:idx val="0"/>
              <c:layout>
                <c:manualLayout>
                  <c:x val="2.6863649843535103E-2"/>
                  <c:y val="-4.0404181801002087E-3"/>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6FB-4C5B-8E58-8189963DC28C}"/>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Tables'!$A$3:$A$13</c:f>
              <c:strCache>
                <c:ptCount val="10"/>
                <c:pt idx="0">
                  <c:v>Lisaville</c:v>
                </c:pt>
                <c:pt idx="1">
                  <c:v>Michaeltown</c:v>
                </c:pt>
                <c:pt idx="2">
                  <c:v>Caldwellburgh</c:v>
                </c:pt>
                <c:pt idx="3">
                  <c:v>Robertaport</c:v>
                </c:pt>
                <c:pt idx="4">
                  <c:v>North Daniel</c:v>
                </c:pt>
                <c:pt idx="5">
                  <c:v>Simonland</c:v>
                </c:pt>
                <c:pt idx="6">
                  <c:v>West Linda</c:v>
                </c:pt>
                <c:pt idx="7">
                  <c:v>Petersonport</c:v>
                </c:pt>
                <c:pt idx="8">
                  <c:v>Javiertown</c:v>
                </c:pt>
                <c:pt idx="9">
                  <c:v>New Adrienne</c:v>
                </c:pt>
              </c:strCache>
            </c:strRef>
          </c:cat>
          <c:val>
            <c:numRef>
              <c:f>'Pivot Tables'!$B$3:$B$13</c:f>
              <c:numCache>
                <c:formatCode>"$"#,##0</c:formatCode>
                <c:ptCount val="10"/>
                <c:pt idx="0">
                  <c:v>4203646</c:v>
                </c:pt>
                <c:pt idx="1">
                  <c:v>3559601</c:v>
                </c:pt>
                <c:pt idx="2">
                  <c:v>3378768</c:v>
                </c:pt>
                <c:pt idx="3">
                  <c:v>3069907</c:v>
                </c:pt>
                <c:pt idx="4">
                  <c:v>3031719</c:v>
                </c:pt>
                <c:pt idx="5">
                  <c:v>3026194</c:v>
                </c:pt>
                <c:pt idx="6">
                  <c:v>2968460</c:v>
                </c:pt>
                <c:pt idx="7">
                  <c:v>2895709</c:v>
                </c:pt>
                <c:pt idx="8">
                  <c:v>2807139</c:v>
                </c:pt>
                <c:pt idx="9">
                  <c:v>2581859</c:v>
                </c:pt>
              </c:numCache>
            </c:numRef>
          </c:val>
          <c:extLst>
            <c:ext xmlns:c16="http://schemas.microsoft.com/office/drawing/2014/chart" uri="{C3380CC4-5D6E-409C-BE32-E72D297353CC}">
              <c16:uniqueId val="{00000001-06FB-4C5B-8E58-8189963DC28C}"/>
            </c:ext>
          </c:extLst>
        </c:ser>
        <c:dLbls>
          <c:dLblPos val="outEnd"/>
          <c:showLegendKey val="0"/>
          <c:showVal val="1"/>
          <c:showCatName val="0"/>
          <c:showSerName val="0"/>
          <c:showPercent val="0"/>
          <c:showBubbleSize val="0"/>
        </c:dLbls>
        <c:gapWidth val="142"/>
        <c:axId val="592544480"/>
        <c:axId val="592551200"/>
      </c:barChart>
      <c:catAx>
        <c:axId val="592544480"/>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400" b="1" i="0" u="none" strike="noStrike" kern="1200" baseline="0">
                <a:solidFill>
                  <a:schemeClr val="bg1"/>
                </a:solidFill>
                <a:latin typeface="+mn-lt"/>
                <a:ea typeface="+mn-ea"/>
                <a:cs typeface="+mn-cs"/>
              </a:defRPr>
            </a:pPr>
            <a:endParaRPr lang="en-US"/>
          </a:p>
        </c:txPr>
        <c:crossAx val="592551200"/>
        <c:crosses val="autoZero"/>
        <c:auto val="1"/>
        <c:lblAlgn val="ctr"/>
        <c:lblOffset val="100"/>
        <c:noMultiLvlLbl val="0"/>
      </c:catAx>
      <c:valAx>
        <c:axId val="592551200"/>
        <c:scaling>
          <c:orientation val="minMax"/>
        </c:scaling>
        <c:delete val="1"/>
        <c:axPos val="b"/>
        <c:numFmt formatCode="&quot;$&quot;#,##0" sourceLinked="1"/>
        <c:majorTickMark val="none"/>
        <c:minorTickMark val="none"/>
        <c:tickLblPos val="nextTo"/>
        <c:crossAx val="5925444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[MetroBank branches.xlsx]Pivot Tables!PivotTable4</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481F6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481F6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Tables'!$I$9</c:f>
              <c:strCache>
                <c:ptCount val="1"/>
                <c:pt idx="0">
                  <c:v>Total</c:v>
                </c:pt>
              </c:strCache>
            </c:strRef>
          </c:tx>
          <c:spPr>
            <a:solidFill>
              <a:srgbClr val="481F6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Tables'!$H$10:$H$20</c:f>
              <c:strCache>
                <c:ptCount val="10"/>
                <c:pt idx="0">
                  <c:v>Javiertown</c:v>
                </c:pt>
                <c:pt idx="1">
                  <c:v>Lake Lynnton</c:v>
                </c:pt>
                <c:pt idx="2">
                  <c:v>North Daniel</c:v>
                </c:pt>
                <c:pt idx="3">
                  <c:v>New Adrienne</c:v>
                </c:pt>
                <c:pt idx="4">
                  <c:v>West Loganmouth</c:v>
                </c:pt>
                <c:pt idx="5">
                  <c:v>Stevenfurt</c:v>
                </c:pt>
                <c:pt idx="6">
                  <c:v>Robertaport</c:v>
                </c:pt>
                <c:pt idx="7">
                  <c:v>Simonland</c:v>
                </c:pt>
                <c:pt idx="8">
                  <c:v>West Linda</c:v>
                </c:pt>
                <c:pt idx="9">
                  <c:v>Port Michaelhaven</c:v>
                </c:pt>
              </c:strCache>
            </c:strRef>
          </c:cat>
          <c:val>
            <c:numRef>
              <c:f>'Pivot Tables'!$I$10:$I$20</c:f>
              <c:numCache>
                <c:formatCode>"$"#,##0</c:formatCode>
                <c:ptCount val="10"/>
                <c:pt idx="0">
                  <c:v>1973103</c:v>
                </c:pt>
                <c:pt idx="1">
                  <c:v>1918227</c:v>
                </c:pt>
                <c:pt idx="2">
                  <c:v>1808564</c:v>
                </c:pt>
                <c:pt idx="3">
                  <c:v>1766023</c:v>
                </c:pt>
                <c:pt idx="4">
                  <c:v>1727985</c:v>
                </c:pt>
                <c:pt idx="5">
                  <c:v>1725464</c:v>
                </c:pt>
                <c:pt idx="6">
                  <c:v>1506246</c:v>
                </c:pt>
                <c:pt idx="7">
                  <c:v>1291741</c:v>
                </c:pt>
                <c:pt idx="8">
                  <c:v>1274166</c:v>
                </c:pt>
                <c:pt idx="9">
                  <c:v>1270061</c:v>
                </c:pt>
              </c:numCache>
            </c:numRef>
          </c:val>
          <c:extLst>
            <c:ext xmlns:c16="http://schemas.microsoft.com/office/drawing/2014/chart" uri="{C3380CC4-5D6E-409C-BE32-E72D297353CC}">
              <c16:uniqueId val="{00000000-E1C2-4005-B49D-599E9061265E}"/>
            </c:ext>
          </c:extLst>
        </c:ser>
        <c:dLbls>
          <c:dLblPos val="outEnd"/>
          <c:showLegendKey val="0"/>
          <c:showVal val="1"/>
          <c:showCatName val="0"/>
          <c:showSerName val="0"/>
          <c:showPercent val="0"/>
          <c:showBubbleSize val="0"/>
        </c:dLbls>
        <c:gapWidth val="182"/>
        <c:axId val="582619232"/>
        <c:axId val="582622112"/>
      </c:barChart>
      <c:catAx>
        <c:axId val="582619232"/>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400" b="1" i="0" u="none" strike="noStrike" kern="1200" baseline="0">
                <a:solidFill>
                  <a:schemeClr val="bg1"/>
                </a:solidFill>
                <a:latin typeface="+mn-lt"/>
                <a:ea typeface="+mn-ea"/>
                <a:cs typeface="+mn-cs"/>
              </a:defRPr>
            </a:pPr>
            <a:endParaRPr lang="en-US"/>
          </a:p>
        </c:txPr>
        <c:crossAx val="582622112"/>
        <c:crosses val="autoZero"/>
        <c:auto val="1"/>
        <c:lblAlgn val="ctr"/>
        <c:lblOffset val="100"/>
        <c:noMultiLvlLbl val="0"/>
      </c:catAx>
      <c:valAx>
        <c:axId val="582622112"/>
        <c:scaling>
          <c:orientation val="minMax"/>
        </c:scaling>
        <c:delete val="1"/>
        <c:axPos val="b"/>
        <c:numFmt formatCode="&quot;$&quot;#,##0" sourceLinked="1"/>
        <c:majorTickMark val="none"/>
        <c:minorTickMark val="none"/>
        <c:tickLblPos val="nextTo"/>
        <c:crossAx val="5826192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[MetroBank branches.xlsx]Pivot Tables!PivotTable2</c:name>
    <c:fmtId val="19"/>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481F67"/>
          </a:solidFill>
          <a:ln w="19050">
            <a:noFill/>
          </a:ln>
          <a:effectLst/>
        </c:spPr>
        <c:dLbl>
          <c:idx val="0"/>
          <c:layout>
            <c:manualLayout>
              <c:x val="0.1354920140957652"/>
              <c:y val="-0.17129629629629636"/>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557524607680452"/>
                  <c:h val="0.17212962962962963"/>
                </c:manualLayout>
              </c15:layout>
            </c:ext>
          </c:extLst>
        </c:dLbl>
      </c:pivotFmt>
      <c:pivotFmt>
        <c:idx val="8"/>
        <c:spPr>
          <a:solidFill>
            <a:srgbClr val="5B2682"/>
          </a:solidFill>
          <a:ln w="19050">
            <a:noFill/>
          </a:ln>
          <a:effectLst/>
        </c:spPr>
        <c:dLbl>
          <c:idx val="0"/>
          <c:layout>
            <c:manualLayout>
              <c:x val="2.5311694940967147E-2"/>
              <c:y val="0.10648148148148148"/>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3788538198618611"/>
                  <c:h val="0.17212962962962963"/>
                </c:manualLayout>
              </c15:layout>
            </c:ext>
          </c:extLst>
        </c:dLbl>
      </c:pivotFmt>
      <c:pivotFmt>
        <c:idx val="9"/>
        <c:spPr>
          <a:solidFill>
            <a:schemeClr val="accent1"/>
          </a:solidFill>
          <a:ln w="19050">
            <a:noFill/>
          </a:ln>
          <a:effectLst/>
        </c:spPr>
        <c:dLbl>
          <c:idx val="0"/>
          <c:layout>
            <c:manualLayout>
              <c:x val="-0.11198415343340631"/>
              <c:y val="0.1435185185185185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2299614966797013"/>
                  <c:h val="0.17212962962962963"/>
                </c:manualLayout>
              </c15:layout>
            </c:ext>
          </c:extLst>
        </c:dLbl>
      </c:pivotFmt>
      <c:pivotFmt>
        <c:idx val="10"/>
        <c:spPr>
          <a:solidFill>
            <a:srgbClr val="E08FED"/>
          </a:solidFill>
          <a:ln w="19050">
            <a:noFill/>
          </a:ln>
          <a:effectLst/>
        </c:spPr>
        <c:dLbl>
          <c:idx val="0"/>
          <c:layout>
            <c:manualLayout>
              <c:x val="-0.1295363211684788"/>
              <c:y val="-6.0185185185185196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1406261027704057"/>
                  <c:h val="0.17212962962962963"/>
                </c:manualLayout>
              </c15:layout>
            </c:ext>
          </c:extLst>
        </c:dLbl>
      </c:pivotFmt>
      <c:pivotFmt>
        <c:idx val="11"/>
        <c:spPr>
          <a:solidFill>
            <a:schemeClr val="accent1"/>
          </a:solidFill>
          <a:ln w="19050">
            <a:solidFill>
              <a:schemeClr val="lt1"/>
            </a:solidFill>
          </a:ln>
          <a:effectLst/>
        </c:spPr>
        <c:marker>
          <c:symbol val="none"/>
        </c:marker>
      </c:pivotFmt>
    </c:pivotFmts>
    <c:plotArea>
      <c:layout/>
      <c:doughnutChart>
        <c:varyColors val="1"/>
        <c:ser>
          <c:idx val="0"/>
          <c:order val="0"/>
          <c:tx>
            <c:strRef>
              <c:f>'Pivot Tables'!$E$7</c:f>
              <c:strCache>
                <c:ptCount val="1"/>
                <c:pt idx="0">
                  <c:v>Total</c:v>
                </c:pt>
              </c:strCache>
            </c:strRef>
          </c:tx>
          <c:spPr>
            <a:ln>
              <a:noFill/>
            </a:ln>
          </c:spPr>
          <c:dPt>
            <c:idx val="0"/>
            <c:bubble3D val="0"/>
            <c:spPr>
              <a:solidFill>
                <a:srgbClr val="481F67"/>
              </a:solidFill>
              <a:ln w="19050">
                <a:noFill/>
              </a:ln>
              <a:effectLst/>
            </c:spPr>
            <c:extLst>
              <c:ext xmlns:c16="http://schemas.microsoft.com/office/drawing/2014/chart" uri="{C3380CC4-5D6E-409C-BE32-E72D297353CC}">
                <c16:uniqueId val="{00000001-A5F9-4546-B4AF-0C4AC7B3A380}"/>
              </c:ext>
            </c:extLst>
          </c:dPt>
          <c:dPt>
            <c:idx val="1"/>
            <c:bubble3D val="0"/>
            <c:spPr>
              <a:solidFill>
                <a:srgbClr val="5B2682"/>
              </a:solidFill>
              <a:ln w="19050">
                <a:noFill/>
              </a:ln>
              <a:effectLst/>
            </c:spPr>
            <c:extLst>
              <c:ext xmlns:c16="http://schemas.microsoft.com/office/drawing/2014/chart" uri="{C3380CC4-5D6E-409C-BE32-E72D297353CC}">
                <c16:uniqueId val="{00000003-A5F9-4546-B4AF-0C4AC7B3A380}"/>
              </c:ext>
            </c:extLst>
          </c:dPt>
          <c:dPt>
            <c:idx val="2"/>
            <c:bubble3D val="0"/>
            <c:spPr>
              <a:solidFill>
                <a:schemeClr val="accent3"/>
              </a:solidFill>
              <a:ln w="19050">
                <a:noFill/>
              </a:ln>
              <a:effectLst/>
            </c:spPr>
            <c:extLst>
              <c:ext xmlns:c16="http://schemas.microsoft.com/office/drawing/2014/chart" uri="{C3380CC4-5D6E-409C-BE32-E72D297353CC}">
                <c16:uniqueId val="{00000005-A5F9-4546-B4AF-0C4AC7B3A380}"/>
              </c:ext>
            </c:extLst>
          </c:dPt>
          <c:dPt>
            <c:idx val="3"/>
            <c:bubble3D val="0"/>
            <c:spPr>
              <a:solidFill>
                <a:srgbClr val="E08FED"/>
              </a:solidFill>
              <a:ln w="19050">
                <a:noFill/>
              </a:ln>
              <a:effectLst/>
            </c:spPr>
            <c:extLst>
              <c:ext xmlns:c16="http://schemas.microsoft.com/office/drawing/2014/chart" uri="{C3380CC4-5D6E-409C-BE32-E72D297353CC}">
                <c16:uniqueId val="{00000007-A5F9-4546-B4AF-0C4AC7B3A380}"/>
              </c:ext>
            </c:extLst>
          </c:dPt>
          <c:dLbls>
            <c:dLbl>
              <c:idx val="0"/>
              <c:layout>
                <c:manualLayout>
                  <c:x val="0.1354920140957652"/>
                  <c:y val="-0.17129629629629636"/>
                </c:manualLayout>
              </c:layout>
              <c:showLegendKey val="0"/>
              <c:showVal val="1"/>
              <c:showCatName val="0"/>
              <c:showSerName val="0"/>
              <c:showPercent val="0"/>
              <c:showBubbleSize val="0"/>
              <c:extLst>
                <c:ext xmlns:c15="http://schemas.microsoft.com/office/drawing/2012/chart" uri="{CE6537A1-D6FC-4f65-9D91-7224C49458BB}">
                  <c15:layout>
                    <c:manualLayout>
                      <c:w val="0.2557524607680452"/>
                      <c:h val="0.17212962962962963"/>
                    </c:manualLayout>
                  </c15:layout>
                </c:ext>
                <c:ext xmlns:c16="http://schemas.microsoft.com/office/drawing/2014/chart" uri="{C3380CC4-5D6E-409C-BE32-E72D297353CC}">
                  <c16:uniqueId val="{00000001-A5F9-4546-B4AF-0C4AC7B3A380}"/>
                </c:ext>
              </c:extLst>
            </c:dLbl>
            <c:dLbl>
              <c:idx val="1"/>
              <c:layout>
                <c:manualLayout>
                  <c:x val="2.5311694940967147E-2"/>
                  <c:y val="0.10648148148148148"/>
                </c:manualLayout>
              </c:layout>
              <c:showLegendKey val="0"/>
              <c:showVal val="1"/>
              <c:showCatName val="0"/>
              <c:showSerName val="0"/>
              <c:showPercent val="0"/>
              <c:showBubbleSize val="0"/>
              <c:extLst>
                <c:ext xmlns:c15="http://schemas.microsoft.com/office/drawing/2012/chart" uri="{CE6537A1-D6FC-4f65-9D91-7224C49458BB}">
                  <c15:layout>
                    <c:manualLayout>
                      <c:w val="0.23788538198618611"/>
                      <c:h val="0.17212962962962963"/>
                    </c:manualLayout>
                  </c15:layout>
                </c:ext>
                <c:ext xmlns:c16="http://schemas.microsoft.com/office/drawing/2014/chart" uri="{C3380CC4-5D6E-409C-BE32-E72D297353CC}">
                  <c16:uniqueId val="{00000003-A5F9-4546-B4AF-0C4AC7B3A380}"/>
                </c:ext>
              </c:extLst>
            </c:dLbl>
            <c:dLbl>
              <c:idx val="2"/>
              <c:layout>
                <c:manualLayout>
                  <c:x val="-0.11198415343340631"/>
                  <c:y val="0.14351851851851852"/>
                </c:manualLayout>
              </c:layout>
              <c:showLegendKey val="0"/>
              <c:showVal val="1"/>
              <c:showCatName val="0"/>
              <c:showSerName val="0"/>
              <c:showPercent val="0"/>
              <c:showBubbleSize val="0"/>
              <c:extLst>
                <c:ext xmlns:c15="http://schemas.microsoft.com/office/drawing/2012/chart" uri="{CE6537A1-D6FC-4f65-9D91-7224C49458BB}">
                  <c15:layout>
                    <c:manualLayout>
                      <c:w val="0.22299614966797013"/>
                      <c:h val="0.17212962962962963"/>
                    </c:manualLayout>
                  </c15:layout>
                </c:ext>
                <c:ext xmlns:c16="http://schemas.microsoft.com/office/drawing/2014/chart" uri="{C3380CC4-5D6E-409C-BE32-E72D297353CC}">
                  <c16:uniqueId val="{00000005-A5F9-4546-B4AF-0C4AC7B3A380}"/>
                </c:ext>
              </c:extLst>
            </c:dLbl>
            <c:dLbl>
              <c:idx val="3"/>
              <c:layout>
                <c:manualLayout>
                  <c:x val="-0.1295363211684788"/>
                  <c:y val="-6.0185185185185196E-2"/>
                </c:manualLayout>
              </c:layout>
              <c:showLegendKey val="0"/>
              <c:showVal val="1"/>
              <c:showCatName val="0"/>
              <c:showSerName val="0"/>
              <c:showPercent val="0"/>
              <c:showBubbleSize val="0"/>
              <c:extLst>
                <c:ext xmlns:c15="http://schemas.microsoft.com/office/drawing/2012/chart" uri="{CE6537A1-D6FC-4f65-9D91-7224C49458BB}">
                  <c15:layout>
                    <c:manualLayout>
                      <c:w val="0.21406261027704057"/>
                      <c:h val="0.17212962962962963"/>
                    </c:manualLayout>
                  </c15:layout>
                </c:ext>
                <c:ext xmlns:c16="http://schemas.microsoft.com/office/drawing/2014/chart" uri="{C3380CC4-5D6E-409C-BE32-E72D297353CC}">
                  <c16:uniqueId val="{00000007-A5F9-4546-B4AF-0C4AC7B3A380}"/>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cat>
            <c:strRef>
              <c:f>'Pivot Tables'!$D$8:$D$12</c:f>
              <c:strCache>
                <c:ptCount val="4"/>
                <c:pt idx="0">
                  <c:v>South</c:v>
                </c:pt>
                <c:pt idx="1">
                  <c:v>West</c:v>
                </c:pt>
                <c:pt idx="2">
                  <c:v>North</c:v>
                </c:pt>
                <c:pt idx="3">
                  <c:v>East</c:v>
                </c:pt>
              </c:strCache>
            </c:strRef>
          </c:cat>
          <c:val>
            <c:numRef>
              <c:f>'Pivot Tables'!$E$8:$E$12</c:f>
              <c:numCache>
                <c:formatCode>"$"#,##0</c:formatCode>
                <c:ptCount val="4"/>
                <c:pt idx="0">
                  <c:v>14787236</c:v>
                </c:pt>
                <c:pt idx="1">
                  <c:v>9473157</c:v>
                </c:pt>
                <c:pt idx="2">
                  <c:v>8839494</c:v>
                </c:pt>
                <c:pt idx="3">
                  <c:v>5154385</c:v>
                </c:pt>
              </c:numCache>
            </c:numRef>
          </c:val>
          <c:extLst>
            <c:ext xmlns:c16="http://schemas.microsoft.com/office/drawing/2014/chart" uri="{C3380CC4-5D6E-409C-BE32-E72D297353CC}">
              <c16:uniqueId val="{00000008-A5F9-4546-B4AF-0C4AC7B3A380}"/>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400" b="1"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[MetroBank branches.xlsx]Pivot Tables!PivotTable6</c:name>
    <c:fmtId val="7"/>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8100" cap="rnd">
            <a:solidFill>
              <a:srgbClr val="5B2682"/>
            </a:solidFill>
            <a:round/>
          </a:ln>
          <a:effectLst/>
        </c:spPr>
        <c:marker>
          <c:symbol val="circle"/>
          <c:size val="5"/>
          <c:spPr>
            <a:solidFill>
              <a:schemeClr val="accent1"/>
            </a:solidFill>
            <a:ln w="25400">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Tables'!$L$2</c:f>
              <c:strCache>
                <c:ptCount val="1"/>
                <c:pt idx="0">
                  <c:v>Total</c:v>
                </c:pt>
              </c:strCache>
            </c:strRef>
          </c:tx>
          <c:spPr>
            <a:ln w="38100" cap="rnd">
              <a:solidFill>
                <a:srgbClr val="5B2682"/>
              </a:solidFill>
              <a:round/>
            </a:ln>
            <a:effectLst/>
          </c:spPr>
          <c:marker>
            <c:symbol val="circle"/>
            <c:size val="5"/>
            <c:spPr>
              <a:solidFill>
                <a:schemeClr val="accent1"/>
              </a:solidFill>
              <a:ln w="25400">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Tables'!$K$3:$K$13</c:f>
              <c:strCache>
                <c:ptCount val="10"/>
                <c:pt idx="0">
                  <c:v>Caldwellburgh</c:v>
                </c:pt>
                <c:pt idx="1">
                  <c:v>Simonland</c:v>
                </c:pt>
                <c:pt idx="2">
                  <c:v>Javiertown</c:v>
                </c:pt>
                <c:pt idx="3">
                  <c:v>West Linda</c:v>
                </c:pt>
                <c:pt idx="4">
                  <c:v>North Daniel</c:v>
                </c:pt>
                <c:pt idx="5">
                  <c:v>Leahtown</c:v>
                </c:pt>
                <c:pt idx="6">
                  <c:v>Petersonport</c:v>
                </c:pt>
                <c:pt idx="7">
                  <c:v>Lisaville</c:v>
                </c:pt>
                <c:pt idx="8">
                  <c:v>Michaeltown</c:v>
                </c:pt>
                <c:pt idx="9">
                  <c:v>Stevenfurt</c:v>
                </c:pt>
              </c:strCache>
            </c:strRef>
          </c:cat>
          <c:val>
            <c:numRef>
              <c:f>'Pivot Tables'!$L$3:$L$13</c:f>
              <c:numCache>
                <c:formatCode>"$"#,##0</c:formatCode>
                <c:ptCount val="10"/>
                <c:pt idx="0">
                  <c:v>198379.33333333334</c:v>
                </c:pt>
                <c:pt idx="1">
                  <c:v>187736.30434782608</c:v>
                </c:pt>
                <c:pt idx="2">
                  <c:v>113815.28571428571</c:v>
                </c:pt>
                <c:pt idx="3">
                  <c:v>92231</c:v>
                </c:pt>
                <c:pt idx="4">
                  <c:v>56944.50588235294</c:v>
                </c:pt>
                <c:pt idx="5">
                  <c:v>55662.171428571426</c:v>
                </c:pt>
                <c:pt idx="6">
                  <c:v>41981.243589743586</c:v>
                </c:pt>
                <c:pt idx="7">
                  <c:v>33699.80740740741</c:v>
                </c:pt>
                <c:pt idx="8">
                  <c:v>31665.407142857144</c:v>
                </c:pt>
                <c:pt idx="9">
                  <c:v>29892.53043478261</c:v>
                </c:pt>
              </c:numCache>
            </c:numRef>
          </c:val>
          <c:smooth val="0"/>
          <c:extLst>
            <c:ext xmlns:c16="http://schemas.microsoft.com/office/drawing/2014/chart" uri="{C3380CC4-5D6E-409C-BE32-E72D297353CC}">
              <c16:uniqueId val="{00000000-B980-488B-A5A6-BEA57D19E102}"/>
            </c:ext>
          </c:extLst>
        </c:ser>
        <c:dLbls>
          <c:showLegendKey val="0"/>
          <c:showVal val="0"/>
          <c:showCatName val="0"/>
          <c:showSerName val="0"/>
          <c:showPercent val="0"/>
          <c:showBubbleSize val="0"/>
        </c:dLbls>
        <c:marker val="1"/>
        <c:smooth val="0"/>
        <c:axId val="1221950768"/>
        <c:axId val="1221966128"/>
      </c:lineChart>
      <c:catAx>
        <c:axId val="1221950768"/>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US"/>
          </a:p>
        </c:txPr>
        <c:crossAx val="1221966128"/>
        <c:crosses val="autoZero"/>
        <c:auto val="1"/>
        <c:lblAlgn val="ctr"/>
        <c:lblOffset val="100"/>
        <c:noMultiLvlLbl val="0"/>
      </c:catAx>
      <c:valAx>
        <c:axId val="1221966128"/>
        <c:scaling>
          <c:orientation val="minMax"/>
        </c:scaling>
        <c:delete val="1"/>
        <c:axPos val="l"/>
        <c:numFmt formatCode="&quot;$&quot;#,##0" sourceLinked="1"/>
        <c:majorTickMark val="none"/>
        <c:minorTickMark val="none"/>
        <c:tickLblPos val="nextTo"/>
        <c:crossAx val="1221950768"/>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0</xdr:col>
      <xdr:colOff>495299</xdr:colOff>
      <xdr:row>0</xdr:row>
      <xdr:rowOff>190499</xdr:rowOff>
    </xdr:from>
    <xdr:ext cx="4276726" cy="2706895"/>
    <xdr:sp macro="" textlink="">
      <xdr:nvSpPr>
        <xdr:cNvPr id="2" name="TextBox 1">
          <a:extLst>
            <a:ext uri="{FF2B5EF4-FFF2-40B4-BE49-F238E27FC236}">
              <a16:creationId xmlns:a16="http://schemas.microsoft.com/office/drawing/2014/main" id="{4A96A9F8-B95C-7CD1-48AD-A0A215370931}"/>
            </a:ext>
          </a:extLst>
        </xdr:cNvPr>
        <xdr:cNvSpPr txBox="1"/>
      </xdr:nvSpPr>
      <xdr:spPr>
        <a:xfrm>
          <a:off x="495299" y="190499"/>
          <a:ext cx="4276726" cy="2706895"/>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CA" sz="1200" b="1">
              <a:solidFill>
                <a:sysClr val="windowText" lastClr="000000"/>
              </a:solidFill>
            </a:rPr>
            <a:t>My</a:t>
          </a:r>
          <a:r>
            <a:rPr lang="en-CA" sz="1200" b="1" baseline="0">
              <a:solidFill>
                <a:sysClr val="windowText" lastClr="000000"/>
              </a:solidFill>
            </a:rPr>
            <a:t> Insight On MetroBank's Brach Performance and Efficiency</a:t>
          </a:r>
        </a:p>
        <a:p>
          <a:r>
            <a:rPr lang="en-CA" sz="1200" b="0" baseline="0">
              <a:solidFill>
                <a:sysClr val="windowText" lastClr="000000"/>
              </a:solidFill>
            </a:rPr>
            <a:t>Lisaville has been the most Profitable Branch making a total of $4,203,646 and the South Most Profitable Region making 39% of the total profits($14,787,236).</a:t>
          </a:r>
        </a:p>
        <a:p>
          <a:r>
            <a:rPr lang="en-CA" sz="1200" b="0" baseline="0">
              <a:solidFill>
                <a:sysClr val="windowText" lastClr="000000"/>
              </a:solidFill>
            </a:rPr>
            <a:t>Caldwellburgh has the most Revenue per Employee $198,379. Larger Staff does not always mean higher revenue Caldwellburgh is a perfect example having only 18 Staffs but still having the highest Revenue per employee.</a:t>
          </a:r>
        </a:p>
        <a:p>
          <a:r>
            <a:rPr lang="en-CA" sz="1200" b="0" baseline="0">
              <a:solidFill>
                <a:sysClr val="windowText" lastClr="000000"/>
              </a:solidFill>
            </a:rPr>
            <a:t>Javiertown has the Highest Operating cost $1,973,103. It is Justified because it gave a high Profit of $2,807,139.</a:t>
          </a:r>
        </a:p>
        <a:p>
          <a:r>
            <a:rPr lang="en-CA" sz="1200" b="0" baseline="0">
              <a:solidFill>
                <a:sysClr val="windowText" lastClr="000000"/>
              </a:solidFill>
            </a:rPr>
            <a:t>I would suggest closing down Lake Lyton because they are running on losses while having a high operating cost which may hurt the bank in time to come. </a:t>
          </a:r>
        </a:p>
        <a:p>
          <a:endParaRPr lang="en-CA" sz="1100" b="1">
            <a:solidFill>
              <a:sysClr val="windowText" lastClr="000000"/>
            </a:solidFill>
          </a:endParaRP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6</xdr:col>
      <xdr:colOff>545520</xdr:colOff>
      <xdr:row>1</xdr:row>
      <xdr:rowOff>135299</xdr:rowOff>
    </xdr:from>
    <xdr:to>
      <xdr:col>31</xdr:col>
      <xdr:colOff>485992</xdr:colOff>
      <xdr:row>52</xdr:row>
      <xdr:rowOff>135297</xdr:rowOff>
    </xdr:to>
    <xdr:sp macro="" textlink="">
      <xdr:nvSpPr>
        <xdr:cNvPr id="4" name="Rectangle: Rounded Corners 3">
          <a:extLst>
            <a:ext uri="{FF2B5EF4-FFF2-40B4-BE49-F238E27FC236}">
              <a16:creationId xmlns:a16="http://schemas.microsoft.com/office/drawing/2014/main" id="{2F74A551-49B7-6B96-75BF-98DAEB0943B3}"/>
            </a:ext>
          </a:extLst>
        </xdr:cNvPr>
        <xdr:cNvSpPr/>
      </xdr:nvSpPr>
      <xdr:spPr>
        <a:xfrm>
          <a:off x="4182338" y="325799"/>
          <a:ext cx="15093881" cy="9715498"/>
        </a:xfrm>
        <a:prstGeom prst="roundRect">
          <a:avLst>
            <a:gd name="adj" fmla="val 7670"/>
          </a:avLst>
        </a:prstGeom>
        <a:solidFill>
          <a:srgbClr val="981BAD">
            <a:alpha val="54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7</xdr:col>
      <xdr:colOff>10823</xdr:colOff>
      <xdr:row>2</xdr:row>
      <xdr:rowOff>16236</xdr:rowOff>
    </xdr:from>
    <xdr:to>
      <xdr:col>31</xdr:col>
      <xdr:colOff>356107</xdr:colOff>
      <xdr:row>51</xdr:row>
      <xdr:rowOff>111483</xdr:rowOff>
    </xdr:to>
    <xdr:sp macro="" textlink="">
      <xdr:nvSpPr>
        <xdr:cNvPr id="5" name="Rectangle: Rounded Corners 4">
          <a:extLst>
            <a:ext uri="{FF2B5EF4-FFF2-40B4-BE49-F238E27FC236}">
              <a16:creationId xmlns:a16="http://schemas.microsoft.com/office/drawing/2014/main" id="{BC3B3D31-4AC4-4EA1-8D4E-18EA23600C07}"/>
            </a:ext>
          </a:extLst>
        </xdr:cNvPr>
        <xdr:cNvSpPr/>
      </xdr:nvSpPr>
      <xdr:spPr>
        <a:xfrm>
          <a:off x="4253778" y="397236"/>
          <a:ext cx="14892556" cy="9429747"/>
        </a:xfrm>
        <a:prstGeom prst="roundRect">
          <a:avLst>
            <a:gd name="adj" fmla="val 6993"/>
          </a:avLst>
        </a:prstGeom>
        <a:solidFill>
          <a:srgbClr val="5B268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oneCellAnchor>
    <xdr:from>
      <xdr:col>7</xdr:col>
      <xdr:colOff>272761</xdr:colOff>
      <xdr:row>2</xdr:row>
      <xdr:rowOff>111487</xdr:rowOff>
    </xdr:from>
    <xdr:ext cx="5051191" cy="448521"/>
    <xdr:sp macro="" textlink="">
      <xdr:nvSpPr>
        <xdr:cNvPr id="6" name="TextBox 5">
          <a:extLst>
            <a:ext uri="{FF2B5EF4-FFF2-40B4-BE49-F238E27FC236}">
              <a16:creationId xmlns:a16="http://schemas.microsoft.com/office/drawing/2014/main" id="{7320D880-520B-DE17-6AEF-BF32B5576D34}"/>
            </a:ext>
          </a:extLst>
        </xdr:cNvPr>
        <xdr:cNvSpPr txBox="1"/>
      </xdr:nvSpPr>
      <xdr:spPr>
        <a:xfrm>
          <a:off x="4515716" y="492487"/>
          <a:ext cx="5051191" cy="4485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CA" sz="2400" b="1">
              <a:solidFill>
                <a:schemeClr val="bg1"/>
              </a:solidFill>
              <a:latin typeface="Arial Rounded MT Bold" panose="020F0704030504030204" pitchFamily="34" charset="0"/>
            </a:rPr>
            <a:t>MetroBank</a:t>
          </a:r>
          <a:r>
            <a:rPr lang="en-CA" sz="2000" b="1">
              <a:solidFill>
                <a:schemeClr val="bg1"/>
              </a:solidFill>
              <a:latin typeface="Arial Rounded MT Bold" panose="020F0704030504030204" pitchFamily="34" charset="0"/>
            </a:rPr>
            <a:t> </a:t>
          </a:r>
          <a:r>
            <a:rPr lang="en-CA" sz="2400" b="1">
              <a:solidFill>
                <a:schemeClr val="bg1"/>
              </a:solidFill>
              <a:latin typeface="Arial Rounded MT Bold" panose="020F0704030504030204" pitchFamily="34" charset="0"/>
            </a:rPr>
            <a:t>Branch</a:t>
          </a:r>
          <a:r>
            <a:rPr lang="en-CA" sz="2000" b="1">
              <a:solidFill>
                <a:schemeClr val="bg1"/>
              </a:solidFill>
              <a:latin typeface="Arial Rounded MT Bold" panose="020F0704030504030204" pitchFamily="34" charset="0"/>
            </a:rPr>
            <a:t> </a:t>
          </a:r>
          <a:r>
            <a:rPr lang="en-CA" sz="2400" b="1">
              <a:solidFill>
                <a:schemeClr val="bg1"/>
              </a:solidFill>
              <a:latin typeface="Arial Rounded MT Bold" panose="020F0704030504030204" pitchFamily="34" charset="0"/>
            </a:rPr>
            <a:t>performance</a:t>
          </a:r>
          <a:r>
            <a:rPr lang="en-CA" sz="2000" b="1">
              <a:solidFill>
                <a:schemeClr val="bg1"/>
              </a:solidFill>
              <a:latin typeface="Arial Rounded MT Bold" panose="020F0704030504030204" pitchFamily="34" charset="0"/>
            </a:rPr>
            <a:t> </a:t>
          </a:r>
        </a:p>
      </xdr:txBody>
    </xdr:sp>
    <xdr:clientData/>
  </xdr:oneCellAnchor>
  <xdr:twoCellAnchor>
    <xdr:from>
      <xdr:col>7</xdr:col>
      <xdr:colOff>151316</xdr:colOff>
      <xdr:row>11</xdr:row>
      <xdr:rowOff>135299</xdr:rowOff>
    </xdr:from>
    <xdr:to>
      <xdr:col>18</xdr:col>
      <xdr:colOff>213231</xdr:colOff>
      <xdr:row>32</xdr:row>
      <xdr:rowOff>63859</xdr:rowOff>
    </xdr:to>
    <xdr:sp macro="" textlink="">
      <xdr:nvSpPr>
        <xdr:cNvPr id="8" name="Rectangle: Rounded Corners 7">
          <a:extLst>
            <a:ext uri="{FF2B5EF4-FFF2-40B4-BE49-F238E27FC236}">
              <a16:creationId xmlns:a16="http://schemas.microsoft.com/office/drawing/2014/main" id="{4AE23D24-4D1C-4F1C-B3B0-1D453F958948}"/>
            </a:ext>
          </a:extLst>
        </xdr:cNvPr>
        <xdr:cNvSpPr/>
      </xdr:nvSpPr>
      <xdr:spPr>
        <a:xfrm>
          <a:off x="4394271" y="2230799"/>
          <a:ext cx="6729415" cy="3929060"/>
        </a:xfrm>
        <a:prstGeom prst="roundRect">
          <a:avLst>
            <a:gd name="adj" fmla="val 7670"/>
          </a:avLst>
        </a:prstGeom>
        <a:solidFill>
          <a:srgbClr val="D055E5">
            <a:alpha val="50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7</xdr:col>
      <xdr:colOff>172749</xdr:colOff>
      <xdr:row>32</xdr:row>
      <xdr:rowOff>159098</xdr:rowOff>
    </xdr:from>
    <xdr:to>
      <xdr:col>18</xdr:col>
      <xdr:colOff>213231</xdr:colOff>
      <xdr:row>50</xdr:row>
      <xdr:rowOff>111473</xdr:rowOff>
    </xdr:to>
    <xdr:sp macro="" textlink="">
      <xdr:nvSpPr>
        <xdr:cNvPr id="10" name="Rectangle: Rounded Corners 9">
          <a:extLst>
            <a:ext uri="{FF2B5EF4-FFF2-40B4-BE49-F238E27FC236}">
              <a16:creationId xmlns:a16="http://schemas.microsoft.com/office/drawing/2014/main" id="{4E234DF6-B5D2-4518-AE30-6F9B6C106B6E}"/>
            </a:ext>
          </a:extLst>
        </xdr:cNvPr>
        <xdr:cNvSpPr/>
      </xdr:nvSpPr>
      <xdr:spPr>
        <a:xfrm>
          <a:off x="4415704" y="6255098"/>
          <a:ext cx="6707982" cy="3381375"/>
        </a:xfrm>
        <a:prstGeom prst="roundRect">
          <a:avLst>
            <a:gd name="adj" fmla="val 7670"/>
          </a:avLst>
        </a:prstGeom>
        <a:solidFill>
          <a:srgbClr val="D055E5">
            <a:alpha val="50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18</xdr:col>
      <xdr:colOff>291803</xdr:colOff>
      <xdr:row>11</xdr:row>
      <xdr:rowOff>135296</xdr:rowOff>
    </xdr:from>
    <xdr:to>
      <xdr:col>31</xdr:col>
      <xdr:colOff>132265</xdr:colOff>
      <xdr:row>32</xdr:row>
      <xdr:rowOff>62396</xdr:rowOff>
    </xdr:to>
    <xdr:sp macro="" textlink="">
      <xdr:nvSpPr>
        <xdr:cNvPr id="11" name="Rectangle: Rounded Corners 10">
          <a:extLst>
            <a:ext uri="{FF2B5EF4-FFF2-40B4-BE49-F238E27FC236}">
              <a16:creationId xmlns:a16="http://schemas.microsoft.com/office/drawing/2014/main" id="{7A3A5DE4-81E0-474E-B080-7914CF5EBE4A}"/>
            </a:ext>
          </a:extLst>
        </xdr:cNvPr>
        <xdr:cNvSpPr/>
      </xdr:nvSpPr>
      <xdr:spPr>
        <a:xfrm>
          <a:off x="11202258" y="2230796"/>
          <a:ext cx="7720234" cy="3927600"/>
        </a:xfrm>
        <a:prstGeom prst="roundRect">
          <a:avLst>
            <a:gd name="adj" fmla="val 7670"/>
          </a:avLst>
        </a:prstGeom>
        <a:solidFill>
          <a:srgbClr val="D055E5">
            <a:alpha val="50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18</xdr:col>
      <xdr:colOff>289425</xdr:colOff>
      <xdr:row>32</xdr:row>
      <xdr:rowOff>159109</xdr:rowOff>
    </xdr:from>
    <xdr:to>
      <xdr:col>31</xdr:col>
      <xdr:colOff>132265</xdr:colOff>
      <xdr:row>50</xdr:row>
      <xdr:rowOff>128302</xdr:rowOff>
    </xdr:to>
    <xdr:sp macro="" textlink="">
      <xdr:nvSpPr>
        <xdr:cNvPr id="12" name="Rectangle: Rounded Corners 11">
          <a:extLst>
            <a:ext uri="{FF2B5EF4-FFF2-40B4-BE49-F238E27FC236}">
              <a16:creationId xmlns:a16="http://schemas.microsoft.com/office/drawing/2014/main" id="{E836633D-D788-4BDF-B1CF-DB14AED26A42}"/>
            </a:ext>
          </a:extLst>
        </xdr:cNvPr>
        <xdr:cNvSpPr/>
      </xdr:nvSpPr>
      <xdr:spPr>
        <a:xfrm>
          <a:off x="11199880" y="6255109"/>
          <a:ext cx="7722612" cy="3398193"/>
        </a:xfrm>
        <a:prstGeom prst="roundRect">
          <a:avLst>
            <a:gd name="adj" fmla="val 7670"/>
          </a:avLst>
        </a:prstGeom>
        <a:solidFill>
          <a:srgbClr val="D055E5">
            <a:alpha val="50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7</xdr:col>
      <xdr:colOff>113219</xdr:colOff>
      <xdr:row>6</xdr:row>
      <xdr:rowOff>61480</xdr:rowOff>
    </xdr:from>
    <xdr:to>
      <xdr:col>9</xdr:col>
      <xdr:colOff>517700</xdr:colOff>
      <xdr:row>11</xdr:row>
      <xdr:rowOff>28142</xdr:rowOff>
    </xdr:to>
    <xdr:sp macro="" textlink="">
      <xdr:nvSpPr>
        <xdr:cNvPr id="13" name="Rectangle: Rounded Corners 12">
          <a:extLst>
            <a:ext uri="{FF2B5EF4-FFF2-40B4-BE49-F238E27FC236}">
              <a16:creationId xmlns:a16="http://schemas.microsoft.com/office/drawing/2014/main" id="{531ECA62-2A98-4EAE-B892-904A10AD2AF9}"/>
            </a:ext>
          </a:extLst>
        </xdr:cNvPr>
        <xdr:cNvSpPr/>
      </xdr:nvSpPr>
      <xdr:spPr>
        <a:xfrm>
          <a:off x="4356174" y="1204480"/>
          <a:ext cx="1616753" cy="919162"/>
        </a:xfrm>
        <a:prstGeom prst="roundRect">
          <a:avLst>
            <a:gd name="adj" fmla="val 29477"/>
          </a:avLst>
        </a:prstGeom>
        <a:solidFill>
          <a:srgbClr val="D055E5">
            <a:alpha val="50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9</xdr:col>
      <xdr:colOff>550286</xdr:colOff>
      <xdr:row>6</xdr:row>
      <xdr:rowOff>71011</xdr:rowOff>
    </xdr:from>
    <xdr:to>
      <xdr:col>12</xdr:col>
      <xdr:colOff>349712</xdr:colOff>
      <xdr:row>11</xdr:row>
      <xdr:rowOff>36511</xdr:rowOff>
    </xdr:to>
    <xdr:sp macro="" textlink="">
      <xdr:nvSpPr>
        <xdr:cNvPr id="14" name="Rectangle: Rounded Corners 13">
          <a:extLst>
            <a:ext uri="{FF2B5EF4-FFF2-40B4-BE49-F238E27FC236}">
              <a16:creationId xmlns:a16="http://schemas.microsoft.com/office/drawing/2014/main" id="{B976142A-E228-4C63-8BEC-C89256B028C4}"/>
            </a:ext>
          </a:extLst>
        </xdr:cNvPr>
        <xdr:cNvSpPr/>
      </xdr:nvSpPr>
      <xdr:spPr>
        <a:xfrm>
          <a:off x="6005513" y="1214011"/>
          <a:ext cx="1617835" cy="918000"/>
        </a:xfrm>
        <a:prstGeom prst="roundRect">
          <a:avLst>
            <a:gd name="adj" fmla="val 29477"/>
          </a:avLst>
        </a:prstGeom>
        <a:solidFill>
          <a:srgbClr val="D055E5">
            <a:alpha val="50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twoCellAnchor>
    <xdr:from>
      <xdr:col>12</xdr:col>
      <xdr:colOff>370393</xdr:colOff>
      <xdr:row>6</xdr:row>
      <xdr:rowOff>87681</xdr:rowOff>
    </xdr:from>
    <xdr:to>
      <xdr:col>15</xdr:col>
      <xdr:colOff>168737</xdr:colOff>
      <xdr:row>11</xdr:row>
      <xdr:rowOff>53181</xdr:rowOff>
    </xdr:to>
    <xdr:sp macro="" textlink="">
      <xdr:nvSpPr>
        <xdr:cNvPr id="15" name="Rectangle: Rounded Corners 14">
          <a:extLst>
            <a:ext uri="{FF2B5EF4-FFF2-40B4-BE49-F238E27FC236}">
              <a16:creationId xmlns:a16="http://schemas.microsoft.com/office/drawing/2014/main" id="{4A4EC78F-E964-4A0E-BE20-D2846E9F8762}"/>
            </a:ext>
          </a:extLst>
        </xdr:cNvPr>
        <xdr:cNvSpPr/>
      </xdr:nvSpPr>
      <xdr:spPr>
        <a:xfrm>
          <a:off x="7644029" y="1230681"/>
          <a:ext cx="1616753" cy="918000"/>
        </a:xfrm>
        <a:prstGeom prst="roundRect">
          <a:avLst>
            <a:gd name="adj" fmla="val 29477"/>
          </a:avLst>
        </a:prstGeom>
        <a:solidFill>
          <a:srgbClr val="D055E5">
            <a:alpha val="50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CA" sz="1100"/>
        </a:p>
      </xdr:txBody>
    </xdr:sp>
    <xdr:clientData/>
  </xdr:twoCellAnchor>
  <xdr:oneCellAnchor>
    <xdr:from>
      <xdr:col>7</xdr:col>
      <xdr:colOff>189420</xdr:colOff>
      <xdr:row>6</xdr:row>
      <xdr:rowOff>56724</xdr:rowOff>
    </xdr:from>
    <xdr:ext cx="723403" cy="374141"/>
    <xdr:sp macro="" textlink="">
      <xdr:nvSpPr>
        <xdr:cNvPr id="17" name="TextBox 16">
          <a:extLst>
            <a:ext uri="{FF2B5EF4-FFF2-40B4-BE49-F238E27FC236}">
              <a16:creationId xmlns:a16="http://schemas.microsoft.com/office/drawing/2014/main" id="{8DB1B04B-977F-3951-C51B-6C027617A897}"/>
            </a:ext>
          </a:extLst>
        </xdr:cNvPr>
        <xdr:cNvSpPr txBox="1"/>
      </xdr:nvSpPr>
      <xdr:spPr>
        <a:xfrm>
          <a:off x="4432375" y="1199724"/>
          <a:ext cx="723403"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CA" sz="1800" b="1">
              <a:solidFill>
                <a:schemeClr val="bg1"/>
              </a:solidFill>
            </a:rPr>
            <a:t>Profit</a:t>
          </a:r>
        </a:p>
      </xdr:txBody>
    </xdr:sp>
    <xdr:clientData/>
  </xdr:oneCellAnchor>
  <xdr:oneCellAnchor>
    <xdr:from>
      <xdr:col>7</xdr:col>
      <xdr:colOff>153700</xdr:colOff>
      <xdr:row>8</xdr:row>
      <xdr:rowOff>125775</xdr:rowOff>
    </xdr:from>
    <xdr:ext cx="1352999" cy="374141"/>
    <xdr:sp macro="" textlink="'Pivot Tables'!H3">
      <xdr:nvSpPr>
        <xdr:cNvPr id="18" name="TextBox 17">
          <a:extLst>
            <a:ext uri="{FF2B5EF4-FFF2-40B4-BE49-F238E27FC236}">
              <a16:creationId xmlns:a16="http://schemas.microsoft.com/office/drawing/2014/main" id="{BBF5FD16-DFB9-9EE6-60B0-99B829C82C6A}"/>
            </a:ext>
          </a:extLst>
        </xdr:cNvPr>
        <xdr:cNvSpPr txBox="1"/>
      </xdr:nvSpPr>
      <xdr:spPr>
        <a:xfrm>
          <a:off x="4396655" y="1649775"/>
          <a:ext cx="1352999"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BCEF49B2-C9D9-4F95-9C76-F8C6B83DEC1C}" type="TxLink">
            <a:rPr lang="en-US" sz="1800" b="1" i="0" u="none" strike="noStrike">
              <a:solidFill>
                <a:schemeClr val="bg1"/>
              </a:solidFill>
              <a:latin typeface="Calibri"/>
              <a:cs typeface="Calibri"/>
            </a:rPr>
            <a:pPr/>
            <a:t>$38,254,272</a:t>
          </a:fld>
          <a:endParaRPr lang="en-CA" sz="1800" b="1">
            <a:solidFill>
              <a:schemeClr val="bg1"/>
            </a:solidFill>
          </a:endParaRPr>
        </a:p>
      </xdr:txBody>
    </xdr:sp>
    <xdr:clientData/>
  </xdr:oneCellAnchor>
  <xdr:oneCellAnchor>
    <xdr:from>
      <xdr:col>10</xdr:col>
      <xdr:colOff>129887</xdr:colOff>
      <xdr:row>6</xdr:row>
      <xdr:rowOff>56724</xdr:rowOff>
    </xdr:from>
    <xdr:ext cx="1020151" cy="374141"/>
    <xdr:sp macro="" textlink="">
      <xdr:nvSpPr>
        <xdr:cNvPr id="19" name="TextBox 18">
          <a:extLst>
            <a:ext uri="{FF2B5EF4-FFF2-40B4-BE49-F238E27FC236}">
              <a16:creationId xmlns:a16="http://schemas.microsoft.com/office/drawing/2014/main" id="{0505BF99-AE84-C93B-3655-41CE34DE3F6B}"/>
            </a:ext>
          </a:extLst>
        </xdr:cNvPr>
        <xdr:cNvSpPr txBox="1"/>
      </xdr:nvSpPr>
      <xdr:spPr>
        <a:xfrm>
          <a:off x="6191251" y="1199724"/>
          <a:ext cx="1020151"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CA" sz="1800" b="1">
              <a:solidFill>
                <a:schemeClr val="bg1"/>
              </a:solidFill>
            </a:rPr>
            <a:t>Revenue</a:t>
          </a:r>
        </a:p>
      </xdr:txBody>
    </xdr:sp>
    <xdr:clientData/>
  </xdr:oneCellAnchor>
  <xdr:oneCellAnchor>
    <xdr:from>
      <xdr:col>12</xdr:col>
      <xdr:colOff>370393</xdr:colOff>
      <xdr:row>6</xdr:row>
      <xdr:rowOff>56724</xdr:rowOff>
    </xdr:from>
    <xdr:ext cx="1700212" cy="483392"/>
    <xdr:sp macro="" textlink="">
      <xdr:nvSpPr>
        <xdr:cNvPr id="20" name="TextBox 19">
          <a:extLst>
            <a:ext uri="{FF2B5EF4-FFF2-40B4-BE49-F238E27FC236}">
              <a16:creationId xmlns:a16="http://schemas.microsoft.com/office/drawing/2014/main" id="{E5E50796-5634-4FC8-8F46-B310F92B7500}"/>
            </a:ext>
          </a:extLst>
        </xdr:cNvPr>
        <xdr:cNvSpPr txBox="1"/>
      </xdr:nvSpPr>
      <xdr:spPr>
        <a:xfrm>
          <a:off x="7644029" y="1199724"/>
          <a:ext cx="1700212" cy="48339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CA" sz="1800" b="1">
              <a:solidFill>
                <a:schemeClr val="bg1"/>
              </a:solidFill>
            </a:rPr>
            <a:t>Operating</a:t>
          </a:r>
          <a:r>
            <a:rPr lang="en-CA" sz="1800" b="1" baseline="0">
              <a:solidFill>
                <a:schemeClr val="bg1"/>
              </a:solidFill>
            </a:rPr>
            <a:t> cost</a:t>
          </a:r>
          <a:endParaRPr lang="en-CA" sz="1800" b="1">
            <a:solidFill>
              <a:schemeClr val="bg1"/>
            </a:solidFill>
          </a:endParaRPr>
        </a:p>
      </xdr:txBody>
    </xdr:sp>
    <xdr:clientData/>
  </xdr:oneCellAnchor>
  <xdr:oneCellAnchor>
    <xdr:from>
      <xdr:col>14</xdr:col>
      <xdr:colOff>605055</xdr:colOff>
      <xdr:row>1</xdr:row>
      <xdr:rowOff>111488</xdr:rowOff>
    </xdr:from>
    <xdr:ext cx="184731" cy="374141"/>
    <xdr:sp macro="" textlink="">
      <xdr:nvSpPr>
        <xdr:cNvPr id="21" name="TextBox 20">
          <a:extLst>
            <a:ext uri="{FF2B5EF4-FFF2-40B4-BE49-F238E27FC236}">
              <a16:creationId xmlns:a16="http://schemas.microsoft.com/office/drawing/2014/main" id="{DD154D84-DDFB-4B89-A7BC-4C3826CC51BB}"/>
            </a:ext>
          </a:extLst>
        </xdr:cNvPr>
        <xdr:cNvSpPr txBox="1"/>
      </xdr:nvSpPr>
      <xdr:spPr>
        <a:xfrm>
          <a:off x="9090964" y="301988"/>
          <a:ext cx="184731"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CA" sz="1800" b="1">
            <a:solidFill>
              <a:schemeClr val="tx1"/>
            </a:solidFill>
          </a:endParaRPr>
        </a:p>
      </xdr:txBody>
    </xdr:sp>
    <xdr:clientData/>
  </xdr:oneCellAnchor>
  <xdr:oneCellAnchor>
    <xdr:from>
      <xdr:col>10</xdr:col>
      <xdr:colOff>110838</xdr:colOff>
      <xdr:row>8</xdr:row>
      <xdr:rowOff>125775</xdr:rowOff>
    </xdr:from>
    <xdr:ext cx="1352999" cy="374141"/>
    <xdr:sp macro="" textlink="'Pivot Tables'!H4">
      <xdr:nvSpPr>
        <xdr:cNvPr id="22" name="TextBox 21">
          <a:extLst>
            <a:ext uri="{FF2B5EF4-FFF2-40B4-BE49-F238E27FC236}">
              <a16:creationId xmlns:a16="http://schemas.microsoft.com/office/drawing/2014/main" id="{97E6EB20-06E8-4485-BD8D-9DA1EA021005}"/>
            </a:ext>
          </a:extLst>
        </xdr:cNvPr>
        <xdr:cNvSpPr txBox="1"/>
      </xdr:nvSpPr>
      <xdr:spPr>
        <a:xfrm>
          <a:off x="6172202" y="1649775"/>
          <a:ext cx="1352999"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233A9996-BD90-4623-A8B6-FB5B250DA979}" type="TxLink">
            <a:rPr lang="en-US" sz="1800" b="1" i="0" u="none" strike="noStrike">
              <a:solidFill>
                <a:schemeClr val="bg1"/>
              </a:solidFill>
              <a:latin typeface="Calibri"/>
              <a:cs typeface="Calibri"/>
            </a:rPr>
            <a:pPr/>
            <a:t>$59,421,720</a:t>
          </a:fld>
          <a:endParaRPr lang="en-CA" sz="3200" b="1">
            <a:solidFill>
              <a:schemeClr val="bg1"/>
            </a:solidFill>
          </a:endParaRPr>
        </a:p>
      </xdr:txBody>
    </xdr:sp>
    <xdr:clientData/>
  </xdr:oneCellAnchor>
  <xdr:oneCellAnchor>
    <xdr:from>
      <xdr:col>12</xdr:col>
      <xdr:colOff>418018</xdr:colOff>
      <xdr:row>8</xdr:row>
      <xdr:rowOff>125775</xdr:rowOff>
    </xdr:from>
    <xdr:ext cx="1352999" cy="374141"/>
    <xdr:sp macro="" textlink="'Pivot Tables'!H5">
      <xdr:nvSpPr>
        <xdr:cNvPr id="23" name="TextBox 22">
          <a:extLst>
            <a:ext uri="{FF2B5EF4-FFF2-40B4-BE49-F238E27FC236}">
              <a16:creationId xmlns:a16="http://schemas.microsoft.com/office/drawing/2014/main" id="{38D96FE7-BF00-4FCF-A408-D63D45D4A2DB}"/>
            </a:ext>
          </a:extLst>
        </xdr:cNvPr>
        <xdr:cNvSpPr txBox="1"/>
      </xdr:nvSpPr>
      <xdr:spPr>
        <a:xfrm>
          <a:off x="7691654" y="1649775"/>
          <a:ext cx="1352999"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6E182801-9CFD-4D1A-A074-6686977090D7}" type="TxLink">
            <a:rPr lang="en-US" sz="1800" b="1" i="0" u="none" strike="noStrike">
              <a:solidFill>
                <a:schemeClr val="bg1"/>
              </a:solidFill>
              <a:latin typeface="Calibri"/>
              <a:cs typeface="Calibri"/>
            </a:rPr>
            <a:pPr/>
            <a:t>$21,167,448</a:t>
          </a:fld>
          <a:endParaRPr lang="en-CA" sz="3200" b="1">
            <a:solidFill>
              <a:schemeClr val="bg1"/>
            </a:solidFill>
          </a:endParaRPr>
        </a:p>
      </xdr:txBody>
    </xdr:sp>
    <xdr:clientData/>
  </xdr:oneCellAnchor>
  <xdr:oneCellAnchor>
    <xdr:from>
      <xdr:col>7</xdr:col>
      <xdr:colOff>248947</xdr:colOff>
      <xdr:row>12</xdr:row>
      <xdr:rowOff>55521</xdr:rowOff>
    </xdr:from>
    <xdr:ext cx="1435842" cy="374141"/>
    <xdr:sp macro="" textlink="">
      <xdr:nvSpPr>
        <xdr:cNvPr id="25" name="TextBox 24">
          <a:extLst>
            <a:ext uri="{FF2B5EF4-FFF2-40B4-BE49-F238E27FC236}">
              <a16:creationId xmlns:a16="http://schemas.microsoft.com/office/drawing/2014/main" id="{FAC19CD7-3668-5D1E-8344-C0FFD55F4773}"/>
            </a:ext>
          </a:extLst>
        </xdr:cNvPr>
        <xdr:cNvSpPr txBox="1"/>
      </xdr:nvSpPr>
      <xdr:spPr>
        <a:xfrm>
          <a:off x="4491902" y="2341521"/>
          <a:ext cx="1435842"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CA" sz="1800" b="1">
              <a:solidFill>
                <a:schemeClr val="bg1"/>
              </a:solidFill>
            </a:rPr>
            <a:t>Region</a:t>
          </a:r>
          <a:r>
            <a:rPr lang="en-CA" sz="1800" b="1" baseline="0">
              <a:solidFill>
                <a:schemeClr val="bg1"/>
              </a:solidFill>
            </a:rPr>
            <a:t> Profit</a:t>
          </a:r>
          <a:endParaRPr lang="en-CA" sz="1800" b="1">
            <a:solidFill>
              <a:schemeClr val="bg1"/>
            </a:solidFill>
          </a:endParaRPr>
        </a:p>
      </xdr:txBody>
    </xdr:sp>
    <xdr:clientData/>
  </xdr:oneCellAnchor>
  <xdr:twoCellAnchor>
    <xdr:from>
      <xdr:col>18</xdr:col>
      <xdr:colOff>372770</xdr:colOff>
      <xdr:row>15</xdr:row>
      <xdr:rowOff>111483</xdr:rowOff>
    </xdr:from>
    <xdr:to>
      <xdr:col>30</xdr:col>
      <xdr:colOff>177512</xdr:colOff>
      <xdr:row>32</xdr:row>
      <xdr:rowOff>16222</xdr:rowOff>
    </xdr:to>
    <xdr:graphicFrame macro="">
      <xdr:nvGraphicFramePr>
        <xdr:cNvPr id="26" name="Chart 25">
          <a:extLst>
            <a:ext uri="{FF2B5EF4-FFF2-40B4-BE49-F238E27FC236}">
              <a16:creationId xmlns:a16="http://schemas.microsoft.com/office/drawing/2014/main" id="{27EC4C90-C907-4D7F-A723-E71FA466F1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18</xdr:col>
      <xdr:colOff>455031</xdr:colOff>
      <xdr:row>12</xdr:row>
      <xdr:rowOff>55521</xdr:rowOff>
    </xdr:from>
    <xdr:ext cx="2406108" cy="374141"/>
    <xdr:sp macro="" textlink="">
      <xdr:nvSpPr>
        <xdr:cNvPr id="27" name="TextBox 26">
          <a:extLst>
            <a:ext uri="{FF2B5EF4-FFF2-40B4-BE49-F238E27FC236}">
              <a16:creationId xmlns:a16="http://schemas.microsoft.com/office/drawing/2014/main" id="{C2836E37-7A76-4C62-992E-F0C42F0F1540}"/>
            </a:ext>
          </a:extLst>
        </xdr:cNvPr>
        <xdr:cNvSpPr txBox="1"/>
      </xdr:nvSpPr>
      <xdr:spPr>
        <a:xfrm>
          <a:off x="11365486" y="2341521"/>
          <a:ext cx="2406108"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CA" sz="1800" b="1">
              <a:solidFill>
                <a:schemeClr val="bg1"/>
              </a:solidFill>
            </a:rPr>
            <a:t>Most</a:t>
          </a:r>
          <a:r>
            <a:rPr lang="en-CA" sz="1800" b="1" baseline="0">
              <a:solidFill>
                <a:schemeClr val="bg1"/>
              </a:solidFill>
            </a:rPr>
            <a:t> Profitable Branch</a:t>
          </a:r>
          <a:endParaRPr lang="en-CA" sz="1800" b="1">
            <a:solidFill>
              <a:schemeClr val="bg1"/>
            </a:solidFill>
          </a:endParaRPr>
        </a:p>
      </xdr:txBody>
    </xdr:sp>
    <xdr:clientData/>
  </xdr:oneCellAnchor>
  <xdr:twoCellAnchor>
    <xdr:from>
      <xdr:col>7</xdr:col>
      <xdr:colOff>457416</xdr:colOff>
      <xdr:row>36</xdr:row>
      <xdr:rowOff>4328</xdr:rowOff>
    </xdr:from>
    <xdr:to>
      <xdr:col>17</xdr:col>
      <xdr:colOff>557430</xdr:colOff>
      <xdr:row>49</xdr:row>
      <xdr:rowOff>151954</xdr:rowOff>
    </xdr:to>
    <xdr:graphicFrame macro="">
      <xdr:nvGraphicFramePr>
        <xdr:cNvPr id="30" name="Chart 29">
          <a:extLst>
            <a:ext uri="{FF2B5EF4-FFF2-40B4-BE49-F238E27FC236}">
              <a16:creationId xmlns:a16="http://schemas.microsoft.com/office/drawing/2014/main" id="{D6D8744D-87DB-4BCD-A20D-2A9A76E0B1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7</xdr:col>
      <xdr:colOff>284668</xdr:colOff>
      <xdr:row>33</xdr:row>
      <xdr:rowOff>16228</xdr:rowOff>
    </xdr:from>
    <xdr:ext cx="2339358" cy="374141"/>
    <xdr:sp macro="" textlink="">
      <xdr:nvSpPr>
        <xdr:cNvPr id="31" name="TextBox 30">
          <a:extLst>
            <a:ext uri="{FF2B5EF4-FFF2-40B4-BE49-F238E27FC236}">
              <a16:creationId xmlns:a16="http://schemas.microsoft.com/office/drawing/2014/main" id="{526BEF72-B11C-FA7F-E182-E81DDD36735C}"/>
            </a:ext>
          </a:extLst>
        </xdr:cNvPr>
        <xdr:cNvSpPr txBox="1"/>
      </xdr:nvSpPr>
      <xdr:spPr>
        <a:xfrm>
          <a:off x="4527623" y="6302728"/>
          <a:ext cx="2339358"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CA" sz="1800" b="1">
              <a:solidFill>
                <a:schemeClr val="bg1"/>
              </a:solidFill>
            </a:rPr>
            <a:t>Branch Operating Cost</a:t>
          </a:r>
        </a:p>
      </xdr:txBody>
    </xdr:sp>
    <xdr:clientData/>
  </xdr:oneCellAnchor>
  <xdr:oneCellAnchor>
    <xdr:from>
      <xdr:col>18</xdr:col>
      <xdr:colOff>368012</xdr:colOff>
      <xdr:row>33</xdr:row>
      <xdr:rowOff>16228</xdr:rowOff>
    </xdr:from>
    <xdr:ext cx="3709092" cy="374141"/>
    <xdr:sp macro="" textlink="">
      <xdr:nvSpPr>
        <xdr:cNvPr id="34" name="TextBox 33">
          <a:extLst>
            <a:ext uri="{FF2B5EF4-FFF2-40B4-BE49-F238E27FC236}">
              <a16:creationId xmlns:a16="http://schemas.microsoft.com/office/drawing/2014/main" id="{59973FE4-1DF6-5BD4-C6FE-991C6D860635}"/>
            </a:ext>
          </a:extLst>
        </xdr:cNvPr>
        <xdr:cNvSpPr txBox="1"/>
      </xdr:nvSpPr>
      <xdr:spPr>
        <a:xfrm>
          <a:off x="11278467" y="6302728"/>
          <a:ext cx="3709092"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CA" sz="1800" b="1">
              <a:solidFill>
                <a:schemeClr val="bg1"/>
              </a:solidFill>
            </a:rPr>
            <a:t>Most</a:t>
          </a:r>
          <a:r>
            <a:rPr lang="en-CA" sz="1800" b="1" baseline="0">
              <a:solidFill>
                <a:schemeClr val="bg1"/>
              </a:solidFill>
            </a:rPr>
            <a:t> revenue per Employee(Branch)</a:t>
          </a:r>
        </a:p>
      </xdr:txBody>
    </xdr:sp>
    <xdr:clientData/>
  </xdr:oneCellAnchor>
  <xdr:twoCellAnchor>
    <xdr:from>
      <xdr:col>8</xdr:col>
      <xdr:colOff>246304</xdr:colOff>
      <xdr:row>15</xdr:row>
      <xdr:rowOff>147206</xdr:rowOff>
    </xdr:from>
    <xdr:to>
      <xdr:col>16</xdr:col>
      <xdr:colOff>403738</xdr:colOff>
      <xdr:row>30</xdr:row>
      <xdr:rowOff>32906</xdr:rowOff>
    </xdr:to>
    <xdr:graphicFrame macro="">
      <xdr:nvGraphicFramePr>
        <xdr:cNvPr id="35" name="Chart 34">
          <a:extLst>
            <a:ext uri="{FF2B5EF4-FFF2-40B4-BE49-F238E27FC236}">
              <a16:creationId xmlns:a16="http://schemas.microsoft.com/office/drawing/2014/main" id="{53180D93-7414-4F0A-B039-877CE408C7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7</xdr:col>
      <xdr:colOff>272820</xdr:colOff>
      <xdr:row>13</xdr:row>
      <xdr:rowOff>159108</xdr:rowOff>
    </xdr:from>
    <xdr:ext cx="3688574" cy="311496"/>
    <xdr:sp macro="" textlink="">
      <xdr:nvSpPr>
        <xdr:cNvPr id="36" name="TextBox 35">
          <a:extLst>
            <a:ext uri="{FF2B5EF4-FFF2-40B4-BE49-F238E27FC236}">
              <a16:creationId xmlns:a16="http://schemas.microsoft.com/office/drawing/2014/main" id="{2E5E9B27-F4B4-4098-77DA-0C3CABF9F281}"/>
            </a:ext>
          </a:extLst>
        </xdr:cNvPr>
        <xdr:cNvSpPr txBox="1"/>
      </xdr:nvSpPr>
      <xdr:spPr>
        <a:xfrm>
          <a:off x="4515775" y="2635608"/>
          <a:ext cx="3688574"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CA" sz="1400" b="1">
              <a:solidFill>
                <a:schemeClr val="bg1"/>
              </a:solidFill>
            </a:rPr>
            <a:t>The South has been the most Profitable</a:t>
          </a:r>
          <a:r>
            <a:rPr lang="en-CA" sz="1400" b="1" baseline="0">
              <a:solidFill>
                <a:schemeClr val="bg1"/>
              </a:solidFill>
            </a:rPr>
            <a:t> Region</a:t>
          </a:r>
          <a:endParaRPr lang="en-CA" sz="1400" b="1">
            <a:solidFill>
              <a:schemeClr val="bg1"/>
            </a:solidFill>
          </a:endParaRPr>
        </a:p>
      </xdr:txBody>
    </xdr:sp>
    <xdr:clientData/>
  </xdr:oneCellAnchor>
  <xdr:oneCellAnchor>
    <xdr:from>
      <xdr:col>18</xdr:col>
      <xdr:colOff>457408</xdr:colOff>
      <xdr:row>13</xdr:row>
      <xdr:rowOff>135295</xdr:rowOff>
    </xdr:from>
    <xdr:ext cx="4192430" cy="311496"/>
    <xdr:sp macro="" textlink="">
      <xdr:nvSpPr>
        <xdr:cNvPr id="37" name="TextBox 36">
          <a:extLst>
            <a:ext uri="{FF2B5EF4-FFF2-40B4-BE49-F238E27FC236}">
              <a16:creationId xmlns:a16="http://schemas.microsoft.com/office/drawing/2014/main" id="{C356BAD5-3B3E-4632-924D-4F2F1C64A7AB}"/>
            </a:ext>
          </a:extLst>
        </xdr:cNvPr>
        <xdr:cNvSpPr txBox="1"/>
      </xdr:nvSpPr>
      <xdr:spPr>
        <a:xfrm>
          <a:off x="11367863" y="2611795"/>
          <a:ext cx="4192430"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CA" sz="1400" b="1">
              <a:solidFill>
                <a:schemeClr val="bg1"/>
              </a:solidFill>
            </a:rPr>
            <a:t>Lisaville</a:t>
          </a:r>
          <a:r>
            <a:rPr lang="en-CA" sz="1400" b="1" baseline="0">
              <a:solidFill>
                <a:schemeClr val="bg1"/>
              </a:solidFill>
            </a:rPr>
            <a:t> Branch has made the most Profits $4,203,646</a:t>
          </a:r>
          <a:endParaRPr lang="en-CA" sz="1400" b="1">
            <a:solidFill>
              <a:schemeClr val="bg1"/>
            </a:solidFill>
          </a:endParaRPr>
        </a:p>
      </xdr:txBody>
    </xdr:sp>
    <xdr:clientData/>
  </xdr:oneCellAnchor>
  <xdr:oneCellAnchor>
    <xdr:from>
      <xdr:col>7</xdr:col>
      <xdr:colOff>291811</xdr:colOff>
      <xdr:row>34</xdr:row>
      <xdr:rowOff>87661</xdr:rowOff>
    </xdr:from>
    <xdr:ext cx="5979842" cy="280205"/>
    <xdr:sp macro="" textlink="">
      <xdr:nvSpPr>
        <xdr:cNvPr id="38" name="TextBox 37">
          <a:extLst>
            <a:ext uri="{FF2B5EF4-FFF2-40B4-BE49-F238E27FC236}">
              <a16:creationId xmlns:a16="http://schemas.microsoft.com/office/drawing/2014/main" id="{88C73647-D705-481C-AE43-A6A7BD587654}"/>
            </a:ext>
          </a:extLst>
        </xdr:cNvPr>
        <xdr:cNvSpPr txBox="1"/>
      </xdr:nvSpPr>
      <xdr:spPr>
        <a:xfrm>
          <a:off x="4534766" y="6564661"/>
          <a:ext cx="5979842"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CA" sz="1200" b="1">
              <a:solidFill>
                <a:schemeClr val="bg1"/>
              </a:solidFill>
            </a:rPr>
            <a:t>Javiertown</a:t>
          </a:r>
          <a:r>
            <a:rPr lang="en-CA" sz="1200" b="1" baseline="0">
              <a:solidFill>
                <a:schemeClr val="bg1"/>
              </a:solidFill>
            </a:rPr>
            <a:t> has the Highest Operating Cost and it is Justified because it gave a Higher Profit</a:t>
          </a:r>
          <a:endParaRPr lang="en-CA" sz="1200" b="1">
            <a:solidFill>
              <a:schemeClr val="bg1"/>
            </a:solidFill>
          </a:endParaRPr>
        </a:p>
      </xdr:txBody>
    </xdr:sp>
    <xdr:clientData/>
  </xdr:oneCellAnchor>
  <xdr:oneCellAnchor>
    <xdr:from>
      <xdr:col>18</xdr:col>
      <xdr:colOff>360863</xdr:colOff>
      <xdr:row>34</xdr:row>
      <xdr:rowOff>99577</xdr:rowOff>
    </xdr:from>
    <xdr:ext cx="5105052" cy="311496"/>
    <xdr:sp macro="" textlink="">
      <xdr:nvSpPr>
        <xdr:cNvPr id="39" name="TextBox 38">
          <a:extLst>
            <a:ext uri="{FF2B5EF4-FFF2-40B4-BE49-F238E27FC236}">
              <a16:creationId xmlns:a16="http://schemas.microsoft.com/office/drawing/2014/main" id="{5D82154C-5FCF-47F8-B8E6-7FD5274FD9EE}"/>
            </a:ext>
          </a:extLst>
        </xdr:cNvPr>
        <xdr:cNvSpPr txBox="1"/>
      </xdr:nvSpPr>
      <xdr:spPr>
        <a:xfrm>
          <a:off x="11271318" y="6576577"/>
          <a:ext cx="5105052"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CA" sz="1400" b="1">
              <a:solidFill>
                <a:schemeClr val="bg1"/>
              </a:solidFill>
            </a:rPr>
            <a:t>Caldwellburgh</a:t>
          </a:r>
          <a:r>
            <a:rPr lang="en-CA" sz="1400" b="1" baseline="0">
              <a:solidFill>
                <a:schemeClr val="bg1"/>
              </a:solidFill>
            </a:rPr>
            <a:t> is the branch with the most Revenue per Employee</a:t>
          </a:r>
          <a:endParaRPr lang="en-CA" sz="1400" b="1">
            <a:solidFill>
              <a:schemeClr val="bg1"/>
            </a:solidFill>
          </a:endParaRPr>
        </a:p>
      </xdr:txBody>
    </xdr:sp>
    <xdr:clientData/>
  </xdr:oneCellAnchor>
  <xdr:oneCellAnchor>
    <xdr:from>
      <xdr:col>7</xdr:col>
      <xdr:colOff>296573</xdr:colOff>
      <xdr:row>4</xdr:row>
      <xdr:rowOff>99579</xdr:rowOff>
    </xdr:from>
    <xdr:ext cx="8850949" cy="311496"/>
    <xdr:sp macro="" textlink="">
      <xdr:nvSpPr>
        <xdr:cNvPr id="40" name="TextBox 39">
          <a:extLst>
            <a:ext uri="{FF2B5EF4-FFF2-40B4-BE49-F238E27FC236}">
              <a16:creationId xmlns:a16="http://schemas.microsoft.com/office/drawing/2014/main" id="{F247CFFE-8FAC-498B-BF78-85ABEFA1F87D}"/>
            </a:ext>
          </a:extLst>
        </xdr:cNvPr>
        <xdr:cNvSpPr txBox="1"/>
      </xdr:nvSpPr>
      <xdr:spPr>
        <a:xfrm>
          <a:off x="4539528" y="861579"/>
          <a:ext cx="8850949"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CA" sz="1400" b="1" baseline="0">
              <a:solidFill>
                <a:schemeClr val="bg1"/>
              </a:solidFill>
            </a:rPr>
            <a:t>MetroBank's Branch Perfomance and Efficiency. Which is the most Profitable, which to invest more on or close down</a:t>
          </a:r>
          <a:endParaRPr lang="en-CA" sz="1400" b="1">
            <a:solidFill>
              <a:schemeClr val="bg1"/>
            </a:solidFill>
          </a:endParaRPr>
        </a:p>
      </xdr:txBody>
    </xdr:sp>
    <xdr:clientData/>
  </xdr:oneCellAnchor>
  <xdr:twoCellAnchor editAs="oneCell">
    <xdr:from>
      <xdr:col>22</xdr:col>
      <xdr:colOff>533616</xdr:colOff>
      <xdr:row>7</xdr:row>
      <xdr:rowOff>40048</xdr:rowOff>
    </xdr:from>
    <xdr:to>
      <xdr:col>28</xdr:col>
      <xdr:colOff>284669</xdr:colOff>
      <xdr:row>9</xdr:row>
      <xdr:rowOff>68622</xdr:rowOff>
    </xdr:to>
    <mc:AlternateContent xmlns:mc="http://schemas.openxmlformats.org/markup-compatibility/2006">
      <mc:Choice xmlns:a14="http://schemas.microsoft.com/office/drawing/2010/main" Requires="a14">
        <xdr:graphicFrame macro="">
          <xdr:nvGraphicFramePr>
            <xdr:cNvPr id="41" name="Region 1">
              <a:extLst>
                <a:ext uri="{FF2B5EF4-FFF2-40B4-BE49-F238E27FC236}">
                  <a16:creationId xmlns:a16="http://schemas.microsoft.com/office/drawing/2014/main" id="{991F7681-C7F5-4135-89F2-6CC827E6355A}"/>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3868616" y="1373548"/>
              <a:ext cx="3387871" cy="409574"/>
            </a:xfrm>
            <a:prstGeom prst="rect">
              <a:avLst/>
            </a:prstGeom>
            <a:solidFill>
              <a:prstClr val="white"/>
            </a:solidFill>
            <a:ln w="1">
              <a:solidFill>
                <a:prstClr val="green"/>
              </a:solidFill>
            </a:ln>
          </xdr:spPr>
          <xdr:txBody>
            <a:bodyPr vertOverflow="clip" horzOverflow="clip"/>
            <a:lstStyle/>
            <a:p>
              <a:r>
                <a:rPr lang="en-C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368012</xdr:colOff>
      <xdr:row>35</xdr:row>
      <xdr:rowOff>182922</xdr:rowOff>
    </xdr:from>
    <xdr:to>
      <xdr:col>31</xdr:col>
      <xdr:colOff>70357</xdr:colOff>
      <xdr:row>50</xdr:row>
      <xdr:rowOff>68622</xdr:rowOff>
    </xdr:to>
    <xdr:graphicFrame macro="">
      <xdr:nvGraphicFramePr>
        <xdr:cNvPr id="42" name="Chart 41">
          <a:extLst>
            <a:ext uri="{FF2B5EF4-FFF2-40B4-BE49-F238E27FC236}">
              <a16:creationId xmlns:a16="http://schemas.microsoft.com/office/drawing/2014/main" id="{6E24401A-BAF9-4B98-833D-B53DC36EB4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51.96062928241" createdVersion="8" refreshedVersion="8" minRefreshableVersion="3" recordCount="20" xr:uid="{07FF8AA0-84C5-41D7-AA79-1433040F28ED}">
  <cacheSource type="worksheet">
    <worksheetSource name="Table1"/>
  </cacheSource>
  <cacheFields count="8">
    <cacheField name="BranchID" numFmtId="0">
      <sharedItems/>
    </cacheField>
    <cacheField name="Region" numFmtId="0">
      <sharedItems count="4">
        <s v="West"/>
        <s v="North"/>
        <s v="South"/>
        <s v="East"/>
      </sharedItems>
    </cacheField>
    <cacheField name="City" numFmtId="0">
      <sharedItems count="20">
        <s v="West Loganmouth"/>
        <s v="West Robert"/>
        <s v="North Daniel"/>
        <s v="Stevenfurt"/>
        <s v="Robertaport"/>
        <s v="Javiertown"/>
        <s v="New Adrienne"/>
        <s v="West Linda"/>
        <s v="Hurleyview"/>
        <s v="Brittanyland"/>
        <s v="South Andrew"/>
        <s v="Lisaville"/>
        <s v="Caldwellburgh"/>
        <s v="Simonland"/>
        <s v="Michaeltown"/>
        <s v="Petersonport"/>
        <s v="Lake Lynnton"/>
        <s v="Leahtown"/>
        <s v="Port Michaelhaven"/>
        <s v="Carterstad"/>
      </sharedItems>
    </cacheField>
    <cacheField name="Staff Count" numFmtId="0">
      <sharedItems containsSemiMixedTypes="0" containsString="0" containsNumber="1" containsInteger="1" minValue="18" maxValue="197"/>
    </cacheField>
    <cacheField name="Operating Cost" numFmtId="165">
      <sharedItems containsSemiMixedTypes="0" containsString="0" containsNumber="1" containsInteger="1" minValue="158844" maxValue="1973103"/>
    </cacheField>
    <cacheField name="Revenue" numFmtId="165">
      <sharedItems containsSemiMixedTypes="0" containsString="0" containsNumber="1" containsInteger="1" minValue="953493" maxValue="4840283"/>
    </cacheField>
    <cacheField name="Profit" numFmtId="165">
      <sharedItems containsSemiMixedTypes="0" containsString="0" containsNumber="1" containsInteger="1" minValue="-652392" maxValue="4203646"/>
    </cacheField>
    <cacheField name="Revenue Per Employee" numFmtId="165">
      <sharedItems containsSemiMixedTypes="0" containsString="0" containsNumber="1" minValue="7172.7823834196888" maxValue="198379.33333333334"/>
    </cacheField>
  </cacheFields>
  <extLst>
    <ext xmlns:x14="http://schemas.microsoft.com/office/spreadsheetml/2009/9/main" uri="{725AE2AE-9491-48be-B2B4-4EB974FC3084}">
      <x14:pivotCacheDefinition pivotCacheId="35892643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s v="BR001"/>
    <x v="0"/>
    <x v="0"/>
    <n v="113"/>
    <n v="1727985"/>
    <n v="1075593"/>
    <n v="-652392"/>
    <n v="9518.5221238938047"/>
  </r>
  <r>
    <s v="BR002"/>
    <x v="1"/>
    <x v="1"/>
    <n v="85"/>
    <n v="377349"/>
    <n v="955241"/>
    <n v="577892"/>
    <n v="11238.129411764707"/>
  </r>
  <r>
    <s v="BR003"/>
    <x v="2"/>
    <x v="2"/>
    <n v="85"/>
    <n v="1808564"/>
    <n v="4840283"/>
    <n v="3031719"/>
    <n v="56944.50588235294"/>
  </r>
  <r>
    <s v="BR004"/>
    <x v="2"/>
    <x v="3"/>
    <n v="115"/>
    <n v="1725464"/>
    <n v="3437641"/>
    <n v="1712177"/>
    <n v="29892.53043478261"/>
  </r>
  <r>
    <s v="BR005"/>
    <x v="2"/>
    <x v="4"/>
    <n v="162"/>
    <n v="1506246"/>
    <n v="4576153"/>
    <n v="3069907"/>
    <n v="28247.858024691359"/>
  </r>
  <r>
    <s v="BR006"/>
    <x v="2"/>
    <x v="5"/>
    <n v="42"/>
    <n v="1973103"/>
    <n v="4780242"/>
    <n v="2807139"/>
    <n v="113815.28571428571"/>
  </r>
  <r>
    <s v="BR007"/>
    <x v="1"/>
    <x v="6"/>
    <n v="197"/>
    <n v="1766023"/>
    <n v="4347882"/>
    <n v="2581859"/>
    <n v="22070.467005076142"/>
  </r>
  <r>
    <s v="BR008"/>
    <x v="3"/>
    <x v="7"/>
    <n v="46"/>
    <n v="1274166"/>
    <n v="4242626"/>
    <n v="2968460"/>
    <n v="92231"/>
  </r>
  <r>
    <s v="BR009"/>
    <x v="1"/>
    <x v="8"/>
    <n v="101"/>
    <n v="158844"/>
    <n v="953493"/>
    <n v="794649"/>
    <n v="9440.5247524752467"/>
  </r>
  <r>
    <s v="BR010"/>
    <x v="2"/>
    <x v="9"/>
    <n v="133"/>
    <n v="802409"/>
    <n v="1409102"/>
    <n v="606693"/>
    <n v="10594.751879699248"/>
  </r>
  <r>
    <s v="BR011"/>
    <x v="3"/>
    <x v="10"/>
    <n v="52"/>
    <n v="645721"/>
    <n v="1089325"/>
    <n v="443604"/>
    <n v="20948.557692307691"/>
  </r>
  <r>
    <s v="BR012"/>
    <x v="0"/>
    <x v="11"/>
    <n v="135"/>
    <n v="345828"/>
    <n v="4549474"/>
    <n v="4203646"/>
    <n v="33699.80740740741"/>
  </r>
  <r>
    <s v="BR013"/>
    <x v="1"/>
    <x v="12"/>
    <n v="18"/>
    <n v="192060"/>
    <n v="3570828"/>
    <n v="3378768"/>
    <n v="198379.33333333334"/>
  </r>
  <r>
    <s v="BR014"/>
    <x v="0"/>
    <x v="13"/>
    <n v="23"/>
    <n v="1291741"/>
    <n v="4317935"/>
    <n v="3026194"/>
    <n v="187736.30434782608"/>
  </r>
  <r>
    <s v="BR015"/>
    <x v="2"/>
    <x v="14"/>
    <n v="140"/>
    <n v="873556"/>
    <n v="4433157"/>
    <n v="3559601"/>
    <n v="31665.407142857144"/>
  </r>
  <r>
    <s v="BR016"/>
    <x v="0"/>
    <x v="15"/>
    <n v="78"/>
    <n v="378828"/>
    <n v="3274537"/>
    <n v="2895709"/>
    <n v="41981.243589743586"/>
  </r>
  <r>
    <s v="BR017"/>
    <x v="3"/>
    <x v="16"/>
    <n v="193"/>
    <n v="1918227"/>
    <n v="1384347"/>
    <n v="-533880"/>
    <n v="7172.7823834196888"/>
  </r>
  <r>
    <s v="BR018"/>
    <x v="3"/>
    <x v="17"/>
    <n v="35"/>
    <n v="815681"/>
    <n v="1948176"/>
    <n v="1132495"/>
    <n v="55662.171428571426"/>
  </r>
  <r>
    <s v="BR019"/>
    <x v="3"/>
    <x v="18"/>
    <n v="136"/>
    <n v="1270061"/>
    <n v="2413767"/>
    <n v="1143706"/>
    <n v="17748.286764705881"/>
  </r>
  <r>
    <s v="BR020"/>
    <x v="1"/>
    <x v="19"/>
    <n v="62"/>
    <n v="315592"/>
    <n v="1821918"/>
    <n v="1506326"/>
    <n v="29385.77419354838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45B7460-98D5-4061-AB06-0C6DE9A8B2D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D7:E12" firstHeaderRow="1" firstDataRow="1" firstDataCol="1"/>
  <pivotFields count="8">
    <pivotField showAll="0"/>
    <pivotField axis="axisRow" showAll="0" sortType="descending">
      <items count="5">
        <item x="3"/>
        <item x="1"/>
        <item x="2"/>
        <item x="0"/>
        <item t="default"/>
      </items>
      <autoSortScope>
        <pivotArea dataOnly="0" outline="0" fieldPosition="0">
          <references count="1">
            <reference field="4294967294" count="1" selected="0">
              <x v="0"/>
            </reference>
          </references>
        </pivotArea>
      </autoSortScope>
    </pivotField>
    <pivotField showAll="0"/>
    <pivotField showAll="0"/>
    <pivotField numFmtId="165" showAll="0"/>
    <pivotField numFmtId="165" showAll="0"/>
    <pivotField dataField="1" numFmtId="165" showAll="0"/>
    <pivotField numFmtId="165" showAll="0"/>
  </pivotFields>
  <rowFields count="1">
    <field x="1"/>
  </rowFields>
  <rowItems count="5">
    <i>
      <x v="2"/>
    </i>
    <i>
      <x v="3"/>
    </i>
    <i>
      <x v="1"/>
    </i>
    <i>
      <x/>
    </i>
    <i t="grand">
      <x/>
    </i>
  </rowItems>
  <colItems count="1">
    <i/>
  </colItems>
  <dataFields count="1">
    <dataField name="Sum of Profit" fld="6" baseField="0" baseItem="0" numFmtId="165"/>
  </dataFields>
  <formats count="1">
    <format dxfId="0">
      <pivotArea outline="0" collapsedLevelsAreSubtotals="1" fieldPosition="0"/>
    </format>
  </formats>
  <chartFormats count="5">
    <chartFormat chart="19" format="6" series="1">
      <pivotArea type="data" outline="0" fieldPosition="0">
        <references count="1">
          <reference field="4294967294" count="1" selected="0">
            <x v="0"/>
          </reference>
        </references>
      </pivotArea>
    </chartFormat>
    <chartFormat chart="19" format="7">
      <pivotArea type="data" outline="0" fieldPosition="0">
        <references count="2">
          <reference field="4294967294" count="1" selected="0">
            <x v="0"/>
          </reference>
          <reference field="1" count="1" selected="0">
            <x v="2"/>
          </reference>
        </references>
      </pivotArea>
    </chartFormat>
    <chartFormat chart="19" format="8">
      <pivotArea type="data" outline="0" fieldPosition="0">
        <references count="2">
          <reference field="4294967294" count="1" selected="0">
            <x v="0"/>
          </reference>
          <reference field="1" count="1" selected="0">
            <x v="3"/>
          </reference>
        </references>
      </pivotArea>
    </chartFormat>
    <chartFormat chart="19" format="9">
      <pivotArea type="data" outline="0" fieldPosition="0">
        <references count="2">
          <reference field="4294967294" count="1" selected="0">
            <x v="0"/>
          </reference>
          <reference field="1" count="1" selected="0">
            <x v="1"/>
          </reference>
        </references>
      </pivotArea>
    </chartFormat>
    <chartFormat chart="19" format="10">
      <pivotArea type="data" outline="0" fieldPosition="0">
        <references count="2">
          <reference field="4294967294" count="1" selected="0">
            <x v="0"/>
          </reference>
          <reference field="1" count="1" selected="0">
            <x v="0"/>
          </reference>
        </references>
      </pivotArea>
    </chartFormat>
  </chartFormats>
  <pivotTableStyleInfo name="PivotStyleLight2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4D6B061-B558-4657-8161-6CF606008AB4}"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5:B36" firstHeaderRow="1" firstDataRow="1" firstDataCol="1"/>
  <pivotFields count="8">
    <pivotField showAll="0"/>
    <pivotField showAll="0">
      <items count="5">
        <item x="3"/>
        <item x="1"/>
        <item x="2"/>
        <item x="0"/>
        <item t="default"/>
      </items>
    </pivotField>
    <pivotField axis="axisRow" showAll="0" sortType="descending">
      <items count="21">
        <item x="9"/>
        <item x="12"/>
        <item x="19"/>
        <item x="8"/>
        <item x="5"/>
        <item x="16"/>
        <item x="17"/>
        <item x="11"/>
        <item x="14"/>
        <item x="6"/>
        <item x="2"/>
        <item x="15"/>
        <item x="18"/>
        <item x="4"/>
        <item x="13"/>
        <item x="10"/>
        <item x="3"/>
        <item x="7"/>
        <item x="0"/>
        <item x="1"/>
        <item t="default"/>
      </items>
      <autoSortScope>
        <pivotArea dataOnly="0" outline="0" fieldPosition="0">
          <references count="1">
            <reference field="4294967294" count="1" selected="0">
              <x v="0"/>
            </reference>
          </references>
        </pivotArea>
      </autoSortScope>
    </pivotField>
    <pivotField showAll="0"/>
    <pivotField numFmtId="165" showAll="0"/>
    <pivotField numFmtId="165" showAll="0"/>
    <pivotField dataField="1" numFmtId="165" showAll="0"/>
    <pivotField numFmtId="165" showAll="0"/>
  </pivotFields>
  <rowFields count="1">
    <field x="2"/>
  </rowFields>
  <rowItems count="21">
    <i>
      <x v="7"/>
    </i>
    <i>
      <x v="8"/>
    </i>
    <i>
      <x v="1"/>
    </i>
    <i>
      <x v="13"/>
    </i>
    <i>
      <x v="10"/>
    </i>
    <i>
      <x v="14"/>
    </i>
    <i>
      <x v="17"/>
    </i>
    <i>
      <x v="11"/>
    </i>
    <i>
      <x v="4"/>
    </i>
    <i>
      <x v="9"/>
    </i>
    <i>
      <x v="16"/>
    </i>
    <i>
      <x v="2"/>
    </i>
    <i>
      <x v="12"/>
    </i>
    <i>
      <x v="6"/>
    </i>
    <i>
      <x v="3"/>
    </i>
    <i>
      <x/>
    </i>
    <i>
      <x v="19"/>
    </i>
    <i>
      <x v="15"/>
    </i>
    <i>
      <x v="5"/>
    </i>
    <i>
      <x v="18"/>
    </i>
    <i t="grand">
      <x/>
    </i>
  </rowItems>
  <colItems count="1">
    <i/>
  </colItems>
  <dataFields count="1">
    <dataField name="Sum of Profit" fld="6" baseField="0" baseItem="0"/>
  </dataFields>
  <formats count="1">
    <format dxfId="1">
      <pivotArea outline="0" collapsedLevelsAreSubtotals="1" fieldPosition="0"/>
    </format>
  </formats>
  <chartFormats count="2">
    <chartFormat chart="5" format="3" series="1">
      <pivotArea type="data" outline="0" fieldPosition="0">
        <references count="1">
          <reference field="4294967294" count="1" selected="0">
            <x v="0"/>
          </reference>
        </references>
      </pivotArea>
    </chartFormat>
    <chartFormat chart="5" format="4">
      <pivotArea type="data" outline="0" fieldPosition="0">
        <references count="2">
          <reference field="4294967294" count="1" selected="0">
            <x v="0"/>
          </reference>
          <reference field="2" count="1" selected="0">
            <x v="7"/>
          </reference>
        </references>
      </pivotArea>
    </chartFormat>
  </chartFormats>
  <pivotTableStyleInfo name="PivotStyleLight2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795BEDF-20AB-43C3-9AB6-4D1F73D03ED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2:B13" firstHeaderRow="1" firstDataRow="1" firstDataCol="1"/>
  <pivotFields count="8">
    <pivotField showAll="0"/>
    <pivotField showAll="0">
      <items count="5">
        <item x="3"/>
        <item x="1"/>
        <item x="2"/>
        <item x="0"/>
        <item t="default"/>
      </items>
    </pivotField>
    <pivotField axis="axisRow" showAll="0" measureFilter="1" sortType="descending">
      <items count="21">
        <item x="9"/>
        <item x="12"/>
        <item x="19"/>
        <item x="8"/>
        <item x="5"/>
        <item x="16"/>
        <item x="17"/>
        <item x="11"/>
        <item x="14"/>
        <item x="6"/>
        <item x="2"/>
        <item x="15"/>
        <item x="18"/>
        <item x="4"/>
        <item x="13"/>
        <item x="10"/>
        <item x="3"/>
        <item x="7"/>
        <item x="0"/>
        <item x="1"/>
        <item t="default"/>
      </items>
      <autoSortScope>
        <pivotArea dataOnly="0" outline="0" fieldPosition="0">
          <references count="1">
            <reference field="4294967294" count="1" selected="0">
              <x v="0"/>
            </reference>
          </references>
        </pivotArea>
      </autoSortScope>
    </pivotField>
    <pivotField showAll="0"/>
    <pivotField numFmtId="165" showAll="0"/>
    <pivotField numFmtId="165" showAll="0"/>
    <pivotField dataField="1" numFmtId="165" showAll="0"/>
    <pivotField numFmtId="165" showAll="0"/>
  </pivotFields>
  <rowFields count="1">
    <field x="2"/>
  </rowFields>
  <rowItems count="11">
    <i>
      <x v="7"/>
    </i>
    <i>
      <x v="8"/>
    </i>
    <i>
      <x v="1"/>
    </i>
    <i>
      <x v="13"/>
    </i>
    <i>
      <x v="10"/>
    </i>
    <i>
      <x v="14"/>
    </i>
    <i>
      <x v="17"/>
    </i>
    <i>
      <x v="11"/>
    </i>
    <i>
      <x v="4"/>
    </i>
    <i>
      <x v="9"/>
    </i>
    <i t="grand">
      <x/>
    </i>
  </rowItems>
  <colItems count="1">
    <i/>
  </colItems>
  <dataFields count="1">
    <dataField name="Sum of Profit" fld="6" baseField="0" baseItem="0"/>
  </dataFields>
  <formats count="1">
    <format dxfId="2">
      <pivotArea outline="0" collapsedLevelsAreSubtotals="1" fieldPosition="0"/>
    </format>
  </formats>
  <chartFormats count="2">
    <chartFormat chart="5" format="3" series="1">
      <pivotArea type="data" outline="0" fieldPosition="0">
        <references count="1">
          <reference field="4294967294" count="1" selected="0">
            <x v="0"/>
          </reference>
        </references>
      </pivotArea>
    </chartFormat>
    <chartFormat chart="5" format="4">
      <pivotArea type="data" outline="0" fieldPosition="0">
        <references count="2">
          <reference field="4294967294" count="1" selected="0">
            <x v="0"/>
          </reference>
          <reference field="2" count="1" selected="0">
            <x v="7"/>
          </reference>
        </references>
      </pivotArea>
    </chartFormat>
  </chartFormats>
  <pivotTableStyleInfo name="PivotStyleLight22" showRowHeaders="1" showColHeaders="1" showRowStripes="0" showColStripes="0" showLastColumn="1"/>
  <filters count="1">
    <filter fld="2"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CE68875-2716-45C4-8759-153604EB8777}"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H22:I43" firstHeaderRow="1" firstDataRow="1" firstDataCol="1"/>
  <pivotFields count="8">
    <pivotField showAll="0"/>
    <pivotField showAll="0"/>
    <pivotField axis="axisRow" showAll="0" sortType="descending">
      <items count="21">
        <item x="9"/>
        <item x="12"/>
        <item x="19"/>
        <item x="8"/>
        <item x="5"/>
        <item x="16"/>
        <item x="17"/>
        <item x="11"/>
        <item x="14"/>
        <item x="6"/>
        <item x="2"/>
        <item x="15"/>
        <item x="18"/>
        <item x="4"/>
        <item x="13"/>
        <item x="10"/>
        <item x="3"/>
        <item x="7"/>
        <item x="0"/>
        <item x="1"/>
        <item t="default"/>
      </items>
      <autoSortScope>
        <pivotArea dataOnly="0" outline="0" fieldPosition="0">
          <references count="1">
            <reference field="4294967294" count="1" selected="0">
              <x v="0"/>
            </reference>
          </references>
        </pivotArea>
      </autoSortScope>
    </pivotField>
    <pivotField showAll="0"/>
    <pivotField dataField="1" numFmtId="165" showAll="0"/>
    <pivotField numFmtId="165" showAll="0"/>
    <pivotField numFmtId="165" showAll="0"/>
    <pivotField numFmtId="165" showAll="0"/>
  </pivotFields>
  <rowFields count="1">
    <field x="2"/>
  </rowFields>
  <rowItems count="21">
    <i>
      <x v="4"/>
    </i>
    <i>
      <x v="5"/>
    </i>
    <i>
      <x v="10"/>
    </i>
    <i>
      <x v="9"/>
    </i>
    <i>
      <x v="18"/>
    </i>
    <i>
      <x v="16"/>
    </i>
    <i>
      <x v="13"/>
    </i>
    <i>
      <x v="14"/>
    </i>
    <i>
      <x v="17"/>
    </i>
    <i>
      <x v="12"/>
    </i>
    <i>
      <x v="8"/>
    </i>
    <i>
      <x v="6"/>
    </i>
    <i>
      <x/>
    </i>
    <i>
      <x v="15"/>
    </i>
    <i>
      <x v="11"/>
    </i>
    <i>
      <x v="19"/>
    </i>
    <i>
      <x v="7"/>
    </i>
    <i>
      <x v="2"/>
    </i>
    <i>
      <x v="1"/>
    </i>
    <i>
      <x v="3"/>
    </i>
    <i t="grand">
      <x/>
    </i>
  </rowItems>
  <colItems count="1">
    <i/>
  </colItems>
  <dataFields count="1">
    <dataField name="Sum of Operating Cost" fld="4" baseField="0" baseItem="0"/>
  </dataFields>
  <formats count="1">
    <format dxfId="3">
      <pivotArea outline="0" collapsedLevelsAreSubtotals="1" fieldPosition="0"/>
    </format>
  </formats>
  <chartFormats count="1">
    <chartFormat chart="13" format="4" series="1">
      <pivotArea type="data" outline="0" fieldPosition="0">
        <references count="1">
          <reference field="4294967294" count="1" selected="0">
            <x v="0"/>
          </reference>
        </references>
      </pivotArea>
    </chartFormat>
  </chartFormats>
  <pivotTableStyleInfo name="PivotStyleLight2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1535EAE-1A90-4B5D-BAE7-F3826FB82EB9}"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K2:L13" firstHeaderRow="1" firstDataRow="1" firstDataCol="1"/>
  <pivotFields count="8">
    <pivotField showAll="0"/>
    <pivotField showAll="0"/>
    <pivotField axis="axisRow" showAll="0" measureFilter="1" sortType="descending">
      <items count="21">
        <item x="9"/>
        <item x="12"/>
        <item x="19"/>
        <item x="8"/>
        <item x="5"/>
        <item x="16"/>
        <item x="17"/>
        <item x="11"/>
        <item x="14"/>
        <item x="6"/>
        <item x="2"/>
        <item x="15"/>
        <item x="18"/>
        <item x="4"/>
        <item x="13"/>
        <item x="10"/>
        <item x="3"/>
        <item x="7"/>
        <item x="0"/>
        <item x="1"/>
        <item t="default"/>
      </items>
      <autoSortScope>
        <pivotArea dataOnly="0" outline="0" fieldPosition="0">
          <references count="1">
            <reference field="4294967294" count="1" selected="0">
              <x v="0"/>
            </reference>
          </references>
        </pivotArea>
      </autoSortScope>
    </pivotField>
    <pivotField showAll="0"/>
    <pivotField numFmtId="165" showAll="0"/>
    <pivotField numFmtId="165" showAll="0"/>
    <pivotField numFmtId="165" showAll="0"/>
    <pivotField dataField="1" numFmtId="165" showAll="0"/>
  </pivotFields>
  <rowFields count="1">
    <field x="2"/>
  </rowFields>
  <rowItems count="11">
    <i>
      <x v="1"/>
    </i>
    <i>
      <x v="14"/>
    </i>
    <i>
      <x v="4"/>
    </i>
    <i>
      <x v="17"/>
    </i>
    <i>
      <x v="10"/>
    </i>
    <i>
      <x v="6"/>
    </i>
    <i>
      <x v="11"/>
    </i>
    <i>
      <x v="7"/>
    </i>
    <i>
      <x v="8"/>
    </i>
    <i>
      <x v="16"/>
    </i>
    <i t="grand">
      <x/>
    </i>
  </rowItems>
  <colItems count="1">
    <i/>
  </colItems>
  <dataFields count="1">
    <dataField name="Sum of Revenue Per Employee" fld="7" baseField="0" baseItem="0"/>
  </dataFields>
  <formats count="3">
    <format dxfId="6">
      <pivotArea collapsedLevelsAreSubtotals="1" fieldPosition="0">
        <references count="1">
          <reference field="2" count="10">
            <x v="0"/>
            <x v="1"/>
            <x v="2"/>
            <x v="3"/>
            <x v="4"/>
            <x v="5"/>
            <x v="6"/>
            <x v="7"/>
            <x v="8"/>
            <x v="9"/>
          </reference>
        </references>
      </pivotArea>
    </format>
    <format dxfId="5">
      <pivotArea collapsedLevelsAreSubtotals="1" fieldPosition="0">
        <references count="1">
          <reference field="2" count="10">
            <x v="10"/>
            <x v="11"/>
            <x v="12"/>
            <x v="13"/>
            <x v="14"/>
            <x v="15"/>
            <x v="16"/>
            <x v="17"/>
            <x v="18"/>
            <x v="19"/>
          </reference>
        </references>
      </pivotArea>
    </format>
    <format dxfId="4">
      <pivotArea grandRow="1" outline="0" collapsedLevelsAreSubtotals="1" fieldPosition="0"/>
    </format>
  </formats>
  <chartFormats count="1">
    <chartFormat chart="7" format="2" series="1">
      <pivotArea type="data" outline="0" fieldPosition="0">
        <references count="1">
          <reference field="4294967294" count="1" selected="0">
            <x v="0"/>
          </reference>
        </references>
      </pivotArea>
    </chartFormat>
  </chartFormats>
  <pivotTableStyleInfo name="PivotStyleLight22" showRowHeaders="1" showColHeaders="1" showRowStripes="0" showColStripes="0" showLastColumn="1"/>
  <filters count="1">
    <filter fld="2"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EE0D39F-DD12-4B76-97F9-C78A73728B8C}"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2:O23" firstHeaderRow="1" firstDataRow="1" firstDataCol="1"/>
  <pivotFields count="8">
    <pivotField showAll="0"/>
    <pivotField showAll="0"/>
    <pivotField axis="axisRow" showAll="0">
      <items count="21">
        <item x="9"/>
        <item x="12"/>
        <item x="19"/>
        <item x="8"/>
        <item x="5"/>
        <item x="16"/>
        <item x="17"/>
        <item x="11"/>
        <item x="14"/>
        <item x="6"/>
        <item x="2"/>
        <item x="15"/>
        <item x="18"/>
        <item x="4"/>
        <item x="13"/>
        <item x="10"/>
        <item x="3"/>
        <item x="7"/>
        <item x="0"/>
        <item x="1"/>
        <item t="default"/>
      </items>
    </pivotField>
    <pivotField dataField="1" showAll="0"/>
    <pivotField numFmtId="165" showAll="0"/>
    <pivotField numFmtId="165" showAll="0"/>
    <pivotField numFmtId="165" showAll="0"/>
    <pivotField numFmtId="165" showAll="0"/>
  </pivotFields>
  <rowFields count="1">
    <field x="2"/>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Staff Count" fld="3" baseField="0" baseItem="0"/>
  </dataFields>
  <pivotTableStyleInfo name="PivotStyleLight2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77A06AB-970A-4CD0-969B-CE2F9DF4869C}"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D39:E44" firstHeaderRow="1" firstDataRow="1" firstDataCol="1"/>
  <pivotFields count="8">
    <pivotField showAll="0"/>
    <pivotField axis="axisRow" showAll="0" sortType="descending">
      <items count="5">
        <item x="3"/>
        <item x="1"/>
        <item x="2"/>
        <item x="0"/>
        <item t="default"/>
      </items>
      <autoSortScope>
        <pivotArea dataOnly="0" outline="0" fieldPosition="0">
          <references count="1">
            <reference field="4294967294" count="1" selected="0">
              <x v="0"/>
            </reference>
          </references>
        </pivotArea>
      </autoSortScope>
    </pivotField>
    <pivotField showAll="0"/>
    <pivotField showAll="0"/>
    <pivotField numFmtId="165" showAll="0"/>
    <pivotField numFmtId="165" showAll="0"/>
    <pivotField dataField="1" numFmtId="165" showAll="0"/>
    <pivotField numFmtId="165" showAll="0"/>
  </pivotFields>
  <rowFields count="1">
    <field x="1"/>
  </rowFields>
  <rowItems count="5">
    <i>
      <x v="2"/>
    </i>
    <i>
      <x v="3"/>
    </i>
    <i>
      <x v="1"/>
    </i>
    <i>
      <x/>
    </i>
    <i t="grand">
      <x/>
    </i>
  </rowItems>
  <colItems count="1">
    <i/>
  </colItems>
  <dataFields count="1">
    <dataField name="Sum of Profit" fld="6" showDataAs="percentOfTotal" baseField="0" baseItem="0" numFmtId="10"/>
  </dataFields>
  <formats count="5">
    <format dxfId="11">
      <pivotArea outline="0" collapsedLevelsAreSubtotals="1" fieldPosition="0"/>
    </format>
    <format dxfId="10">
      <pivotArea outline="0" fieldPosition="0">
        <references count="1">
          <reference field="4294967294" count="1">
            <x v="0"/>
          </reference>
        </references>
      </pivotArea>
    </format>
    <format dxfId="9">
      <pivotArea collapsedLevelsAreSubtotals="1" fieldPosition="0">
        <references count="1">
          <reference field="1" count="1">
            <x v="2"/>
          </reference>
        </references>
      </pivotArea>
    </format>
    <format dxfId="8">
      <pivotArea collapsedLevelsAreSubtotals="1" fieldPosition="0">
        <references count="1">
          <reference field="1" count="3">
            <x v="0"/>
            <x v="1"/>
            <x v="3"/>
          </reference>
        </references>
      </pivotArea>
    </format>
    <format dxfId="7">
      <pivotArea grandRow="1" outline="0" collapsedLevelsAreSubtotals="1" fieldPosition="0"/>
    </format>
  </formats>
  <chartFormats count="5">
    <chartFormat chart="19" format="6" series="1">
      <pivotArea type="data" outline="0" fieldPosition="0">
        <references count="1">
          <reference field="4294967294" count="1" selected="0">
            <x v="0"/>
          </reference>
        </references>
      </pivotArea>
    </chartFormat>
    <chartFormat chart="19" format="7">
      <pivotArea type="data" outline="0" fieldPosition="0">
        <references count="2">
          <reference field="4294967294" count="1" selected="0">
            <x v="0"/>
          </reference>
          <reference field="1" count="1" selected="0">
            <x v="2"/>
          </reference>
        </references>
      </pivotArea>
    </chartFormat>
    <chartFormat chart="19" format="8">
      <pivotArea type="data" outline="0" fieldPosition="0">
        <references count="2">
          <reference field="4294967294" count="1" selected="0">
            <x v="0"/>
          </reference>
          <reference field="1" count="1" selected="0">
            <x v="3"/>
          </reference>
        </references>
      </pivotArea>
    </chartFormat>
    <chartFormat chart="19" format="9">
      <pivotArea type="data" outline="0" fieldPosition="0">
        <references count="2">
          <reference field="4294967294" count="1" selected="0">
            <x v="0"/>
          </reference>
          <reference field="1" count="1" selected="0">
            <x v="1"/>
          </reference>
        </references>
      </pivotArea>
    </chartFormat>
    <chartFormat chart="19" format="10">
      <pivotArea type="data" outline="0" fieldPosition="0">
        <references count="2">
          <reference field="4294967294" count="1" selected="0">
            <x v="0"/>
          </reference>
          <reference field="1" count="1" selected="0">
            <x v="0"/>
          </reference>
        </references>
      </pivotArea>
    </chartFormat>
  </chartFormats>
  <pivotTableStyleInfo name="PivotStyleLight2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D3E42F5-504A-4462-BAB7-EAA852118C2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H9:I20" firstHeaderRow="1" firstDataRow="1" firstDataCol="1"/>
  <pivotFields count="8">
    <pivotField showAll="0"/>
    <pivotField showAll="0"/>
    <pivotField axis="axisRow" showAll="0" measureFilter="1" sortType="descending">
      <items count="21">
        <item x="9"/>
        <item x="12"/>
        <item x="19"/>
        <item x="8"/>
        <item x="5"/>
        <item x="16"/>
        <item x="17"/>
        <item x="11"/>
        <item x="14"/>
        <item x="6"/>
        <item x="2"/>
        <item x="15"/>
        <item x="18"/>
        <item x="4"/>
        <item x="13"/>
        <item x="10"/>
        <item x="3"/>
        <item x="7"/>
        <item x="0"/>
        <item x="1"/>
        <item t="default"/>
      </items>
      <autoSortScope>
        <pivotArea dataOnly="0" outline="0" fieldPosition="0">
          <references count="1">
            <reference field="4294967294" count="1" selected="0">
              <x v="0"/>
            </reference>
          </references>
        </pivotArea>
      </autoSortScope>
    </pivotField>
    <pivotField showAll="0"/>
    <pivotField dataField="1" numFmtId="165" showAll="0"/>
    <pivotField numFmtId="165" showAll="0"/>
    <pivotField numFmtId="165" showAll="0"/>
    <pivotField numFmtId="165" showAll="0"/>
  </pivotFields>
  <rowFields count="1">
    <field x="2"/>
  </rowFields>
  <rowItems count="11">
    <i>
      <x v="4"/>
    </i>
    <i>
      <x v="5"/>
    </i>
    <i>
      <x v="10"/>
    </i>
    <i>
      <x v="9"/>
    </i>
    <i>
      <x v="18"/>
    </i>
    <i>
      <x v="16"/>
    </i>
    <i>
      <x v="13"/>
    </i>
    <i>
      <x v="14"/>
    </i>
    <i>
      <x v="17"/>
    </i>
    <i>
      <x v="12"/>
    </i>
    <i t="grand">
      <x/>
    </i>
  </rowItems>
  <colItems count="1">
    <i/>
  </colItems>
  <dataFields count="1">
    <dataField name="Sum of Operating Cost" fld="4" baseField="0" baseItem="0"/>
  </dataFields>
  <formats count="1">
    <format dxfId="12">
      <pivotArea outline="0" collapsedLevelsAreSubtotals="1" fieldPosition="0"/>
    </format>
  </formats>
  <chartFormats count="1">
    <chartFormat chart="13" format="4" series="1">
      <pivotArea type="data" outline="0" fieldPosition="0">
        <references count="1">
          <reference field="4294967294" count="1" selected="0">
            <x v="0"/>
          </reference>
        </references>
      </pivotArea>
    </chartFormat>
  </chartFormats>
  <pivotTableStyleInfo name="PivotStyleLight22" showRowHeaders="1" showColHeaders="1" showRowStripes="0" showColStripes="0" showLastColumn="1"/>
  <filters count="1">
    <filter fld="2"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E3AEEE1-7F31-4759-A57A-8E209ECEDA8C}"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K15:L36" firstHeaderRow="1" firstDataRow="1" firstDataCol="1"/>
  <pivotFields count="8">
    <pivotField showAll="0"/>
    <pivotField showAll="0"/>
    <pivotField axis="axisRow" showAll="0" sortType="descending">
      <items count="21">
        <item x="9"/>
        <item x="12"/>
        <item x="19"/>
        <item x="8"/>
        <item x="5"/>
        <item x="16"/>
        <item x="17"/>
        <item x="11"/>
        <item x="14"/>
        <item x="6"/>
        <item x="2"/>
        <item x="15"/>
        <item x="18"/>
        <item x="4"/>
        <item x="13"/>
        <item x="10"/>
        <item x="3"/>
        <item x="7"/>
        <item x="0"/>
        <item x="1"/>
        <item t="default"/>
      </items>
      <autoSortScope>
        <pivotArea dataOnly="0" outline="0" fieldPosition="0">
          <references count="1">
            <reference field="4294967294" count="1" selected="0">
              <x v="0"/>
            </reference>
          </references>
        </pivotArea>
      </autoSortScope>
    </pivotField>
    <pivotField showAll="0"/>
    <pivotField numFmtId="165" showAll="0"/>
    <pivotField numFmtId="165" showAll="0"/>
    <pivotField numFmtId="165" showAll="0"/>
    <pivotField dataField="1" numFmtId="165" showAll="0"/>
  </pivotFields>
  <rowFields count="1">
    <field x="2"/>
  </rowFields>
  <rowItems count="21">
    <i>
      <x v="1"/>
    </i>
    <i>
      <x v="14"/>
    </i>
    <i>
      <x v="4"/>
    </i>
    <i>
      <x v="17"/>
    </i>
    <i>
      <x v="10"/>
    </i>
    <i>
      <x v="6"/>
    </i>
    <i>
      <x v="11"/>
    </i>
    <i>
      <x v="7"/>
    </i>
    <i>
      <x v="8"/>
    </i>
    <i>
      <x v="16"/>
    </i>
    <i>
      <x v="2"/>
    </i>
    <i>
      <x v="13"/>
    </i>
    <i>
      <x v="9"/>
    </i>
    <i>
      <x v="15"/>
    </i>
    <i>
      <x v="12"/>
    </i>
    <i>
      <x v="19"/>
    </i>
    <i>
      <x/>
    </i>
    <i>
      <x v="18"/>
    </i>
    <i>
      <x v="3"/>
    </i>
    <i>
      <x v="5"/>
    </i>
    <i t="grand">
      <x/>
    </i>
  </rowItems>
  <colItems count="1">
    <i/>
  </colItems>
  <dataFields count="1">
    <dataField name="Sum of Revenue Per Employee" fld="7" baseField="0" baseItem="0"/>
  </dataFields>
  <formats count="3">
    <format dxfId="15">
      <pivotArea collapsedLevelsAreSubtotals="1" fieldPosition="0">
        <references count="1">
          <reference field="2" count="10">
            <x v="0"/>
            <x v="1"/>
            <x v="2"/>
            <x v="3"/>
            <x v="4"/>
            <x v="5"/>
            <x v="6"/>
            <x v="7"/>
            <x v="8"/>
            <x v="9"/>
          </reference>
        </references>
      </pivotArea>
    </format>
    <format dxfId="14">
      <pivotArea collapsedLevelsAreSubtotals="1" fieldPosition="0">
        <references count="1">
          <reference field="2" count="10">
            <x v="10"/>
            <x v="11"/>
            <x v="12"/>
            <x v="13"/>
            <x v="14"/>
            <x v="15"/>
            <x v="16"/>
            <x v="17"/>
            <x v="18"/>
            <x v="19"/>
          </reference>
        </references>
      </pivotArea>
    </format>
    <format dxfId="13">
      <pivotArea grandRow="1" outline="0" collapsedLevelsAreSubtotals="1" fieldPosition="0"/>
    </format>
  </formats>
  <chartFormats count="1">
    <chartFormat chart="7" format="2" series="1">
      <pivotArea type="data" outline="0" fieldPosition="0">
        <references count="1">
          <reference field="4294967294" count="1" selected="0">
            <x v="0"/>
          </reference>
        </references>
      </pivotArea>
    </chartFormat>
  </chartFormats>
  <pivotTableStyleInfo name="PivotStyleLight2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99F92F1-B5F5-437F-8EFC-284E7B21F6E8}"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D15:E36" firstHeaderRow="1" firstDataRow="1" firstDataCol="1"/>
  <pivotFields count="8">
    <pivotField showAll="0"/>
    <pivotField showAll="0"/>
    <pivotField axis="axisRow" showAll="0">
      <items count="21">
        <item x="9"/>
        <item x="12"/>
        <item x="19"/>
        <item x="8"/>
        <item x="5"/>
        <item x="16"/>
        <item x="17"/>
        <item x="11"/>
        <item x="14"/>
        <item x="6"/>
        <item x="2"/>
        <item x="15"/>
        <item x="18"/>
        <item x="4"/>
        <item x="13"/>
        <item x="10"/>
        <item x="3"/>
        <item x="7"/>
        <item x="0"/>
        <item x="1"/>
        <item t="default"/>
      </items>
    </pivotField>
    <pivotField showAll="0"/>
    <pivotField numFmtId="165" showAll="0"/>
    <pivotField dataField="1" numFmtId="165" showAll="0"/>
    <pivotField numFmtId="165" showAll="0"/>
    <pivotField numFmtId="165" showAll="0"/>
  </pivotFields>
  <rowFields count="1">
    <field x="2"/>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Revenue" fld="5" baseField="0" baseItem="0" numFmtId="165"/>
  </dataFields>
  <formats count="1">
    <format dxfId="16">
      <pivotArea outline="0" collapsedLevelsAreSubtotals="1" fieldPosition="0">
        <references count="1">
          <reference field="4294967294" count="1" selected="0">
            <x v="0"/>
          </reference>
        </references>
      </pivotArea>
    </format>
  </formats>
  <pivotTableStyleInfo name="PivotStyleLight2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5232E23-5D99-4C61-A722-914578FEDB89}" sourceName="Region">
  <pivotTables>
    <pivotTable tabId="2" name="PivotTable1"/>
    <pivotTable tabId="2" name="PivotTable8"/>
  </pivotTables>
  <data>
    <tabular pivotCacheId="358926433">
      <items count="4">
        <i x="3" s="1"/>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95E05751-CB24-4C11-BFA3-E8380B6CD9A2}" cache="Slicer_Region" caption="Region" columnCount="4" showCaption="0" style="Slicer Style 1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F36AD3A-5478-4EC5-BA4E-DF03447CDB5A}" name="Table1" displayName="Table1" ref="A1:H21" totalsRowShown="0">
  <autoFilter ref="A1:H21" xr:uid="{4F36AD3A-5478-4EC5-BA4E-DF03447CDB5A}"/>
  <tableColumns count="8">
    <tableColumn id="1" xr3:uid="{3718BBE9-9D60-43DB-A8D7-E17EBB393763}" name="BranchID"/>
    <tableColumn id="2" xr3:uid="{BF5B8C57-2478-465E-BEDF-0D9EF591990A}" name="Region"/>
    <tableColumn id="3" xr3:uid="{124FF34C-BC9C-4300-8523-44C569B8919F}" name="City"/>
    <tableColumn id="4" xr3:uid="{EAFA429D-E470-42F0-848A-57C0B1B4BA1C}" name="Staff Count"/>
    <tableColumn id="5" xr3:uid="{71D247A8-86EB-4112-A8CD-16D7E231ADAF}" name="Operating Cost" dataDxfId="20"/>
    <tableColumn id="6" xr3:uid="{A4B545D4-3AEA-4B61-9131-6FAFDD1993B0}" name="Revenue" dataDxfId="19"/>
    <tableColumn id="7" xr3:uid="{FA511FA6-B1A9-48BC-993A-95AEEE0A694B}" name="Profit" dataDxfId="18">
      <calculatedColumnFormula>F2-E2</calculatedColumnFormula>
    </tableColumn>
    <tableColumn id="9" xr3:uid="{239B09D5-29C6-4E91-AFDE-4E94FA9A71B8}" name="Revenue Per Employee" dataDxfId="17">
      <calculatedColumnFormula>Table1[[#This Row],[Revenue]]/Table1[[#This Row],[Staff Count]]</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EDA002-3FDB-4557-A7ED-4243795A4D4D}">
  <dimension ref="A1:J21"/>
  <sheetViews>
    <sheetView workbookViewId="0">
      <selection activeCell="I2" sqref="I2"/>
    </sheetView>
  </sheetViews>
  <sheetFormatPr defaultRowHeight="15" x14ac:dyDescent="0.25"/>
  <cols>
    <col min="1" max="1" width="11" customWidth="1"/>
    <col min="2" max="2" width="9.28515625" customWidth="1"/>
    <col min="3" max="3" width="17.85546875" bestFit="1" customWidth="1"/>
    <col min="4" max="4" width="13.5703125" customWidth="1"/>
    <col min="5" max="5" width="16.85546875" customWidth="1"/>
    <col min="6" max="7" width="12.7109375" bestFit="1" customWidth="1"/>
    <col min="8" max="8" width="24.28515625" bestFit="1" customWidth="1"/>
    <col min="10" max="10" width="10.140625" bestFit="1" customWidth="1"/>
  </cols>
  <sheetData>
    <row r="1" spans="1:10" x14ac:dyDescent="0.25">
      <c r="A1" t="s">
        <v>0</v>
      </c>
      <c r="B1" t="s">
        <v>1</v>
      </c>
      <c r="C1" t="s">
        <v>2</v>
      </c>
      <c r="D1" t="s">
        <v>60</v>
      </c>
      <c r="E1" t="s">
        <v>54</v>
      </c>
      <c r="F1" t="s">
        <v>3</v>
      </c>
      <c r="G1" t="s">
        <v>48</v>
      </c>
      <c r="H1" t="s">
        <v>59</v>
      </c>
    </row>
    <row r="2" spans="1:10" x14ac:dyDescent="0.25">
      <c r="A2" t="s">
        <v>4</v>
      </c>
      <c r="B2" t="s">
        <v>5</v>
      </c>
      <c r="C2" t="s">
        <v>6</v>
      </c>
      <c r="D2">
        <v>113</v>
      </c>
      <c r="E2" s="2">
        <v>1727985</v>
      </c>
      <c r="F2" s="2">
        <v>1075593</v>
      </c>
      <c r="G2" s="2">
        <f>F2-E2</f>
        <v>-652392</v>
      </c>
      <c r="H2" s="2">
        <f>Table1[[#This Row],[Revenue]]/Table1[[#This Row],[Staff Count]]</f>
        <v>9518.5221238938047</v>
      </c>
      <c r="J2" s="2"/>
    </row>
    <row r="3" spans="1:10" x14ac:dyDescent="0.25">
      <c r="A3" t="s">
        <v>7</v>
      </c>
      <c r="B3" t="s">
        <v>8</v>
      </c>
      <c r="C3" t="s">
        <v>9</v>
      </c>
      <c r="D3">
        <v>85</v>
      </c>
      <c r="E3" s="2">
        <v>377349</v>
      </c>
      <c r="F3" s="2">
        <v>955241</v>
      </c>
      <c r="G3" s="2">
        <f t="shared" ref="G3:G21" si="0">F3-E3</f>
        <v>577892</v>
      </c>
      <c r="H3" s="2">
        <f>Table1[[#This Row],[Revenue]]/Table1[[#This Row],[Staff Count]]</f>
        <v>11238.129411764707</v>
      </c>
      <c r="J3" s="2"/>
    </row>
    <row r="4" spans="1:10" x14ac:dyDescent="0.25">
      <c r="A4" t="s">
        <v>10</v>
      </c>
      <c r="B4" t="s">
        <v>11</v>
      </c>
      <c r="C4" t="s">
        <v>12</v>
      </c>
      <c r="D4">
        <v>85</v>
      </c>
      <c r="E4" s="2">
        <v>1808564</v>
      </c>
      <c r="F4" s="2">
        <v>4840283</v>
      </c>
      <c r="G4" s="2">
        <f t="shared" si="0"/>
        <v>3031719</v>
      </c>
      <c r="H4" s="2">
        <f>Table1[[#This Row],[Revenue]]/Table1[[#This Row],[Staff Count]]</f>
        <v>56944.50588235294</v>
      </c>
    </row>
    <row r="5" spans="1:10" x14ac:dyDescent="0.25">
      <c r="A5" t="s">
        <v>13</v>
      </c>
      <c r="B5" t="s">
        <v>11</v>
      </c>
      <c r="C5" t="s">
        <v>14</v>
      </c>
      <c r="D5">
        <v>115</v>
      </c>
      <c r="E5" s="2">
        <v>1725464</v>
      </c>
      <c r="F5" s="2">
        <v>3437641</v>
      </c>
      <c r="G5" s="2">
        <f t="shared" si="0"/>
        <v>1712177</v>
      </c>
      <c r="H5" s="2">
        <f>Table1[[#This Row],[Revenue]]/Table1[[#This Row],[Staff Count]]</f>
        <v>29892.53043478261</v>
      </c>
    </row>
    <row r="6" spans="1:10" x14ac:dyDescent="0.25">
      <c r="A6" t="s">
        <v>15</v>
      </c>
      <c r="B6" t="s">
        <v>11</v>
      </c>
      <c r="C6" t="s">
        <v>16</v>
      </c>
      <c r="D6">
        <v>162</v>
      </c>
      <c r="E6" s="2">
        <v>1506246</v>
      </c>
      <c r="F6" s="2">
        <v>4576153</v>
      </c>
      <c r="G6" s="2">
        <f t="shared" si="0"/>
        <v>3069907</v>
      </c>
      <c r="H6" s="2">
        <f>Table1[[#This Row],[Revenue]]/Table1[[#This Row],[Staff Count]]</f>
        <v>28247.858024691359</v>
      </c>
    </row>
    <row r="7" spans="1:10" x14ac:dyDescent="0.25">
      <c r="A7" t="s">
        <v>17</v>
      </c>
      <c r="B7" t="s">
        <v>11</v>
      </c>
      <c r="C7" t="s">
        <v>18</v>
      </c>
      <c r="D7">
        <v>42</v>
      </c>
      <c r="E7" s="2">
        <v>1973103</v>
      </c>
      <c r="F7" s="2">
        <v>4780242</v>
      </c>
      <c r="G7" s="2">
        <f t="shared" si="0"/>
        <v>2807139</v>
      </c>
      <c r="H7" s="2">
        <f>Table1[[#This Row],[Revenue]]/Table1[[#This Row],[Staff Count]]</f>
        <v>113815.28571428571</v>
      </c>
    </row>
    <row r="8" spans="1:10" x14ac:dyDescent="0.25">
      <c r="A8" t="s">
        <v>19</v>
      </c>
      <c r="B8" t="s">
        <v>8</v>
      </c>
      <c r="C8" t="s">
        <v>20</v>
      </c>
      <c r="D8">
        <v>197</v>
      </c>
      <c r="E8" s="2">
        <v>1766023</v>
      </c>
      <c r="F8" s="2">
        <v>4347882</v>
      </c>
      <c r="G8" s="2">
        <f t="shared" si="0"/>
        <v>2581859</v>
      </c>
      <c r="H8" s="2">
        <f>Table1[[#This Row],[Revenue]]/Table1[[#This Row],[Staff Count]]</f>
        <v>22070.467005076142</v>
      </c>
    </row>
    <row r="9" spans="1:10" x14ac:dyDescent="0.25">
      <c r="A9" t="s">
        <v>21</v>
      </c>
      <c r="B9" t="s">
        <v>22</v>
      </c>
      <c r="C9" t="s">
        <v>23</v>
      </c>
      <c r="D9">
        <v>46</v>
      </c>
      <c r="E9" s="2">
        <v>1274166</v>
      </c>
      <c r="F9" s="2">
        <v>4242626</v>
      </c>
      <c r="G9" s="2">
        <f t="shared" si="0"/>
        <v>2968460</v>
      </c>
      <c r="H9" s="2">
        <f>Table1[[#This Row],[Revenue]]/Table1[[#This Row],[Staff Count]]</f>
        <v>92231</v>
      </c>
    </row>
    <row r="10" spans="1:10" x14ac:dyDescent="0.25">
      <c r="A10" t="s">
        <v>24</v>
      </c>
      <c r="B10" t="s">
        <v>8</v>
      </c>
      <c r="C10" t="s">
        <v>25</v>
      </c>
      <c r="D10">
        <v>101</v>
      </c>
      <c r="E10" s="2">
        <v>158844</v>
      </c>
      <c r="F10" s="2">
        <v>953493</v>
      </c>
      <c r="G10" s="2">
        <f t="shared" si="0"/>
        <v>794649</v>
      </c>
      <c r="H10" s="2">
        <f>Table1[[#This Row],[Revenue]]/Table1[[#This Row],[Staff Count]]</f>
        <v>9440.5247524752467</v>
      </c>
    </row>
    <row r="11" spans="1:10" x14ac:dyDescent="0.25">
      <c r="A11" t="s">
        <v>26</v>
      </c>
      <c r="B11" t="s">
        <v>11</v>
      </c>
      <c r="C11" t="s">
        <v>27</v>
      </c>
      <c r="D11">
        <v>133</v>
      </c>
      <c r="E11" s="2">
        <v>802409</v>
      </c>
      <c r="F11" s="2">
        <v>1409102</v>
      </c>
      <c r="G11" s="2">
        <f t="shared" si="0"/>
        <v>606693</v>
      </c>
      <c r="H11" s="2">
        <f>Table1[[#This Row],[Revenue]]/Table1[[#This Row],[Staff Count]]</f>
        <v>10594.751879699248</v>
      </c>
    </row>
    <row r="12" spans="1:10" x14ac:dyDescent="0.25">
      <c r="A12" t="s">
        <v>28</v>
      </c>
      <c r="B12" t="s">
        <v>22</v>
      </c>
      <c r="C12" t="s">
        <v>29</v>
      </c>
      <c r="D12">
        <v>52</v>
      </c>
      <c r="E12" s="2">
        <v>645721</v>
      </c>
      <c r="F12" s="2">
        <v>1089325</v>
      </c>
      <c r="G12" s="2">
        <f t="shared" si="0"/>
        <v>443604</v>
      </c>
      <c r="H12" s="2">
        <f>Table1[[#This Row],[Revenue]]/Table1[[#This Row],[Staff Count]]</f>
        <v>20948.557692307691</v>
      </c>
    </row>
    <row r="13" spans="1:10" x14ac:dyDescent="0.25">
      <c r="A13" t="s">
        <v>30</v>
      </c>
      <c r="B13" t="s">
        <v>5</v>
      </c>
      <c r="C13" t="s">
        <v>31</v>
      </c>
      <c r="D13">
        <v>135</v>
      </c>
      <c r="E13" s="2">
        <v>345828</v>
      </c>
      <c r="F13" s="2">
        <v>4549474</v>
      </c>
      <c r="G13" s="2">
        <f t="shared" si="0"/>
        <v>4203646</v>
      </c>
      <c r="H13" s="2">
        <f>Table1[[#This Row],[Revenue]]/Table1[[#This Row],[Staff Count]]</f>
        <v>33699.80740740741</v>
      </c>
    </row>
    <row r="14" spans="1:10" x14ac:dyDescent="0.25">
      <c r="A14" t="s">
        <v>32</v>
      </c>
      <c r="B14" t="s">
        <v>8</v>
      </c>
      <c r="C14" t="s">
        <v>33</v>
      </c>
      <c r="D14">
        <v>18</v>
      </c>
      <c r="E14" s="2">
        <v>192060</v>
      </c>
      <c r="F14" s="2">
        <v>3570828</v>
      </c>
      <c r="G14" s="2">
        <f t="shared" si="0"/>
        <v>3378768</v>
      </c>
      <c r="H14" s="2">
        <f>Table1[[#This Row],[Revenue]]/Table1[[#This Row],[Staff Count]]</f>
        <v>198379.33333333334</v>
      </c>
    </row>
    <row r="15" spans="1:10" x14ac:dyDescent="0.25">
      <c r="A15" t="s">
        <v>34</v>
      </c>
      <c r="B15" t="s">
        <v>5</v>
      </c>
      <c r="C15" t="s">
        <v>35</v>
      </c>
      <c r="D15">
        <v>23</v>
      </c>
      <c r="E15" s="2">
        <v>1291741</v>
      </c>
      <c r="F15" s="2">
        <v>4317935</v>
      </c>
      <c r="G15" s="2">
        <f t="shared" si="0"/>
        <v>3026194</v>
      </c>
      <c r="H15" s="2">
        <f>Table1[[#This Row],[Revenue]]/Table1[[#This Row],[Staff Count]]</f>
        <v>187736.30434782608</v>
      </c>
    </row>
    <row r="16" spans="1:10" x14ac:dyDescent="0.25">
      <c r="A16" t="s">
        <v>36</v>
      </c>
      <c r="B16" t="s">
        <v>11</v>
      </c>
      <c r="C16" t="s">
        <v>37</v>
      </c>
      <c r="D16">
        <v>140</v>
      </c>
      <c r="E16" s="2">
        <v>873556</v>
      </c>
      <c r="F16" s="2">
        <v>4433157</v>
      </c>
      <c r="G16" s="2">
        <f t="shared" si="0"/>
        <v>3559601</v>
      </c>
      <c r="H16" s="2">
        <f>Table1[[#This Row],[Revenue]]/Table1[[#This Row],[Staff Count]]</f>
        <v>31665.407142857144</v>
      </c>
    </row>
    <row r="17" spans="1:8" x14ac:dyDescent="0.25">
      <c r="A17" t="s">
        <v>38</v>
      </c>
      <c r="B17" t="s">
        <v>5</v>
      </c>
      <c r="C17" t="s">
        <v>39</v>
      </c>
      <c r="D17">
        <v>78</v>
      </c>
      <c r="E17" s="2">
        <v>378828</v>
      </c>
      <c r="F17" s="2">
        <v>3274537</v>
      </c>
      <c r="G17" s="2">
        <f t="shared" si="0"/>
        <v>2895709</v>
      </c>
      <c r="H17" s="2">
        <f>Table1[[#This Row],[Revenue]]/Table1[[#This Row],[Staff Count]]</f>
        <v>41981.243589743586</v>
      </c>
    </row>
    <row r="18" spans="1:8" x14ac:dyDescent="0.25">
      <c r="A18" t="s">
        <v>40</v>
      </c>
      <c r="B18" t="s">
        <v>22</v>
      </c>
      <c r="C18" t="s">
        <v>41</v>
      </c>
      <c r="D18">
        <v>193</v>
      </c>
      <c r="E18" s="2">
        <v>1918227</v>
      </c>
      <c r="F18" s="2">
        <v>1384347</v>
      </c>
      <c r="G18" s="2">
        <f t="shared" si="0"/>
        <v>-533880</v>
      </c>
      <c r="H18" s="2">
        <f>Table1[[#This Row],[Revenue]]/Table1[[#This Row],[Staff Count]]</f>
        <v>7172.7823834196888</v>
      </c>
    </row>
    <row r="19" spans="1:8" x14ac:dyDescent="0.25">
      <c r="A19" t="s">
        <v>42</v>
      </c>
      <c r="B19" t="s">
        <v>22</v>
      </c>
      <c r="C19" t="s">
        <v>43</v>
      </c>
      <c r="D19">
        <v>35</v>
      </c>
      <c r="E19" s="2">
        <v>815681</v>
      </c>
      <c r="F19" s="2">
        <v>1948176</v>
      </c>
      <c r="G19" s="2">
        <f t="shared" si="0"/>
        <v>1132495</v>
      </c>
      <c r="H19" s="2">
        <f>Table1[[#This Row],[Revenue]]/Table1[[#This Row],[Staff Count]]</f>
        <v>55662.171428571426</v>
      </c>
    </row>
    <row r="20" spans="1:8" x14ac:dyDescent="0.25">
      <c r="A20" t="s">
        <v>44</v>
      </c>
      <c r="B20" t="s">
        <v>22</v>
      </c>
      <c r="C20" t="s">
        <v>45</v>
      </c>
      <c r="D20">
        <v>136</v>
      </c>
      <c r="E20" s="2">
        <v>1270061</v>
      </c>
      <c r="F20" s="2">
        <v>2413767</v>
      </c>
      <c r="G20" s="2">
        <f t="shared" si="0"/>
        <v>1143706</v>
      </c>
      <c r="H20" s="2">
        <f>Table1[[#This Row],[Revenue]]/Table1[[#This Row],[Staff Count]]</f>
        <v>17748.286764705881</v>
      </c>
    </row>
    <row r="21" spans="1:8" x14ac:dyDescent="0.25">
      <c r="A21" t="s">
        <v>46</v>
      </c>
      <c r="B21" t="s">
        <v>8</v>
      </c>
      <c r="C21" t="s">
        <v>47</v>
      </c>
      <c r="D21">
        <v>62</v>
      </c>
      <c r="E21" s="2">
        <v>315592</v>
      </c>
      <c r="F21" s="2">
        <v>1821918</v>
      </c>
      <c r="G21" s="2">
        <f t="shared" si="0"/>
        <v>1506326</v>
      </c>
      <c r="H21" s="2">
        <f>Table1[[#This Row],[Revenue]]/Table1[[#This Row],[Staff Count]]</f>
        <v>29385.774193548386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B61DBB-DCF6-4E06-B805-2E8225F63151}">
  <dimension ref="A1:O44"/>
  <sheetViews>
    <sheetView zoomScaleNormal="100" workbookViewId="0">
      <selection activeCell="M9" sqref="M9"/>
    </sheetView>
  </sheetViews>
  <sheetFormatPr defaultRowHeight="15" x14ac:dyDescent="0.25"/>
  <cols>
    <col min="1" max="1" width="14" bestFit="1" customWidth="1"/>
    <col min="2" max="2" width="12.5703125" bestFit="1" customWidth="1"/>
    <col min="4" max="4" width="13.140625" bestFit="1" customWidth="1"/>
    <col min="5" max="5" width="12.5703125" bestFit="1" customWidth="1"/>
    <col min="6" max="6" width="13.7109375" bestFit="1" customWidth="1"/>
    <col min="7" max="7" width="14.28515625" bestFit="1" customWidth="1"/>
    <col min="8" max="8" width="18" bestFit="1" customWidth="1"/>
    <col min="9" max="9" width="21" bestFit="1" customWidth="1"/>
    <col min="10" max="10" width="18.28515625" bestFit="1" customWidth="1"/>
    <col min="11" max="11" width="14" bestFit="1" customWidth="1"/>
    <col min="12" max="12" width="28.7109375" bestFit="1" customWidth="1"/>
    <col min="13" max="13" width="13.85546875" bestFit="1" customWidth="1"/>
    <col min="14" max="14" width="18" bestFit="1" customWidth="1"/>
    <col min="15" max="15" width="17.7109375" bestFit="1" customWidth="1"/>
  </cols>
  <sheetData>
    <row r="1" spans="1:15" x14ac:dyDescent="0.25">
      <c r="A1" t="s">
        <v>64</v>
      </c>
      <c r="G1" s="8" t="s">
        <v>57</v>
      </c>
      <c r="H1" s="8"/>
      <c r="I1" s="8"/>
      <c r="K1" s="1" t="s">
        <v>59</v>
      </c>
      <c r="N1" t="s">
        <v>65</v>
      </c>
    </row>
    <row r="2" spans="1:15" x14ac:dyDescent="0.25">
      <c r="A2" s="3" t="s">
        <v>49</v>
      </c>
      <c r="B2" t="s">
        <v>51</v>
      </c>
      <c r="H2" t="s">
        <v>52</v>
      </c>
      <c r="K2" s="3" t="s">
        <v>49</v>
      </c>
      <c r="L2" t="s">
        <v>61</v>
      </c>
      <c r="N2" s="3" t="s">
        <v>49</v>
      </c>
      <c r="O2" t="s">
        <v>66</v>
      </c>
    </row>
    <row r="3" spans="1:15" x14ac:dyDescent="0.25">
      <c r="A3" s="4" t="s">
        <v>31</v>
      </c>
      <c r="B3" s="2">
        <v>4203646</v>
      </c>
      <c r="G3" t="s">
        <v>53</v>
      </c>
      <c r="H3" s="2">
        <f>SUM(Table1[Profit])</f>
        <v>38254272</v>
      </c>
      <c r="K3" s="4" t="s">
        <v>33</v>
      </c>
      <c r="L3" s="2">
        <v>198379.33333333334</v>
      </c>
      <c r="N3" s="4" t="s">
        <v>27</v>
      </c>
      <c r="O3" s="5">
        <v>133</v>
      </c>
    </row>
    <row r="4" spans="1:15" x14ac:dyDescent="0.25">
      <c r="A4" s="4" t="s">
        <v>37</v>
      </c>
      <c r="B4" s="2">
        <v>3559601</v>
      </c>
      <c r="G4" t="s">
        <v>3</v>
      </c>
      <c r="H4" s="2">
        <f>SUM(Table1[Revenue])</f>
        <v>59421720</v>
      </c>
      <c r="K4" s="4" t="s">
        <v>35</v>
      </c>
      <c r="L4" s="2">
        <v>187736.30434782608</v>
      </c>
      <c r="N4" s="4" t="s">
        <v>33</v>
      </c>
      <c r="O4" s="5">
        <v>18</v>
      </c>
    </row>
    <row r="5" spans="1:15" x14ac:dyDescent="0.25">
      <c r="A5" s="4" t="s">
        <v>33</v>
      </c>
      <c r="B5" s="2">
        <v>3378768</v>
      </c>
      <c r="G5" t="s">
        <v>54</v>
      </c>
      <c r="H5" s="2">
        <f>SUM(Table1[Operating Cost])</f>
        <v>21167448</v>
      </c>
      <c r="K5" s="4" t="s">
        <v>18</v>
      </c>
      <c r="L5" s="2">
        <v>113815.28571428571</v>
      </c>
      <c r="N5" s="4" t="s">
        <v>47</v>
      </c>
      <c r="O5" s="5">
        <v>62</v>
      </c>
    </row>
    <row r="6" spans="1:15" x14ac:dyDescent="0.25">
      <c r="A6" s="4" t="s">
        <v>16</v>
      </c>
      <c r="B6" s="2">
        <v>3069907</v>
      </c>
      <c r="D6" t="s">
        <v>55</v>
      </c>
      <c r="K6" s="4" t="s">
        <v>23</v>
      </c>
      <c r="L6" s="2">
        <v>92231</v>
      </c>
      <c r="N6" s="4" t="s">
        <v>25</v>
      </c>
      <c r="O6" s="5">
        <v>101</v>
      </c>
    </row>
    <row r="7" spans="1:15" x14ac:dyDescent="0.25">
      <c r="A7" s="4" t="s">
        <v>12</v>
      </c>
      <c r="B7" s="2">
        <v>3031719</v>
      </c>
      <c r="D7" s="3" t="s">
        <v>49</v>
      </c>
      <c r="E7" t="s">
        <v>51</v>
      </c>
      <c r="K7" s="4" t="s">
        <v>12</v>
      </c>
      <c r="L7" s="2">
        <v>56944.50588235294</v>
      </c>
      <c r="N7" s="4" t="s">
        <v>18</v>
      </c>
      <c r="O7" s="5">
        <v>42</v>
      </c>
    </row>
    <row r="8" spans="1:15" x14ac:dyDescent="0.25">
      <c r="A8" s="4" t="s">
        <v>35</v>
      </c>
      <c r="B8" s="2">
        <v>3026194</v>
      </c>
      <c r="D8" s="4" t="s">
        <v>11</v>
      </c>
      <c r="E8" s="2">
        <v>14787236</v>
      </c>
      <c r="H8" t="s">
        <v>63</v>
      </c>
      <c r="K8" s="4" t="s">
        <v>43</v>
      </c>
      <c r="L8" s="2">
        <v>55662.171428571426</v>
      </c>
      <c r="N8" s="4" t="s">
        <v>41</v>
      </c>
      <c r="O8" s="5">
        <v>193</v>
      </c>
    </row>
    <row r="9" spans="1:15" x14ac:dyDescent="0.25">
      <c r="A9" s="4" t="s">
        <v>23</v>
      </c>
      <c r="B9" s="2">
        <v>2968460</v>
      </c>
      <c r="D9" s="4" t="s">
        <v>5</v>
      </c>
      <c r="E9" s="2">
        <v>9473157</v>
      </c>
      <c r="H9" s="3" t="s">
        <v>49</v>
      </c>
      <c r="I9" t="s">
        <v>62</v>
      </c>
      <c r="K9" s="4" t="s">
        <v>39</v>
      </c>
      <c r="L9" s="2">
        <v>41981.243589743586</v>
      </c>
      <c r="N9" s="4" t="s">
        <v>43</v>
      </c>
      <c r="O9" s="5">
        <v>35</v>
      </c>
    </row>
    <row r="10" spans="1:15" x14ac:dyDescent="0.25">
      <c r="A10" s="4" t="s">
        <v>39</v>
      </c>
      <c r="B10" s="2">
        <v>2895709</v>
      </c>
      <c r="D10" s="4" t="s">
        <v>8</v>
      </c>
      <c r="E10" s="2">
        <v>8839494</v>
      </c>
      <c r="H10" s="4" t="s">
        <v>18</v>
      </c>
      <c r="I10" s="2">
        <v>1973103</v>
      </c>
      <c r="K10" s="4" t="s">
        <v>31</v>
      </c>
      <c r="L10" s="2">
        <v>33699.80740740741</v>
      </c>
      <c r="N10" s="4" t="s">
        <v>31</v>
      </c>
      <c r="O10" s="5">
        <v>135</v>
      </c>
    </row>
    <row r="11" spans="1:15" x14ac:dyDescent="0.25">
      <c r="A11" s="4" t="s">
        <v>18</v>
      </c>
      <c r="B11" s="2">
        <v>2807139</v>
      </c>
      <c r="D11" s="4" t="s">
        <v>22</v>
      </c>
      <c r="E11" s="2">
        <v>5154385</v>
      </c>
      <c r="H11" s="4" t="s">
        <v>41</v>
      </c>
      <c r="I11" s="2">
        <v>1918227</v>
      </c>
      <c r="K11" s="4" t="s">
        <v>37</v>
      </c>
      <c r="L11" s="2">
        <v>31665.407142857144</v>
      </c>
      <c r="N11" s="4" t="s">
        <v>37</v>
      </c>
      <c r="O11" s="5">
        <v>140</v>
      </c>
    </row>
    <row r="12" spans="1:15" x14ac:dyDescent="0.25">
      <c r="A12" s="4" t="s">
        <v>20</v>
      </c>
      <c r="B12" s="2">
        <v>2581859</v>
      </c>
      <c r="D12" s="4" t="s">
        <v>50</v>
      </c>
      <c r="E12" s="2">
        <v>38254272</v>
      </c>
      <c r="H12" s="4" t="s">
        <v>12</v>
      </c>
      <c r="I12" s="2">
        <v>1808564</v>
      </c>
      <c r="K12" s="4" t="s">
        <v>14</v>
      </c>
      <c r="L12" s="2">
        <v>29892.53043478261</v>
      </c>
      <c r="N12" s="4" t="s">
        <v>20</v>
      </c>
      <c r="O12" s="5">
        <v>197</v>
      </c>
    </row>
    <row r="13" spans="1:15" x14ac:dyDescent="0.25">
      <c r="A13" s="4" t="s">
        <v>50</v>
      </c>
      <c r="B13" s="2">
        <v>31523002</v>
      </c>
      <c r="H13" s="4" t="s">
        <v>20</v>
      </c>
      <c r="I13" s="2">
        <v>1766023</v>
      </c>
      <c r="K13" s="4" t="s">
        <v>50</v>
      </c>
      <c r="L13" s="2">
        <v>842007.58928116027</v>
      </c>
      <c r="N13" s="4" t="s">
        <v>12</v>
      </c>
      <c r="O13" s="5">
        <v>85</v>
      </c>
    </row>
    <row r="14" spans="1:15" x14ac:dyDescent="0.25">
      <c r="D14" s="4" t="s">
        <v>58</v>
      </c>
      <c r="H14" s="4" t="s">
        <v>6</v>
      </c>
      <c r="I14" s="2">
        <v>1727985</v>
      </c>
      <c r="N14" s="4" t="s">
        <v>39</v>
      </c>
      <c r="O14" s="5">
        <v>78</v>
      </c>
    </row>
    <row r="15" spans="1:15" x14ac:dyDescent="0.25">
      <c r="A15" s="3" t="s">
        <v>49</v>
      </c>
      <c r="B15" t="s">
        <v>51</v>
      </c>
      <c r="D15" s="3" t="s">
        <v>49</v>
      </c>
      <c r="E15" t="s">
        <v>56</v>
      </c>
      <c r="H15" s="4" t="s">
        <v>14</v>
      </c>
      <c r="I15" s="2">
        <v>1725464</v>
      </c>
      <c r="K15" s="3" t="s">
        <v>49</v>
      </c>
      <c r="L15" t="s">
        <v>61</v>
      </c>
      <c r="N15" s="4" t="s">
        <v>45</v>
      </c>
      <c r="O15" s="5">
        <v>136</v>
      </c>
    </row>
    <row r="16" spans="1:15" x14ac:dyDescent="0.25">
      <c r="A16" s="4" t="s">
        <v>31</v>
      </c>
      <c r="B16" s="2">
        <v>4203646</v>
      </c>
      <c r="D16" s="4" t="s">
        <v>27</v>
      </c>
      <c r="E16" s="2">
        <v>1409102</v>
      </c>
      <c r="H16" s="4" t="s">
        <v>16</v>
      </c>
      <c r="I16" s="2">
        <v>1506246</v>
      </c>
      <c r="K16" s="4" t="s">
        <v>33</v>
      </c>
      <c r="L16" s="2">
        <v>198379.33333333334</v>
      </c>
      <c r="N16" s="4" t="s">
        <v>16</v>
      </c>
      <c r="O16" s="5">
        <v>162</v>
      </c>
    </row>
    <row r="17" spans="1:15" x14ac:dyDescent="0.25">
      <c r="A17" s="4" t="s">
        <v>37</v>
      </c>
      <c r="B17" s="2">
        <v>3559601</v>
      </c>
      <c r="D17" s="4" t="s">
        <v>33</v>
      </c>
      <c r="E17" s="2">
        <v>3570828</v>
      </c>
      <c r="H17" s="4" t="s">
        <v>35</v>
      </c>
      <c r="I17" s="2">
        <v>1291741</v>
      </c>
      <c r="K17" s="4" t="s">
        <v>35</v>
      </c>
      <c r="L17" s="2">
        <v>187736.30434782608</v>
      </c>
      <c r="N17" s="4" t="s">
        <v>35</v>
      </c>
      <c r="O17" s="5">
        <v>23</v>
      </c>
    </row>
    <row r="18" spans="1:15" x14ac:dyDescent="0.25">
      <c r="A18" s="4" t="s">
        <v>33</v>
      </c>
      <c r="B18" s="2">
        <v>3378768</v>
      </c>
      <c r="D18" s="4" t="s">
        <v>47</v>
      </c>
      <c r="E18" s="2">
        <v>1821918</v>
      </c>
      <c r="H18" s="4" t="s">
        <v>23</v>
      </c>
      <c r="I18" s="2">
        <v>1274166</v>
      </c>
      <c r="K18" s="4" t="s">
        <v>18</v>
      </c>
      <c r="L18" s="2">
        <v>113815.28571428571</v>
      </c>
      <c r="N18" s="4" t="s">
        <v>29</v>
      </c>
      <c r="O18" s="5">
        <v>52</v>
      </c>
    </row>
    <row r="19" spans="1:15" x14ac:dyDescent="0.25">
      <c r="A19" s="4" t="s">
        <v>16</v>
      </c>
      <c r="B19" s="2">
        <v>3069907</v>
      </c>
      <c r="D19" s="4" t="s">
        <v>25</v>
      </c>
      <c r="E19" s="2">
        <v>953493</v>
      </c>
      <c r="H19" s="4" t="s">
        <v>45</v>
      </c>
      <c r="I19" s="2">
        <v>1270061</v>
      </c>
      <c r="K19" s="4" t="s">
        <v>23</v>
      </c>
      <c r="L19" s="2">
        <v>92231</v>
      </c>
      <c r="N19" s="4" t="s">
        <v>14</v>
      </c>
      <c r="O19" s="5">
        <v>115</v>
      </c>
    </row>
    <row r="20" spans="1:15" x14ac:dyDescent="0.25">
      <c r="A20" s="4" t="s">
        <v>12</v>
      </c>
      <c r="B20" s="2">
        <v>3031719</v>
      </c>
      <c r="D20" s="4" t="s">
        <v>18</v>
      </c>
      <c r="E20" s="2">
        <v>4780242</v>
      </c>
      <c r="H20" s="4" t="s">
        <v>50</v>
      </c>
      <c r="I20" s="2">
        <v>16261580</v>
      </c>
      <c r="K20" s="4" t="s">
        <v>12</v>
      </c>
      <c r="L20" s="2">
        <v>56944.50588235294</v>
      </c>
      <c r="N20" s="4" t="s">
        <v>23</v>
      </c>
      <c r="O20" s="5">
        <v>46</v>
      </c>
    </row>
    <row r="21" spans="1:15" x14ac:dyDescent="0.25">
      <c r="A21" s="4" t="s">
        <v>35</v>
      </c>
      <c r="B21" s="2">
        <v>3026194</v>
      </c>
      <c r="D21" s="4" t="s">
        <v>41</v>
      </c>
      <c r="E21" s="2">
        <v>1384347</v>
      </c>
      <c r="K21" s="4" t="s">
        <v>43</v>
      </c>
      <c r="L21" s="2">
        <v>55662.171428571426</v>
      </c>
      <c r="N21" s="4" t="s">
        <v>6</v>
      </c>
      <c r="O21" s="5">
        <v>113</v>
      </c>
    </row>
    <row r="22" spans="1:15" x14ac:dyDescent="0.25">
      <c r="A22" s="4" t="s">
        <v>23</v>
      </c>
      <c r="B22" s="2">
        <v>2968460</v>
      </c>
      <c r="D22" s="4" t="s">
        <v>43</v>
      </c>
      <c r="E22" s="2">
        <v>1948176</v>
      </c>
      <c r="H22" s="3" t="s">
        <v>49</v>
      </c>
      <c r="I22" t="s">
        <v>62</v>
      </c>
      <c r="K22" s="4" t="s">
        <v>39</v>
      </c>
      <c r="L22" s="2">
        <v>41981.243589743586</v>
      </c>
      <c r="N22" s="4" t="s">
        <v>9</v>
      </c>
      <c r="O22" s="5">
        <v>85</v>
      </c>
    </row>
    <row r="23" spans="1:15" x14ac:dyDescent="0.25">
      <c r="A23" s="4" t="s">
        <v>39</v>
      </c>
      <c r="B23" s="2">
        <v>2895709</v>
      </c>
      <c r="D23" s="4" t="s">
        <v>31</v>
      </c>
      <c r="E23" s="2">
        <v>4549474</v>
      </c>
      <c r="H23" s="4" t="s">
        <v>18</v>
      </c>
      <c r="I23" s="2">
        <v>1973103</v>
      </c>
      <c r="K23" s="4" t="s">
        <v>31</v>
      </c>
      <c r="L23" s="2">
        <v>33699.80740740741</v>
      </c>
      <c r="N23" s="4" t="s">
        <v>50</v>
      </c>
      <c r="O23" s="5">
        <v>1951</v>
      </c>
    </row>
    <row r="24" spans="1:15" x14ac:dyDescent="0.25">
      <c r="A24" s="4" t="s">
        <v>18</v>
      </c>
      <c r="B24" s="2">
        <v>2807139</v>
      </c>
      <c r="D24" s="4" t="s">
        <v>37</v>
      </c>
      <c r="E24" s="2">
        <v>4433157</v>
      </c>
      <c r="H24" s="4" t="s">
        <v>41</v>
      </c>
      <c r="I24" s="2">
        <v>1918227</v>
      </c>
      <c r="K24" s="4" t="s">
        <v>37</v>
      </c>
      <c r="L24" s="2">
        <v>31665.407142857144</v>
      </c>
    </row>
    <row r="25" spans="1:15" x14ac:dyDescent="0.25">
      <c r="A25" s="4" t="s">
        <v>20</v>
      </c>
      <c r="B25" s="2">
        <v>2581859</v>
      </c>
      <c r="D25" s="4" t="s">
        <v>20</v>
      </c>
      <c r="E25" s="2">
        <v>4347882</v>
      </c>
      <c r="H25" s="4" t="s">
        <v>12</v>
      </c>
      <c r="I25" s="2">
        <v>1808564</v>
      </c>
      <c r="K25" s="4" t="s">
        <v>14</v>
      </c>
      <c r="L25" s="2">
        <v>29892.53043478261</v>
      </c>
    </row>
    <row r="26" spans="1:15" x14ac:dyDescent="0.25">
      <c r="A26" s="4" t="s">
        <v>14</v>
      </c>
      <c r="B26" s="2">
        <v>1712177</v>
      </c>
      <c r="D26" s="4" t="s">
        <v>12</v>
      </c>
      <c r="E26" s="2">
        <v>4840283</v>
      </c>
      <c r="H26" s="4" t="s">
        <v>20</v>
      </c>
      <c r="I26" s="2">
        <v>1766023</v>
      </c>
      <c r="K26" s="4" t="s">
        <v>47</v>
      </c>
      <c r="L26" s="2">
        <v>29385.774193548386</v>
      </c>
    </row>
    <row r="27" spans="1:15" x14ac:dyDescent="0.25">
      <c r="A27" s="4" t="s">
        <v>47</v>
      </c>
      <c r="B27" s="2">
        <v>1506326</v>
      </c>
      <c r="D27" s="4" t="s">
        <v>39</v>
      </c>
      <c r="E27" s="2">
        <v>3274537</v>
      </c>
      <c r="H27" s="4" t="s">
        <v>6</v>
      </c>
      <c r="I27" s="2">
        <v>1727985</v>
      </c>
      <c r="K27" s="4" t="s">
        <v>16</v>
      </c>
      <c r="L27" s="2">
        <v>28247.858024691359</v>
      </c>
    </row>
    <row r="28" spans="1:15" x14ac:dyDescent="0.25">
      <c r="A28" s="4" t="s">
        <v>45</v>
      </c>
      <c r="B28" s="2">
        <v>1143706</v>
      </c>
      <c r="D28" s="4" t="s">
        <v>45</v>
      </c>
      <c r="E28" s="2">
        <v>2413767</v>
      </c>
      <c r="H28" s="4" t="s">
        <v>14</v>
      </c>
      <c r="I28" s="2">
        <v>1725464</v>
      </c>
      <c r="K28" s="4" t="s">
        <v>20</v>
      </c>
      <c r="L28" s="2">
        <v>22070.467005076142</v>
      </c>
    </row>
    <row r="29" spans="1:15" x14ac:dyDescent="0.25">
      <c r="A29" s="4" t="s">
        <v>43</v>
      </c>
      <c r="B29" s="2">
        <v>1132495</v>
      </c>
      <c r="D29" s="4" t="s">
        <v>16</v>
      </c>
      <c r="E29" s="2">
        <v>4576153</v>
      </c>
      <c r="H29" s="4" t="s">
        <v>16</v>
      </c>
      <c r="I29" s="2">
        <v>1506246</v>
      </c>
      <c r="K29" s="4" t="s">
        <v>29</v>
      </c>
      <c r="L29" s="2">
        <v>20948.557692307691</v>
      </c>
    </row>
    <row r="30" spans="1:15" x14ac:dyDescent="0.25">
      <c r="A30" s="4" t="s">
        <v>25</v>
      </c>
      <c r="B30" s="2">
        <v>794649</v>
      </c>
      <c r="D30" s="4" t="s">
        <v>35</v>
      </c>
      <c r="E30" s="2">
        <v>4317935</v>
      </c>
      <c r="H30" s="4" t="s">
        <v>35</v>
      </c>
      <c r="I30" s="2">
        <v>1291741</v>
      </c>
      <c r="K30" s="4" t="s">
        <v>45</v>
      </c>
      <c r="L30" s="2">
        <v>17748.286764705881</v>
      </c>
    </row>
    <row r="31" spans="1:15" x14ac:dyDescent="0.25">
      <c r="A31" s="4" t="s">
        <v>27</v>
      </c>
      <c r="B31" s="2">
        <v>606693</v>
      </c>
      <c r="D31" s="4" t="s">
        <v>29</v>
      </c>
      <c r="E31" s="2">
        <v>1089325</v>
      </c>
      <c r="H31" s="4" t="s">
        <v>23</v>
      </c>
      <c r="I31" s="2">
        <v>1274166</v>
      </c>
      <c r="K31" s="4" t="s">
        <v>9</v>
      </c>
      <c r="L31" s="2">
        <v>11238.129411764707</v>
      </c>
    </row>
    <row r="32" spans="1:15" x14ac:dyDescent="0.25">
      <c r="A32" s="4" t="s">
        <v>9</v>
      </c>
      <c r="B32" s="2">
        <v>577892</v>
      </c>
      <c r="D32" s="4" t="s">
        <v>14</v>
      </c>
      <c r="E32" s="2">
        <v>3437641</v>
      </c>
      <c r="H32" s="4" t="s">
        <v>45</v>
      </c>
      <c r="I32" s="2">
        <v>1270061</v>
      </c>
      <c r="K32" s="4" t="s">
        <v>27</v>
      </c>
      <c r="L32" s="2">
        <v>10594.751879699248</v>
      </c>
    </row>
    <row r="33" spans="1:12" x14ac:dyDescent="0.25">
      <c r="A33" s="4" t="s">
        <v>29</v>
      </c>
      <c r="B33" s="2">
        <v>443604</v>
      </c>
      <c r="D33" s="4" t="s">
        <v>23</v>
      </c>
      <c r="E33" s="2">
        <v>4242626</v>
      </c>
      <c r="H33" s="4" t="s">
        <v>37</v>
      </c>
      <c r="I33" s="2">
        <v>873556</v>
      </c>
      <c r="K33" s="4" t="s">
        <v>6</v>
      </c>
      <c r="L33" s="2">
        <v>9518.5221238938047</v>
      </c>
    </row>
    <row r="34" spans="1:12" x14ac:dyDescent="0.25">
      <c r="A34" s="4" t="s">
        <v>41</v>
      </c>
      <c r="B34" s="2">
        <v>-533880</v>
      </c>
      <c r="D34" s="4" t="s">
        <v>6</v>
      </c>
      <c r="E34" s="2">
        <v>1075593</v>
      </c>
      <c r="H34" s="4" t="s">
        <v>43</v>
      </c>
      <c r="I34" s="2">
        <v>815681</v>
      </c>
      <c r="K34" s="4" t="s">
        <v>25</v>
      </c>
      <c r="L34" s="2">
        <v>9440.5247524752467</v>
      </c>
    </row>
    <row r="35" spans="1:12" x14ac:dyDescent="0.25">
      <c r="A35" s="4" t="s">
        <v>6</v>
      </c>
      <c r="B35" s="2">
        <v>-652392</v>
      </c>
      <c r="D35" s="4" t="s">
        <v>9</v>
      </c>
      <c r="E35" s="2">
        <v>955241</v>
      </c>
      <c r="H35" s="4" t="s">
        <v>27</v>
      </c>
      <c r="I35" s="2">
        <v>802409</v>
      </c>
      <c r="K35" s="4" t="s">
        <v>41</v>
      </c>
      <c r="L35" s="2">
        <v>7172.7823834196888</v>
      </c>
    </row>
    <row r="36" spans="1:12" x14ac:dyDescent="0.25">
      <c r="A36" s="4" t="s">
        <v>50</v>
      </c>
      <c r="B36" s="2">
        <v>38254272</v>
      </c>
      <c r="D36" s="4" t="s">
        <v>50</v>
      </c>
      <c r="E36" s="2">
        <v>59421720</v>
      </c>
      <c r="H36" s="4" t="s">
        <v>29</v>
      </c>
      <c r="I36" s="2">
        <v>645721</v>
      </c>
      <c r="K36" s="4" t="s">
        <v>50</v>
      </c>
      <c r="L36" s="2">
        <v>1008373.2435127426</v>
      </c>
    </row>
    <row r="37" spans="1:12" x14ac:dyDescent="0.25">
      <c r="H37" s="4" t="s">
        <v>39</v>
      </c>
      <c r="I37" s="2">
        <v>378828</v>
      </c>
    </row>
    <row r="38" spans="1:12" x14ac:dyDescent="0.25">
      <c r="D38" t="s">
        <v>55</v>
      </c>
      <c r="H38" s="4" t="s">
        <v>9</v>
      </c>
      <c r="I38" s="2">
        <v>377349</v>
      </c>
    </row>
    <row r="39" spans="1:12" x14ac:dyDescent="0.25">
      <c r="D39" s="3" t="s">
        <v>49</v>
      </c>
      <c r="E39" t="s">
        <v>51</v>
      </c>
      <c r="H39" s="4" t="s">
        <v>31</v>
      </c>
      <c r="I39" s="2">
        <v>345828</v>
      </c>
    </row>
    <row r="40" spans="1:12" x14ac:dyDescent="0.25">
      <c r="D40" s="4" t="s">
        <v>11</v>
      </c>
      <c r="E40" s="7">
        <v>0.38655123276166387</v>
      </c>
      <c r="H40" s="4" t="s">
        <v>47</v>
      </c>
      <c r="I40" s="2">
        <v>315592</v>
      </c>
    </row>
    <row r="41" spans="1:12" x14ac:dyDescent="0.25">
      <c r="D41" s="4" t="s">
        <v>5</v>
      </c>
      <c r="E41" s="7">
        <v>0.24763657768732339</v>
      </c>
      <c r="H41" s="4" t="s">
        <v>33</v>
      </c>
      <c r="I41" s="2">
        <v>192060</v>
      </c>
    </row>
    <row r="42" spans="1:12" x14ac:dyDescent="0.25">
      <c r="D42" s="4" t="s">
        <v>8</v>
      </c>
      <c r="E42" s="7">
        <v>0.23107207477376646</v>
      </c>
      <c r="H42" s="4" t="s">
        <v>25</v>
      </c>
      <c r="I42" s="2">
        <v>158844</v>
      </c>
    </row>
    <row r="43" spans="1:12" x14ac:dyDescent="0.25">
      <c r="D43" s="4" t="s">
        <v>22</v>
      </c>
      <c r="E43" s="7">
        <v>0.13474011477724632</v>
      </c>
      <c r="H43" s="4" t="s">
        <v>50</v>
      </c>
      <c r="I43" s="2">
        <v>21167448</v>
      </c>
    </row>
    <row r="44" spans="1:12" x14ac:dyDescent="0.25">
      <c r="D44" s="4" t="s">
        <v>50</v>
      </c>
      <c r="E44" s="7">
        <v>1</v>
      </c>
    </row>
  </sheetData>
  <mergeCells count="1">
    <mergeCell ref="G1:I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5073A3-0BFE-4B24-A298-D93FA4C845E6}">
  <dimension ref="A1"/>
  <sheetViews>
    <sheetView workbookViewId="0">
      <selection activeCell="K18" sqref="K18"/>
    </sheetView>
  </sheetViews>
  <sheetFormatPr defaultRowHeight="15" x14ac:dyDescent="0.2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41A11-2F27-445E-BD9E-4A90EBA4DDF7}">
  <dimension ref="A1"/>
  <sheetViews>
    <sheetView showGridLines="0" tabSelected="1" zoomScale="55" zoomScaleNormal="55" workbookViewId="0">
      <selection activeCell="E15" sqref="E15"/>
    </sheetView>
  </sheetViews>
  <sheetFormatPr defaultRowHeight="15" x14ac:dyDescent="0.25"/>
  <cols>
    <col min="1" max="16384" width="9.140625" style="6"/>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72BE73A-1D14-4D90-AA1F-B7BFEDEC0C5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MetroBank branches</vt:lpstr>
      <vt:lpstr>Pivot Tables</vt:lpstr>
      <vt:lpstr>Insights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2026-08-17T08:20:58Z</dcterms:created>
  <dcterms:modified xsi:type="dcterms:W3CDTF">2026-09-09T09:23:17Z</dcterms:modified>
</cp:coreProperties>
</file>