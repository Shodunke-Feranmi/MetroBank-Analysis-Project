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10"/>
  <workbookPr hidePivotFieldList="1" defaultThemeVersion="166925"/>
  <mc:AlternateContent xmlns:mc="http://schemas.openxmlformats.org/markup-compatibility/2006">
    <mc:Choice Requires="x15">
      <x15ac:absPath xmlns:x15ac="http://schemas.microsoft.com/office/spreadsheetml/2010/11/ac" url="C:\Users\User\Downloads\Data Analysis\"/>
    </mc:Choice>
  </mc:AlternateContent>
  <xr:revisionPtr revIDLastSave="0" documentId="13_ncr:1_{D68FFFFB-03C5-4807-A2B9-FD8DAB730769}" xr6:coauthVersionLast="47" xr6:coauthVersionMax="47" xr10:uidLastSave="{00000000-0000-0000-0000-000000000000}"/>
  <bookViews>
    <workbookView xWindow="-120" yWindow="-120" windowWidth="20730" windowHeight="11160" activeTab="2" xr2:uid="{9ED1EF63-7E44-4825-8AB2-6858A99AF894}"/>
  </bookViews>
  <sheets>
    <sheet name="Customer" sheetId="3" r:id="rId1"/>
    <sheet name="Customers Account" sheetId="4" r:id="rId2"/>
    <sheet name="Dashboard" sheetId="11" r:id="rId3"/>
    <sheet name="Pivot Table" sheetId="5" r:id="rId4"/>
    <sheet name="Accounts" sheetId="2" r:id="rId5"/>
    <sheet name="MetroBankAccounts" sheetId="1" r:id="rId6"/>
  </sheets>
  <definedNames>
    <definedName name="ExternalData_1" localSheetId="4" hidden="1">Accounts!$A$1:$H$801</definedName>
    <definedName name="ExternalData_2" localSheetId="0" hidden="1">'Customer'!$A$1:$M$501</definedName>
    <definedName name="ExternalData_2" localSheetId="1" hidden="1">'Customers Account'!$A$1:$U$801</definedName>
    <definedName name="Slicer_Age_Bracket">#N/A</definedName>
    <definedName name="Slicer_Region">#N/A</definedName>
  </definedNames>
  <calcPr calcId="191029"/>
  <pivotCaches>
    <pivotCache cacheId="7" r:id="rId7"/>
  </pivotCaches>
  <fileRecoveryPr repairLoad="1"/>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S24" i="3" l="1"/>
  <c r="S23" i="3"/>
  <c r="S20" i="3"/>
  <c r="T20" i="3" s="1"/>
  <c r="S19" i="3"/>
  <c r="T19" i="3" s="1"/>
  <c r="S18" i="3"/>
  <c r="T18" i="3" s="1"/>
  <c r="S17" i="3"/>
  <c r="T17" i="3" s="1"/>
  <c r="S15" i="3"/>
  <c r="T15" i="3" s="1"/>
  <c r="S14" i="3"/>
  <c r="S13" i="3"/>
  <c r="S12" i="3"/>
  <c r="U11" i="3"/>
  <c r="T11" i="3"/>
  <c r="S11" i="3"/>
  <c r="S9" i="3"/>
  <c r="V7" i="3"/>
  <c r="U7" i="3"/>
  <c r="T7" i="3"/>
  <c r="S7" i="3"/>
  <c r="S2" i="4"/>
  <c r="C15" i="5"/>
  <c r="C16" i="5"/>
  <c r="C17" i="5"/>
  <c r="C14" i="5"/>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C18" i="5"/>
  <c r="S21" i="3"/>
  <c r="S22" i="3"/>
  <c r="H8" i="5"/>
  <c r="H7" i="5"/>
  <c r="H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04DEF4-6CF2-42E3-84D7-AA0013259553}" keepAlive="1" name="Query - Accounts" description="Connection to the 'Accounts' query in the workbook." type="5" refreshedVersion="8" background="1" saveData="1">
    <dbPr connection="Provider=Microsoft.Mashup.OleDb.1;Data Source=$Workbook$;Location=Accounts;Extended Properties=&quot;&quot;" command="SELECT * FROM [Accounts]"/>
  </connection>
  <connection id="2" xr16:uid="{42DA33BC-BD16-45F1-A19E-6CF8B62BD626}"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3" xr16:uid="{BD2480D7-479B-47FD-B4C9-9746F4000908}" keepAlive="1" name="Query - Linked" description="Connection to the 'Linked' query in the workbook." type="5" refreshedVersion="8" background="1" saveData="1">
    <dbPr connection="Provider=Microsoft.Mashup.OleDb.1;Data Source=$Workbook$;Location=Linked;Extended Properties=&quot;&quot;" command="SELECT * FROM [Linked]"/>
  </connection>
</connections>
</file>

<file path=xl/sharedStrings.xml><?xml version="1.0" encoding="utf-8"?>
<sst xmlns="http://schemas.openxmlformats.org/spreadsheetml/2006/main" count="18784" uniqueCount="2363">
  <si>
    <t>AccountID</t>
  </si>
  <si>
    <t>CustomerID</t>
  </si>
  <si>
    <t>Account_Type</t>
  </si>
  <si>
    <t>Open_Date</t>
  </si>
  <si>
    <t>Balance</t>
  </si>
  <si>
    <t>Credit_Score</t>
  </si>
  <si>
    <t>Loan_Amount</t>
  </si>
  <si>
    <t>Loan_Status</t>
  </si>
  <si>
    <t>ACC00001</t>
  </si>
  <si>
    <t>CUST0305</t>
  </si>
  <si>
    <t>Checking</t>
  </si>
  <si>
    <t>ACC00002</t>
  </si>
  <si>
    <t>CUST0319</t>
  </si>
  <si>
    <t>Savings</t>
  </si>
  <si>
    <t>ACC00003</t>
  </si>
  <si>
    <t>CUST0366</t>
  </si>
  <si>
    <t>ACC00004</t>
  </si>
  <si>
    <t>CUST0211</t>
  </si>
  <si>
    <t>Rejected</t>
  </si>
  <si>
    <t>ACC00005</t>
  </si>
  <si>
    <t>CUST0406</t>
  </si>
  <si>
    <t>ACC00006</t>
  </si>
  <si>
    <t>CUST0152</t>
  </si>
  <si>
    <t>ACC00007</t>
  </si>
  <si>
    <t>CUST0109</t>
  </si>
  <si>
    <t>CreditCard</t>
  </si>
  <si>
    <t>ACC00008</t>
  </si>
  <si>
    <t>CUST0076</t>
  </si>
  <si>
    <t>ACC00009</t>
  </si>
  <si>
    <t>CUST0030</t>
  </si>
  <si>
    <t>ACC00010</t>
  </si>
  <si>
    <t>CUST0314</t>
  </si>
  <si>
    <t>Loan</t>
  </si>
  <si>
    <t>ACC00011</t>
  </si>
  <si>
    <t>CUST0486</t>
  </si>
  <si>
    <t>ACC00012</t>
  </si>
  <si>
    <t>CUST0117</t>
  </si>
  <si>
    <t>ACC00013</t>
  </si>
  <si>
    <t>CUST0415</t>
  </si>
  <si>
    <t>Approved</t>
  </si>
  <si>
    <t>ACC00014</t>
  </si>
  <si>
    <t>CUST0356</t>
  </si>
  <si>
    <t>ACC00015</t>
  </si>
  <si>
    <t>CUST0192</t>
  </si>
  <si>
    <t>ACC00016</t>
  </si>
  <si>
    <t>CUST0019</t>
  </si>
  <si>
    <t>ACC00017</t>
  </si>
  <si>
    <t>CUST0432</t>
  </si>
  <si>
    <t>ACC00018</t>
  </si>
  <si>
    <t>CUST0173</t>
  </si>
  <si>
    <t>ACC00019</t>
  </si>
  <si>
    <t>CUST0228</t>
  </si>
  <si>
    <t>ACC00020</t>
  </si>
  <si>
    <t>CUST0350</t>
  </si>
  <si>
    <t>ACC00021</t>
  </si>
  <si>
    <t>CUST0183</t>
  </si>
  <si>
    <t>ACC00022</t>
  </si>
  <si>
    <t>CUST0113</t>
  </si>
  <si>
    <t>ACC00023</t>
  </si>
  <si>
    <t>Default</t>
  </si>
  <si>
    <t>ACC00024</t>
  </si>
  <si>
    <t>CUST0481</t>
  </si>
  <si>
    <t>ACC00025</t>
  </si>
  <si>
    <t>CUST0146</t>
  </si>
  <si>
    <t>ACC00026</t>
  </si>
  <si>
    <t>ACC00027</t>
  </si>
  <si>
    <t>CUST0116</t>
  </si>
  <si>
    <t>ACC00028</t>
  </si>
  <si>
    <t>ACC00029</t>
  </si>
  <si>
    <t>CUST0251</t>
  </si>
  <si>
    <t>ACC00030</t>
  </si>
  <si>
    <t>CUST0476</t>
  </si>
  <si>
    <t>ACC00031</t>
  </si>
  <si>
    <t>ACC00032</t>
  </si>
  <si>
    <t>CUST0303</t>
  </si>
  <si>
    <t>ACC00033</t>
  </si>
  <si>
    <t>CUST0459</t>
  </si>
  <si>
    <t>ACC00034</t>
  </si>
  <si>
    <t>CUST0313</t>
  </si>
  <si>
    <t>ACC00035</t>
  </si>
  <si>
    <t>CUST0118</t>
  </si>
  <si>
    <t>ACC00036</t>
  </si>
  <si>
    <t>CUST0301</t>
  </si>
  <si>
    <t>ACC00037</t>
  </si>
  <si>
    <t>CUST0161</t>
  </si>
  <si>
    <t>ACC00038</t>
  </si>
  <si>
    <t>CUST0401</t>
  </si>
  <si>
    <t>ACC00039</t>
  </si>
  <si>
    <t>CUST0198</t>
  </si>
  <si>
    <t>ACC00040</t>
  </si>
  <si>
    <t>CUST0260</t>
  </si>
  <si>
    <t>ACC00041</t>
  </si>
  <si>
    <t>CUST0148</t>
  </si>
  <si>
    <t>ACC00042</t>
  </si>
  <si>
    <t>CUST0240</t>
  </si>
  <si>
    <t>ACC00043</t>
  </si>
  <si>
    <t>CUST0047</t>
  </si>
  <si>
    <t>ACC00044</t>
  </si>
  <si>
    <t>CUST0475</t>
  </si>
  <si>
    <t>ACC00045</t>
  </si>
  <si>
    <t>CUST0399</t>
  </si>
  <si>
    <t>ACC00046</t>
  </si>
  <si>
    <t>ACC00047</t>
  </si>
  <si>
    <t>ACC00048</t>
  </si>
  <si>
    <t>CUST0078</t>
  </si>
  <si>
    <t>ACC00049</t>
  </si>
  <si>
    <t>CUST0124</t>
  </si>
  <si>
    <t>ACC00050</t>
  </si>
  <si>
    <t>CUST0075</t>
  </si>
  <si>
    <t>ACC00051</t>
  </si>
  <si>
    <t>CUST0359</t>
  </si>
  <si>
    <t>ACC00052</t>
  </si>
  <si>
    <t>CUST0137</t>
  </si>
  <si>
    <t>ACC00053</t>
  </si>
  <si>
    <t>CUST0090</t>
  </si>
  <si>
    <t>ACC00054</t>
  </si>
  <si>
    <t>CUST0400</t>
  </si>
  <si>
    <t>ACC00055</t>
  </si>
  <si>
    <t>CUST0325</t>
  </si>
  <si>
    <t>ACC00056</t>
  </si>
  <si>
    <t>CUST0500</t>
  </si>
  <si>
    <t>ACC00057</t>
  </si>
  <si>
    <t>CUST0061</t>
  </si>
  <si>
    <t>ACC00058</t>
  </si>
  <si>
    <t>CUST0138</t>
  </si>
  <si>
    <t>ACC00059</t>
  </si>
  <si>
    <t>CUST0050</t>
  </si>
  <si>
    <t>ACC00060</t>
  </si>
  <si>
    <t>CUST0259</t>
  </si>
  <si>
    <t>ACC00061</t>
  </si>
  <si>
    <t>CUST0461</t>
  </si>
  <si>
    <t>ACC00062</t>
  </si>
  <si>
    <t>CUST0107</t>
  </si>
  <si>
    <t>ACC00063</t>
  </si>
  <si>
    <t>ACC00064</t>
  </si>
  <si>
    <t>ACC00065</t>
  </si>
  <si>
    <t>CUST0254</t>
  </si>
  <si>
    <t>ACC00066</t>
  </si>
  <si>
    <t>ACC00067</t>
  </si>
  <si>
    <t>CUST0493</t>
  </si>
  <si>
    <t>ACC00068</t>
  </si>
  <si>
    <t>ACC00069</t>
  </si>
  <si>
    <t>CUST0337</t>
  </si>
  <si>
    <t>ACC00070</t>
  </si>
  <si>
    <t>CUST0365</t>
  </si>
  <si>
    <t>ACC00071</t>
  </si>
  <si>
    <t>CUST0051</t>
  </si>
  <si>
    <t>ACC00072</t>
  </si>
  <si>
    <t>CUST0245</t>
  </si>
  <si>
    <t>ACC00073</t>
  </si>
  <si>
    <t>CUST0403</t>
  </si>
  <si>
    <t>ACC00074</t>
  </si>
  <si>
    <t>CUST0426</t>
  </si>
  <si>
    <t>ACC00075</t>
  </si>
  <si>
    <t>CUST0035</t>
  </si>
  <si>
    <t>ACC00076</t>
  </si>
  <si>
    <t>CUST0302</t>
  </si>
  <si>
    <t>ACC00077</t>
  </si>
  <si>
    <t>CUST0410</t>
  </si>
  <si>
    <t>ACC00078</t>
  </si>
  <si>
    <t>CUST0499</t>
  </si>
  <si>
    <t>ACC00079</t>
  </si>
  <si>
    <t>CUST0069</t>
  </si>
  <si>
    <t>ACC00080</t>
  </si>
  <si>
    <t>CUST0349</t>
  </si>
  <si>
    <t>ACC00081</t>
  </si>
  <si>
    <t>CUST0320</t>
  </si>
  <si>
    <t>ACC00082</t>
  </si>
  <si>
    <t>CUST0421</t>
  </si>
  <si>
    <t>ACC00083</t>
  </si>
  <si>
    <t>CUST0468</t>
  </si>
  <si>
    <t>ACC00084</t>
  </si>
  <si>
    <t>CUST0049</t>
  </si>
  <si>
    <t>ACC00085</t>
  </si>
  <si>
    <t>CUST0405</t>
  </si>
  <si>
    <t>ACC00086</t>
  </si>
  <si>
    <t>CUST0074</t>
  </si>
  <si>
    <t>ACC00087</t>
  </si>
  <si>
    <t>ACC00088</t>
  </si>
  <si>
    <t>CUST0261</t>
  </si>
  <si>
    <t>ACC00089</t>
  </si>
  <si>
    <t>ACC00090</t>
  </si>
  <si>
    <t>CUST0070</t>
  </si>
  <si>
    <t>ACC00091</t>
  </si>
  <si>
    <t>ACC00092</t>
  </si>
  <si>
    <t>ACC00093</t>
  </si>
  <si>
    <t>CUST0126</t>
  </si>
  <si>
    <t>ACC00094</t>
  </si>
  <si>
    <t>CUST0231</t>
  </si>
  <si>
    <t>ACC00095</t>
  </si>
  <si>
    <t>CUST0295</t>
  </si>
  <si>
    <t>ACC00096</t>
  </si>
  <si>
    <t>CUST0498</t>
  </si>
  <si>
    <t>ACC00097</t>
  </si>
  <si>
    <t>CUST0419</t>
  </si>
  <si>
    <t>ACC00098</t>
  </si>
  <si>
    <t>CUST0129</t>
  </si>
  <si>
    <t>ACC00099</t>
  </si>
  <si>
    <t>CUST0280</t>
  </si>
  <si>
    <t>ACC00100</t>
  </si>
  <si>
    <t>ACC00101</t>
  </si>
  <si>
    <t>CUST0100</t>
  </si>
  <si>
    <t>ACC00102</t>
  </si>
  <si>
    <t>CUST0326</t>
  </si>
  <si>
    <t>ACC00103</t>
  </si>
  <si>
    <t>CUST0297</t>
  </si>
  <si>
    <t>ACC00104</t>
  </si>
  <si>
    <t>CUST0182</t>
  </si>
  <si>
    <t>ACC00105</t>
  </si>
  <si>
    <t>CUST0174</t>
  </si>
  <si>
    <t>ACC00106</t>
  </si>
  <si>
    <t>CUST0316</t>
  </si>
  <si>
    <t>ACC00107</t>
  </si>
  <si>
    <t>CUST0364</t>
  </si>
  <si>
    <t>ACC00108</t>
  </si>
  <si>
    <t>CUST0188</t>
  </si>
  <si>
    <t>ACC00109</t>
  </si>
  <si>
    <t>CUST0057</t>
  </si>
  <si>
    <t>ACC00110</t>
  </si>
  <si>
    <t>CUST0031</t>
  </si>
  <si>
    <t>ACC00111</t>
  </si>
  <si>
    <t>CUST0084</t>
  </si>
  <si>
    <t>ACC00112</t>
  </si>
  <si>
    <t>ACC00113</t>
  </si>
  <si>
    <t>CUST0473</t>
  </si>
  <si>
    <t>ACC00114</t>
  </si>
  <si>
    <t>CUST0036</t>
  </si>
  <si>
    <t>ACC00115</t>
  </si>
  <si>
    <t>CUST0213</t>
  </si>
  <si>
    <t>ACC00116</t>
  </si>
  <si>
    <t>CUST0414</t>
  </si>
  <si>
    <t>ACC00117</t>
  </si>
  <si>
    <t>CUST0408</t>
  </si>
  <si>
    <t>ACC00118</t>
  </si>
  <si>
    <t>ACC00119</t>
  </si>
  <si>
    <t>CUST0106</t>
  </si>
  <si>
    <t>ACC00120</t>
  </si>
  <si>
    <t>ACC00121</t>
  </si>
  <si>
    <t>CUST0342</t>
  </si>
  <si>
    <t>ACC00122</t>
  </si>
  <si>
    <t>CUST0220</t>
  </si>
  <si>
    <t>ACC00123</t>
  </si>
  <si>
    <t>CUST0391</t>
  </si>
  <si>
    <t>ACC00124</t>
  </si>
  <si>
    <t>CUST0163</t>
  </si>
  <si>
    <t>ACC00125</t>
  </si>
  <si>
    <t>CUST0439</t>
  </si>
  <si>
    <t>ACC00126</t>
  </si>
  <si>
    <t>ACC00127</t>
  </si>
  <si>
    <t>CUST0270</t>
  </si>
  <si>
    <t>ACC00128</t>
  </si>
  <si>
    <t>CUST0120</t>
  </si>
  <si>
    <t>ACC00129</t>
  </si>
  <si>
    <t>CUST0394</t>
  </si>
  <si>
    <t>ACC00130</t>
  </si>
  <si>
    <t>CUST0336</t>
  </si>
  <si>
    <t>ACC00131</t>
  </si>
  <si>
    <t>ACC00132</t>
  </si>
  <si>
    <t>ACC00133</t>
  </si>
  <si>
    <t>CUST0479</t>
  </si>
  <si>
    <t>ACC00134</t>
  </si>
  <si>
    <t>ACC00135</t>
  </si>
  <si>
    <t>CUST0217</t>
  </si>
  <si>
    <t>ACC00136</t>
  </si>
  <si>
    <t>CUST0205</t>
  </si>
  <si>
    <t>ACC00137</t>
  </si>
  <si>
    <t>ACC00138</t>
  </si>
  <si>
    <t>CUST0044</t>
  </si>
  <si>
    <t>ACC00139</t>
  </si>
  <si>
    <t>CUST0329</t>
  </si>
  <si>
    <t>ACC00140</t>
  </si>
  <si>
    <t>ACC00141</t>
  </si>
  <si>
    <t>ACC00142</t>
  </si>
  <si>
    <t>CUST0184</t>
  </si>
  <si>
    <t>ACC00143</t>
  </si>
  <si>
    <t>ACC00144</t>
  </si>
  <si>
    <t>ACC00145</t>
  </si>
  <si>
    <t>CUST0338</t>
  </si>
  <si>
    <t>ACC00146</t>
  </si>
  <si>
    <t>CUST0250</t>
  </si>
  <si>
    <t>ACC00147</t>
  </si>
  <si>
    <t>CUST0363</t>
  </si>
  <si>
    <t>ACC00148</t>
  </si>
  <si>
    <t>CUST0441</t>
  </si>
  <si>
    <t>ACC00149</t>
  </si>
  <si>
    <t>CUST0021</t>
  </si>
  <si>
    <t>ACC00150</t>
  </si>
  <si>
    <t>CUST0196</t>
  </si>
  <si>
    <t>ACC00151</t>
  </si>
  <si>
    <t>CUST0178</t>
  </si>
  <si>
    <t>ACC00152</t>
  </si>
  <si>
    <t>CUST0417</t>
  </si>
  <si>
    <t>ACC00153</t>
  </si>
  <si>
    <t>ACC00154</t>
  </si>
  <si>
    <t>CUST0007</t>
  </si>
  <si>
    <t>ACC00155</t>
  </si>
  <si>
    <t>ACC00156</t>
  </si>
  <si>
    <t>CUST0127</t>
  </si>
  <si>
    <t>ACC00157</t>
  </si>
  <si>
    <t>ACC00158</t>
  </si>
  <si>
    <t>CUST0466</t>
  </si>
  <si>
    <t>ACC00159</t>
  </si>
  <si>
    <t>CUST0160</t>
  </si>
  <si>
    <t>ACC00160</t>
  </si>
  <si>
    <t>CUST0248</t>
  </si>
  <si>
    <t>ACC00161</t>
  </si>
  <si>
    <t>CUST0203</t>
  </si>
  <si>
    <t>ACC00162</t>
  </si>
  <si>
    <t>ACC00163</t>
  </si>
  <si>
    <t>CUST0472</t>
  </si>
  <si>
    <t>ACC00164</t>
  </si>
  <si>
    <t>CUST0143</t>
  </si>
  <si>
    <t>ACC00165</t>
  </si>
  <si>
    <t>ACC00166</t>
  </si>
  <si>
    <t>CUST0199</t>
  </si>
  <si>
    <t>ACC00167</t>
  </si>
  <si>
    <t>ACC00168</t>
  </si>
  <si>
    <t>ACC00169</t>
  </si>
  <si>
    <t>CUST0154</t>
  </si>
  <si>
    <t>ACC00170</t>
  </si>
  <si>
    <t>CUST0492</t>
  </si>
  <si>
    <t>ACC00171</t>
  </si>
  <si>
    <t>CUST0376</t>
  </si>
  <si>
    <t>ACC00172</t>
  </si>
  <si>
    <t>CUST0384</t>
  </si>
  <si>
    <t>ACC00173</t>
  </si>
  <si>
    <t>CUST0142</t>
  </si>
  <si>
    <t>ACC00174</t>
  </si>
  <si>
    <t>ACC00175</t>
  </si>
  <si>
    <t>CUST0165</t>
  </si>
  <si>
    <t>ACC00176</t>
  </si>
  <si>
    <t>ACC00177</t>
  </si>
  <si>
    <t>ACC00178</t>
  </si>
  <si>
    <t>CUST0082</t>
  </si>
  <si>
    <t>ACC00179</t>
  </si>
  <si>
    <t>ACC00180</t>
  </si>
  <si>
    <t>CUST0131</t>
  </si>
  <si>
    <t>ACC00181</t>
  </si>
  <si>
    <t>CUST0087</t>
  </si>
  <si>
    <t>ACC00182</t>
  </si>
  <si>
    <t>CUST0218</t>
  </si>
  <si>
    <t>ACC00183</t>
  </si>
  <si>
    <t>ACC00184</t>
  </si>
  <si>
    <t>ACC00185</t>
  </si>
  <si>
    <t>ACC00186</t>
  </si>
  <si>
    <t>ACC00187</t>
  </si>
  <si>
    <t>CUST0371</t>
  </si>
  <si>
    <t>ACC00188</t>
  </si>
  <si>
    <t>CUST0345</t>
  </si>
  <si>
    <t>ACC00189</t>
  </si>
  <si>
    <t>CUST0341</t>
  </si>
  <si>
    <t>ACC00190</t>
  </si>
  <si>
    <t>ACC00191</t>
  </si>
  <si>
    <t>CUST0396</t>
  </si>
  <si>
    <t>ACC00192</t>
  </si>
  <si>
    <t>CUST0445</t>
  </si>
  <si>
    <t>ACC00193</t>
  </si>
  <si>
    <t>CUST0425</t>
  </si>
  <si>
    <t>ACC00194</t>
  </si>
  <si>
    <t>ACC00195</t>
  </si>
  <si>
    <t>ACC00196</t>
  </si>
  <si>
    <t>ACC00197</t>
  </si>
  <si>
    <t>ACC00198</t>
  </si>
  <si>
    <t>CUST0383</t>
  </si>
  <si>
    <t>ACC00199</t>
  </si>
  <si>
    <t>CUST0490</t>
  </si>
  <si>
    <t>ACC00200</t>
  </si>
  <si>
    <t>CUST0327</t>
  </si>
  <si>
    <t>ACC00201</t>
  </si>
  <si>
    <t>CUST0086</t>
  </si>
  <si>
    <t>ACC00202</t>
  </si>
  <si>
    <t>CUST0289</t>
  </si>
  <si>
    <t>ACC00203</t>
  </si>
  <si>
    <t>CUST0081</t>
  </si>
  <si>
    <t>ACC00204</t>
  </si>
  <si>
    <t>ACC00205</t>
  </si>
  <si>
    <t>ACC00206</t>
  </si>
  <si>
    <t>ACC00207</t>
  </si>
  <si>
    <t>CUST0354</t>
  </si>
  <si>
    <t>ACC00208</t>
  </si>
  <si>
    <t>CUST0028</t>
  </si>
  <si>
    <t>ACC00209</t>
  </si>
  <si>
    <t>CUST0442</t>
  </si>
  <si>
    <t>ACC00210</t>
  </si>
  <si>
    <t>CUST0043</t>
  </si>
  <si>
    <t>ACC00211</t>
  </si>
  <si>
    <t>CUST0169</t>
  </si>
  <si>
    <t>ACC00212</t>
  </si>
  <si>
    <t>CUST0423</t>
  </si>
  <si>
    <t>ACC00213</t>
  </si>
  <si>
    <t>ACC00214</t>
  </si>
  <si>
    <t>CUST0177</t>
  </si>
  <si>
    <t>ACC00215</t>
  </si>
  <si>
    <t>CUST0017</t>
  </si>
  <si>
    <t>ACC00216</t>
  </si>
  <si>
    <t>CUST0098</t>
  </si>
  <si>
    <t>ACC00217</t>
  </si>
  <si>
    <t>CUST0454</t>
  </si>
  <si>
    <t>ACC00218</t>
  </si>
  <si>
    <t>CUST0494</t>
  </si>
  <si>
    <t>ACC00219</t>
  </si>
  <si>
    <t>ACC00220</t>
  </si>
  <si>
    <t>ACC00221</t>
  </si>
  <si>
    <t>CUST0065</t>
  </si>
  <si>
    <t>ACC00222</t>
  </si>
  <si>
    <t>CUST0330</t>
  </si>
  <si>
    <t>ACC00223</t>
  </si>
  <si>
    <t>ACC00224</t>
  </si>
  <si>
    <t>CUST0005</t>
  </si>
  <si>
    <t>ACC00225</t>
  </si>
  <si>
    <t>CUST0002</t>
  </si>
  <si>
    <t>ACC00226</t>
  </si>
  <si>
    <t>CUST0022</t>
  </si>
  <si>
    <t>ACC00227</t>
  </si>
  <si>
    <t>CUST0112</t>
  </si>
  <si>
    <t>ACC00228</t>
  </si>
  <si>
    <t>ACC00229</t>
  </si>
  <si>
    <t>CUST0066</t>
  </si>
  <si>
    <t>ACC00230</t>
  </si>
  <si>
    <t>ACC00231</t>
  </si>
  <si>
    <t>ACC00232</t>
  </si>
  <si>
    <t>CUST0144</t>
  </si>
  <si>
    <t>ACC00233</t>
  </si>
  <si>
    <t>CUST0368</t>
  </si>
  <si>
    <t>ACC00234</t>
  </si>
  <si>
    <t>CUST0435</t>
  </si>
  <si>
    <t>ACC00235</t>
  </si>
  <si>
    <t>CUST0125</t>
  </si>
  <si>
    <t>ACC00236</t>
  </si>
  <si>
    <t>CUST0167</t>
  </si>
  <si>
    <t>ACC00237</t>
  </si>
  <si>
    <t>ACC00238</t>
  </si>
  <si>
    <t>ACC00239</t>
  </si>
  <si>
    <t>CUST0344</t>
  </si>
  <si>
    <t>ACC00240</t>
  </si>
  <si>
    <t>CUST0495</t>
  </si>
  <si>
    <t>ACC00241</t>
  </si>
  <si>
    <t>CUST0424</t>
  </si>
  <si>
    <t>ACC00242</t>
  </si>
  <si>
    <t>CUST0294</t>
  </si>
  <si>
    <t>ACC00243</t>
  </si>
  <si>
    <t>CUST0444</t>
  </si>
  <si>
    <t>ACC00244</t>
  </si>
  <si>
    <t>CUST0059</t>
  </si>
  <si>
    <t>ACC00245</t>
  </si>
  <si>
    <t>ACC00246</t>
  </si>
  <si>
    <t>CUST0099</t>
  </si>
  <si>
    <t>ACC00247</t>
  </si>
  <si>
    <t>ACC00248</t>
  </si>
  <si>
    <t>CUST0243</t>
  </si>
  <si>
    <t>ACC00249</t>
  </si>
  <si>
    <t>ACC00250</t>
  </si>
  <si>
    <t>ACC00251</t>
  </si>
  <si>
    <t>CUST0448</t>
  </si>
  <si>
    <t>ACC00252</t>
  </si>
  <si>
    <t>CUST0032</t>
  </si>
  <si>
    <t>ACC00253</t>
  </si>
  <si>
    <t>ACC00254</t>
  </si>
  <si>
    <t>CUST0277</t>
  </si>
  <si>
    <t>ACC00255</t>
  </si>
  <si>
    <t>CUST0020</t>
  </si>
  <si>
    <t>ACC00256</t>
  </si>
  <si>
    <t>ACC00257</t>
  </si>
  <si>
    <t>ACC00258</t>
  </si>
  <si>
    <t>CUST0068</t>
  </si>
  <si>
    <t>ACC00259</t>
  </si>
  <si>
    <t>ACC00260</t>
  </si>
  <si>
    <t>CUST0372</t>
  </si>
  <si>
    <t>ACC00261</t>
  </si>
  <si>
    <t>CUST0214</t>
  </si>
  <si>
    <t>ACC00262</t>
  </si>
  <si>
    <t>ACC00263</t>
  </si>
  <si>
    <t>ACC00264</t>
  </si>
  <si>
    <t>CUST0232</t>
  </si>
  <si>
    <t>ACC00265</t>
  </si>
  <si>
    <t>ACC00266</t>
  </si>
  <si>
    <t>CUST0079</t>
  </si>
  <si>
    <t>ACC00267</t>
  </si>
  <si>
    <t>ACC00268</t>
  </si>
  <si>
    <t>ACC00269</t>
  </si>
  <si>
    <t>CUST0092</t>
  </si>
  <si>
    <t>ACC00270</t>
  </si>
  <si>
    <t>ACC00271</t>
  </si>
  <si>
    <t>CUST0411</t>
  </si>
  <si>
    <t>ACC00272</t>
  </si>
  <si>
    <t>CUST0381</t>
  </si>
  <si>
    <t>ACC00273</t>
  </si>
  <si>
    <t>CUST0489</t>
  </si>
  <si>
    <t>ACC00274</t>
  </si>
  <si>
    <t>CUST0168</t>
  </si>
  <si>
    <t>ACC00275</t>
  </si>
  <si>
    <t>CUST0058</t>
  </si>
  <si>
    <t>ACC00276</t>
  </si>
  <si>
    <t>CUST0284</t>
  </si>
  <si>
    <t>ACC00277</t>
  </si>
  <si>
    <t>CUST0026</t>
  </si>
  <si>
    <t>ACC00278</t>
  </si>
  <si>
    <t>CUST0369</t>
  </si>
  <si>
    <t>ACC00279</t>
  </si>
  <si>
    <t>CUST0447</t>
  </si>
  <si>
    <t>ACC00280</t>
  </si>
  <si>
    <t>ACC00281</t>
  </si>
  <si>
    <t>CUST0409</t>
  </si>
  <si>
    <t>ACC00282</t>
  </si>
  <si>
    <t>ACC00283</t>
  </si>
  <si>
    <t>ACC00284</t>
  </si>
  <si>
    <t>CUST0387</t>
  </si>
  <si>
    <t>ACC00285</t>
  </si>
  <si>
    <t>CUST0456</t>
  </si>
  <si>
    <t>ACC00286</t>
  </si>
  <si>
    <t>ACC00287</t>
  </si>
  <si>
    <t>CUST0097</t>
  </si>
  <si>
    <t>ACC00288</t>
  </si>
  <si>
    <t>CUST0042</t>
  </si>
  <si>
    <t>ACC00289</t>
  </si>
  <si>
    <t>ACC00290</t>
  </si>
  <si>
    <t>CUST0227</t>
  </si>
  <si>
    <t>ACC00291</t>
  </si>
  <si>
    <t>CUST0262</t>
  </si>
  <si>
    <t>ACC00292</t>
  </si>
  <si>
    <t>ACC00293</t>
  </si>
  <si>
    <t>CUST0436</t>
  </si>
  <si>
    <t>ACC00294</t>
  </si>
  <si>
    <t>CUST0279</t>
  </si>
  <si>
    <t>ACC00295</t>
  </si>
  <si>
    <t>CUST0089</t>
  </si>
  <si>
    <t>ACC00296</t>
  </si>
  <si>
    <t>CUST0379</t>
  </si>
  <si>
    <t>ACC00297</t>
  </si>
  <si>
    <t>ACC00298</t>
  </si>
  <si>
    <t>CUST0427</t>
  </si>
  <si>
    <t>ACC00299</t>
  </si>
  <si>
    <t>ACC00300</t>
  </si>
  <si>
    <t>CUST0197</t>
  </si>
  <si>
    <t>ACC00301</t>
  </si>
  <si>
    <t>CUST0307</t>
  </si>
  <si>
    <t>ACC00302</t>
  </si>
  <si>
    <t>CUST0267</t>
  </si>
  <si>
    <t>ACC00303</t>
  </si>
  <si>
    <t>CUST0268</t>
  </si>
  <si>
    <t>ACC00304</t>
  </si>
  <si>
    <t>ACC00305</t>
  </si>
  <si>
    <t>CUST0008</t>
  </si>
  <si>
    <t>ACC00306</t>
  </si>
  <si>
    <t>ACC00307</t>
  </si>
  <si>
    <t>ACC00308</t>
  </si>
  <si>
    <t>ACC00309</t>
  </si>
  <si>
    <t>CUST0164</t>
  </si>
  <si>
    <t>ACC00310</t>
  </si>
  <si>
    <t>CUST0485</t>
  </si>
  <si>
    <t>ACC00311</t>
  </si>
  <si>
    <t>CUST0085</t>
  </si>
  <si>
    <t>ACC00312</t>
  </si>
  <si>
    <t>CUST0072</t>
  </si>
  <si>
    <t>ACC00313</t>
  </si>
  <si>
    <t>CUST0055</t>
  </si>
  <si>
    <t>ACC00314</t>
  </si>
  <si>
    <t>CUST0393</t>
  </si>
  <si>
    <t>ACC00315</t>
  </si>
  <si>
    <t>ACC00316</t>
  </si>
  <si>
    <t>ACC00317</t>
  </si>
  <si>
    <t>ACC00318</t>
  </si>
  <si>
    <t>CUST0238</t>
  </si>
  <si>
    <t>ACC00319</t>
  </si>
  <si>
    <t>CUST0104</t>
  </si>
  <si>
    <t>ACC00320</t>
  </si>
  <si>
    <t>CUST0210</t>
  </si>
  <si>
    <t>ACC00321</t>
  </si>
  <si>
    <t>ACC00322</t>
  </si>
  <si>
    <t>ACC00323</t>
  </si>
  <si>
    <t>ACC00324</t>
  </si>
  <si>
    <t>ACC00325</t>
  </si>
  <si>
    <t>ACC00326</t>
  </si>
  <si>
    <t>CUST0386</t>
  </si>
  <si>
    <t>ACC00327</t>
  </si>
  <si>
    <t>CUST0263</t>
  </si>
  <si>
    <t>ACC00328</t>
  </si>
  <si>
    <t>ACC00329</t>
  </si>
  <si>
    <t>ACC00330</t>
  </si>
  <si>
    <t>ACC00331</t>
  </si>
  <si>
    <t>ACC00332</t>
  </si>
  <si>
    <t>CUST0283</t>
  </si>
  <si>
    <t>ACC00333</t>
  </si>
  <si>
    <t>CUST0114</t>
  </si>
  <si>
    <t>ACC00334</t>
  </si>
  <si>
    <t>ACC00335</t>
  </si>
  <si>
    <t>CUST0040</t>
  </si>
  <si>
    <t>ACC00336</t>
  </si>
  <si>
    <t>ACC00337</t>
  </si>
  <si>
    <t>ACC00338</t>
  </si>
  <si>
    <t>ACC00339</t>
  </si>
  <si>
    <t>ACC00340</t>
  </si>
  <si>
    <t>ACC00341</t>
  </si>
  <si>
    <t>CUST0101</t>
  </si>
  <si>
    <t>ACC00342</t>
  </si>
  <si>
    <t>CUST0416</t>
  </si>
  <si>
    <t>ACC00343</t>
  </si>
  <si>
    <t>CUST0380</t>
  </si>
  <si>
    <t>ACC00344</t>
  </si>
  <si>
    <t>CUST0176</t>
  </si>
  <si>
    <t>ACC00345</t>
  </si>
  <si>
    <t>ACC00346</t>
  </si>
  <si>
    <t>ACC00347</t>
  </si>
  <si>
    <t>ACC00348</t>
  </si>
  <si>
    <t>CUST0478</t>
  </si>
  <si>
    <t>ACC00349</t>
  </si>
  <si>
    <t>ACC00350</t>
  </si>
  <si>
    <t>ACC00351</t>
  </si>
  <si>
    <t>CUST0246</t>
  </si>
  <si>
    <t>ACC00352</t>
  </si>
  <si>
    <t>CUST0275</t>
  </si>
  <si>
    <t>ACC00353</t>
  </si>
  <si>
    <t>ACC00354</t>
  </si>
  <si>
    <t>ACC00355</t>
  </si>
  <si>
    <t>CUST0012</t>
  </si>
  <si>
    <t>ACC00356</t>
  </si>
  <si>
    <t>CUST0395</t>
  </si>
  <si>
    <t>ACC00357</t>
  </si>
  <si>
    <t>ACC00358</t>
  </si>
  <si>
    <t>CUST0375</t>
  </si>
  <si>
    <t>ACC00359</t>
  </si>
  <si>
    <t>CUST0016</t>
  </si>
  <si>
    <t>ACC00360</t>
  </si>
  <si>
    <t>ACC00361</t>
  </si>
  <si>
    <t>CUST0063</t>
  </si>
  <si>
    <t>ACC00362</t>
  </si>
  <si>
    <t>ACC00363</t>
  </si>
  <si>
    <t>ACC00364</t>
  </si>
  <si>
    <t>ACC00365</t>
  </si>
  <si>
    <t>CUST0158</t>
  </si>
  <si>
    <t>ACC00366</t>
  </si>
  <si>
    <t>CUST0269</t>
  </si>
  <si>
    <t>ACC00367</t>
  </si>
  <si>
    <t>CUST0162</t>
  </si>
  <si>
    <t>ACC00368</t>
  </si>
  <si>
    <t>ACC00369</t>
  </si>
  <si>
    <t>CUST0412</t>
  </si>
  <si>
    <t>ACC00370</t>
  </si>
  <si>
    <t>CUST0102</t>
  </si>
  <si>
    <t>ACC00371</t>
  </si>
  <si>
    <t>CUST0223</t>
  </si>
  <si>
    <t>ACC00372</t>
  </si>
  <si>
    <t>ACC00373</t>
  </si>
  <si>
    <t>CUST0247</t>
  </si>
  <si>
    <t>ACC00374</t>
  </si>
  <si>
    <t>CUST0128</t>
  </si>
  <si>
    <t>ACC00375</t>
  </si>
  <si>
    <t>ACC00376</t>
  </si>
  <si>
    <t>ACC00377</t>
  </si>
  <si>
    <t>CUST0025</t>
  </si>
  <si>
    <t>ACC00378</t>
  </si>
  <si>
    <t>ACC00379</t>
  </si>
  <si>
    <t>CUST0353</t>
  </si>
  <si>
    <t>ACC00380</t>
  </si>
  <si>
    <t>ACC00381</t>
  </si>
  <si>
    <t>CUST0281</t>
  </si>
  <si>
    <t>ACC00382</t>
  </si>
  <si>
    <t>CUST0404</t>
  </si>
  <si>
    <t>ACC00383</t>
  </si>
  <si>
    <t>CUST0418</t>
  </si>
  <si>
    <t>ACC00384</t>
  </si>
  <si>
    <t>ACC00385</t>
  </si>
  <si>
    <t>CUST0382</t>
  </si>
  <si>
    <t>ACC00386</t>
  </si>
  <si>
    <t>CUST0133</t>
  </si>
  <si>
    <t>ACC00387</t>
  </si>
  <si>
    <t>ACC00388</t>
  </si>
  <si>
    <t>CUST0189</t>
  </si>
  <si>
    <t>ACC00389</t>
  </si>
  <si>
    <t>ACC00390</t>
  </si>
  <si>
    <t>CUST0477</t>
  </si>
  <si>
    <t>ACC00391</t>
  </si>
  <si>
    <t>CUST0265</t>
  </si>
  <si>
    <t>ACC00392</t>
  </si>
  <si>
    <t>ACC00393</t>
  </si>
  <si>
    <t>ACC00394</t>
  </si>
  <si>
    <t>CUST0434</t>
  </si>
  <si>
    <t>ACC00395</t>
  </si>
  <si>
    <t>CUST0134</t>
  </si>
  <si>
    <t>ACC00396</t>
  </si>
  <si>
    <t>ACC00397</t>
  </si>
  <si>
    <t>CUST0060</t>
  </si>
  <si>
    <t>ACC00398</t>
  </si>
  <si>
    <t>CUST0428</t>
  </si>
  <si>
    <t>ACC00399</t>
  </si>
  <si>
    <t>CUST0377</t>
  </si>
  <si>
    <t>ACC00400</t>
  </si>
  <si>
    <t>ACC00401</t>
  </si>
  <si>
    <t>CUST0450</t>
  </si>
  <si>
    <t>ACC00402</t>
  </si>
  <si>
    <t>CUST0431</t>
  </si>
  <si>
    <t>ACC00403</t>
  </si>
  <si>
    <t>ACC00404</t>
  </si>
  <si>
    <t>ACC00405</t>
  </si>
  <si>
    <t>CUST0457</t>
  </si>
  <si>
    <t>ACC00406</t>
  </si>
  <si>
    <t>ACC00407</t>
  </si>
  <si>
    <t>CUST0216</t>
  </si>
  <si>
    <t>ACC00408</t>
  </si>
  <si>
    <t>CUST0226</t>
  </si>
  <si>
    <t>ACC00409</t>
  </si>
  <si>
    <t>CUST0470</t>
  </si>
  <si>
    <t>ACC00410</t>
  </si>
  <si>
    <t>ACC00411</t>
  </si>
  <si>
    <t>ACC00412</t>
  </si>
  <si>
    <t>ACC00413</t>
  </si>
  <si>
    <t>CUST0286</t>
  </si>
  <si>
    <t>ACC00414</t>
  </si>
  <si>
    <t>CUST0474</t>
  </si>
  <si>
    <t>ACC00415</t>
  </si>
  <si>
    <t>CUST0496</t>
  </si>
  <si>
    <t>ACC00416</t>
  </si>
  <si>
    <t>ACC00417</t>
  </si>
  <si>
    <t>CUST0156</t>
  </si>
  <si>
    <t>ACC00418</t>
  </si>
  <si>
    <t>ACC00419</t>
  </si>
  <si>
    <t>ACC00420</t>
  </si>
  <si>
    <t>CUST0190</t>
  </si>
  <si>
    <t>ACC00421</t>
  </si>
  <si>
    <t>ACC00422</t>
  </si>
  <si>
    <t>CUST0469</t>
  </si>
  <si>
    <t>ACC00423</t>
  </si>
  <si>
    <t>ACC00424</t>
  </si>
  <si>
    <t>CUST0180</t>
  </si>
  <si>
    <t>ACC00425</t>
  </si>
  <si>
    <t>CUST0034</t>
  </si>
  <si>
    <t>ACC00426</t>
  </si>
  <si>
    <t>CUST0041</t>
  </si>
  <si>
    <t>ACC00427</t>
  </si>
  <si>
    <t>ACC00428</t>
  </si>
  <si>
    <t>ACC00429</t>
  </si>
  <si>
    <t>ACC00430</t>
  </si>
  <si>
    <t>ACC00431</t>
  </si>
  <si>
    <t>ACC00432</t>
  </si>
  <si>
    <t>ACC00433</t>
  </si>
  <si>
    <t>ACC00434</t>
  </si>
  <si>
    <t>ACC00435</t>
  </si>
  <si>
    <t>ACC00436</t>
  </si>
  <si>
    <t>CUST0150</t>
  </si>
  <si>
    <t>ACC00437</t>
  </si>
  <si>
    <t>CUST0273</t>
  </si>
  <si>
    <t>ACC00438</t>
  </si>
  <si>
    <t>ACC00439</t>
  </si>
  <si>
    <t>CUST0108</t>
  </si>
  <si>
    <t>ACC00440</t>
  </si>
  <si>
    <t>CUST0139</t>
  </si>
  <si>
    <t>ACC00441</t>
  </si>
  <si>
    <t>ACC00442</t>
  </si>
  <si>
    <t>CUST0271</t>
  </si>
  <si>
    <t>ACC00443</t>
  </si>
  <si>
    <t>CUST0347</t>
  </si>
  <si>
    <t>ACC00444</t>
  </si>
  <si>
    <t>ACC00445</t>
  </si>
  <si>
    <t>ACC00446</t>
  </si>
  <si>
    <t>CUST0212</t>
  </si>
  <si>
    <t>ACC00447</t>
  </si>
  <si>
    <t>ACC00448</t>
  </si>
  <si>
    <t>CUST0272</t>
  </si>
  <si>
    <t>ACC00449</t>
  </si>
  <si>
    <t>ACC00450</t>
  </si>
  <si>
    <t>ACC00451</t>
  </si>
  <si>
    <t>CUST0483</t>
  </si>
  <si>
    <t>ACC00452</t>
  </si>
  <si>
    <t>ACC00453</t>
  </si>
  <si>
    <t>ACC00454</t>
  </si>
  <si>
    <t>ACC00455</t>
  </si>
  <si>
    <t>ACC00456</t>
  </si>
  <si>
    <t>ACC00457</t>
  </si>
  <si>
    <t>ACC00458</t>
  </si>
  <si>
    <t>CUST0201</t>
  </si>
  <si>
    <t>ACC00459</t>
  </si>
  <si>
    <t>ACC00460</t>
  </si>
  <si>
    <t>ACC00461</t>
  </si>
  <si>
    <t>CUST0001</t>
  </si>
  <si>
    <t>ACC00462</t>
  </si>
  <si>
    <t>ACC00463</t>
  </si>
  <si>
    <t>ACC00464</t>
  </si>
  <si>
    <t>CUST0343</t>
  </si>
  <si>
    <t>ACC00465</t>
  </si>
  <si>
    <t>ACC00466</t>
  </si>
  <si>
    <t>CUST0191</t>
  </si>
  <si>
    <t>ACC00467</t>
  </si>
  <si>
    <t>CUST0067</t>
  </si>
  <si>
    <t>ACC00468</t>
  </si>
  <si>
    <t>CUST0004</t>
  </si>
  <si>
    <t>ACC00469</t>
  </si>
  <si>
    <t>ACC00470</t>
  </si>
  <si>
    <t>ACC00471</t>
  </si>
  <si>
    <t>ACC00472</t>
  </si>
  <si>
    <t>ACC00473</t>
  </si>
  <si>
    <t>ACC00474</t>
  </si>
  <si>
    <t>ACC00475</t>
  </si>
  <si>
    <t>ACC00476</t>
  </si>
  <si>
    <t>ACC00477</t>
  </si>
  <si>
    <t>ACC00478</t>
  </si>
  <si>
    <t>ACC00479</t>
  </si>
  <si>
    <t>CUST0437</t>
  </si>
  <si>
    <t>ACC00480</t>
  </si>
  <si>
    <t>ACC00481</t>
  </si>
  <si>
    <t>ACC00482</t>
  </si>
  <si>
    <t>ACC00483</t>
  </si>
  <si>
    <t>CUST0484</t>
  </si>
  <si>
    <t>ACC00484</t>
  </si>
  <si>
    <t>CUST0460</t>
  </si>
  <si>
    <t>ACC00485</t>
  </si>
  <si>
    <t>ACC00486</t>
  </si>
  <si>
    <t>CUST0039</t>
  </si>
  <si>
    <t>ACC00487</t>
  </si>
  <si>
    <t>ACC00488</t>
  </si>
  <si>
    <t>CUST0355</t>
  </si>
  <si>
    <t>ACC00489</t>
  </si>
  <si>
    <t>CUST0252</t>
  </si>
  <si>
    <t>ACC00490</t>
  </si>
  <si>
    <t>CUST0333</t>
  </si>
  <si>
    <t>ACC00491</t>
  </si>
  <si>
    <t>CUST0207</t>
  </si>
  <si>
    <t>ACC00492</t>
  </si>
  <si>
    <t>ACC00493</t>
  </si>
  <si>
    <t>CUST0115</t>
  </si>
  <si>
    <t>ACC00494</t>
  </si>
  <si>
    <t>CUST0225</t>
  </si>
  <si>
    <t>ACC00495</t>
  </si>
  <si>
    <t>ACC00496</t>
  </si>
  <si>
    <t>ACC00497</t>
  </si>
  <si>
    <t>CUST0219</t>
  </si>
  <si>
    <t>ACC00498</t>
  </si>
  <si>
    <t>CUST0407</t>
  </si>
  <si>
    <t>ACC00499</t>
  </si>
  <si>
    <t>CUST0443</t>
  </si>
  <si>
    <t>ACC00500</t>
  </si>
  <si>
    <t>CUST0091</t>
  </si>
  <si>
    <t>ACC00501</t>
  </si>
  <si>
    <t>ACC00502</t>
  </si>
  <si>
    <t>ACC00503</t>
  </si>
  <si>
    <t>CUST0046</t>
  </si>
  <si>
    <t>ACC00504</t>
  </si>
  <si>
    <t>CUST0038</t>
  </si>
  <si>
    <t>ACC00505</t>
  </si>
  <si>
    <t>ACC00506</t>
  </si>
  <si>
    <t>ACC00507</t>
  </si>
  <si>
    <t>CUST0328</t>
  </si>
  <si>
    <t>ACC00508</t>
  </si>
  <si>
    <t>ACC00509</t>
  </si>
  <si>
    <t>ACC00510</t>
  </si>
  <si>
    <t>CUST0147</t>
  </si>
  <si>
    <t>ACC00511</t>
  </si>
  <si>
    <t>ACC00512</t>
  </si>
  <si>
    <t>CUST0334</t>
  </si>
  <si>
    <t>ACC00513</t>
  </si>
  <si>
    <t>ACC00514</t>
  </si>
  <si>
    <t>ACC00515</t>
  </si>
  <si>
    <t>ACC00516</t>
  </si>
  <si>
    <t>ACC00517</t>
  </si>
  <si>
    <t>ACC00518</t>
  </si>
  <si>
    <t>ACC00519</t>
  </si>
  <si>
    <t>ACC00520</t>
  </si>
  <si>
    <t>ACC00521</t>
  </si>
  <si>
    <t>CUST0215</t>
  </si>
  <si>
    <t>ACC00522</t>
  </si>
  <si>
    <t>ACC00523</t>
  </si>
  <si>
    <t>ACC00524</t>
  </si>
  <si>
    <t>CUST0083</t>
  </si>
  <si>
    <t>ACC00525</t>
  </si>
  <si>
    <t>CUST0110</t>
  </si>
  <si>
    <t>ACC00526</t>
  </si>
  <si>
    <t>ACC00527</t>
  </si>
  <si>
    <t>ACC00528</t>
  </si>
  <si>
    <t>ACC00529</t>
  </si>
  <si>
    <t>ACC00530</t>
  </si>
  <si>
    <t>ACC00531</t>
  </si>
  <si>
    <t>ACC00532</t>
  </si>
  <si>
    <t>ACC00533</t>
  </si>
  <si>
    <t>ACC00534</t>
  </si>
  <si>
    <t>ACC00535</t>
  </si>
  <si>
    <t>CUST0206</t>
  </si>
  <si>
    <t>ACC00536</t>
  </si>
  <si>
    <t>ACC00537</t>
  </si>
  <si>
    <t>CUST0073</t>
  </si>
  <si>
    <t>ACC00538</t>
  </si>
  <si>
    <t>ACC00539</t>
  </si>
  <si>
    <t>ACC00540</t>
  </si>
  <si>
    <t>ACC00541</t>
  </si>
  <si>
    <t>CUST0121</t>
  </si>
  <si>
    <t>ACC00542</t>
  </si>
  <si>
    <t>ACC00543</t>
  </si>
  <si>
    <t>ACC00544</t>
  </si>
  <si>
    <t>ACC00545</t>
  </si>
  <si>
    <t>CUST0398</t>
  </si>
  <si>
    <t>ACC00546</t>
  </si>
  <si>
    <t>ACC00547</t>
  </si>
  <si>
    <t>CUST0422</t>
  </si>
  <si>
    <t>ACC00548</t>
  </si>
  <si>
    <t>ACC00549</t>
  </si>
  <si>
    <t>CUST0317</t>
  </si>
  <si>
    <t>ACC00550</t>
  </si>
  <si>
    <t>ACC00551</t>
  </si>
  <si>
    <t>ACC00552</t>
  </si>
  <si>
    <t>CUST0465</t>
  </si>
  <si>
    <t>ACC00553</t>
  </si>
  <si>
    <t>ACC00554</t>
  </si>
  <si>
    <t>ACC00555</t>
  </si>
  <si>
    <t>ACC00556</t>
  </si>
  <si>
    <t>ACC00557</t>
  </si>
  <si>
    <t>ACC00558</t>
  </si>
  <si>
    <t>CUST0308</t>
  </si>
  <si>
    <t>ACC00559</t>
  </si>
  <si>
    <t>ACC00560</t>
  </si>
  <si>
    <t>ACC00561</t>
  </si>
  <si>
    <t>ACC00562</t>
  </si>
  <si>
    <t>CUST0309</t>
  </si>
  <si>
    <t>ACC00563</t>
  </si>
  <si>
    <t>ACC00564</t>
  </si>
  <si>
    <t>ACC00565</t>
  </si>
  <si>
    <t>ACC00566</t>
  </si>
  <si>
    <t>ACC00567</t>
  </si>
  <si>
    <t>CUST0222</t>
  </si>
  <si>
    <t>ACC00568</t>
  </si>
  <si>
    <t>ACC00569</t>
  </si>
  <si>
    <t>ACC00570</t>
  </si>
  <si>
    <t>ACC00571</t>
  </si>
  <si>
    <t>ACC00572</t>
  </si>
  <si>
    <t>CUST0264</t>
  </si>
  <si>
    <t>ACC00573</t>
  </si>
  <si>
    <t>ACC00574</t>
  </si>
  <si>
    <t>CUST0361</t>
  </si>
  <si>
    <t>ACC00575</t>
  </si>
  <si>
    <t>ACC00576</t>
  </si>
  <si>
    <t>ACC00577</t>
  </si>
  <si>
    <t>ACC00578</t>
  </si>
  <si>
    <t>ACC00579</t>
  </si>
  <si>
    <t>ACC00580</t>
  </si>
  <si>
    <t>ACC00581</t>
  </si>
  <si>
    <t>CUST0255</t>
  </si>
  <si>
    <t>ACC00582</t>
  </si>
  <si>
    <t>ACC00583</t>
  </si>
  <si>
    <t>ACC00584</t>
  </si>
  <si>
    <t>ACC00585</t>
  </si>
  <si>
    <t>CUST0062</t>
  </si>
  <si>
    <t>ACC00586</t>
  </si>
  <si>
    <t>ACC00587</t>
  </si>
  <si>
    <t>ACC00588</t>
  </si>
  <si>
    <t>ACC00589</t>
  </si>
  <si>
    <t>ACC00590</t>
  </si>
  <si>
    <t>ACC00591</t>
  </si>
  <si>
    <t>ACC00592</t>
  </si>
  <si>
    <t>CUST0064</t>
  </si>
  <si>
    <t>ACC00593</t>
  </si>
  <si>
    <t>ACC00594</t>
  </si>
  <si>
    <t>ACC00595</t>
  </si>
  <si>
    <t>ACC00596</t>
  </si>
  <si>
    <t>ACC00597</t>
  </si>
  <si>
    <t>CUST0149</t>
  </si>
  <si>
    <t>ACC00598</t>
  </si>
  <si>
    <t>ACC00599</t>
  </si>
  <si>
    <t>CUST0304</t>
  </si>
  <si>
    <t>ACC00600</t>
  </si>
  <si>
    <t>CUST0276</t>
  </si>
  <si>
    <t>ACC00601</t>
  </si>
  <si>
    <t>CUST0357</t>
  </si>
  <si>
    <t>ACC00602</t>
  </si>
  <si>
    <t>CUST0451</t>
  </si>
  <si>
    <t>ACC00603</t>
  </si>
  <si>
    <t>CUST0172</t>
  </si>
  <si>
    <t>ACC00604</t>
  </si>
  <si>
    <t>ACC00605</t>
  </si>
  <si>
    <t>ACC00606</t>
  </si>
  <si>
    <t>ACC00607</t>
  </si>
  <si>
    <t>ACC00608</t>
  </si>
  <si>
    <t>CUST0324</t>
  </si>
  <si>
    <t>ACC00609</t>
  </si>
  <si>
    <t>ACC00610</t>
  </si>
  <si>
    <t>ACC00611</t>
  </si>
  <si>
    <t>CUST0482</t>
  </si>
  <si>
    <t>ACC00612</t>
  </si>
  <si>
    <t>ACC00613</t>
  </si>
  <si>
    <t>CUST0480</t>
  </si>
  <si>
    <t>ACC00614</t>
  </si>
  <si>
    <t>ACC00615</t>
  </si>
  <si>
    <t>ACC00616</t>
  </si>
  <si>
    <t>ACC00617</t>
  </si>
  <si>
    <t>ACC00618</t>
  </si>
  <si>
    <t>ACC00619</t>
  </si>
  <si>
    <t>ACC00620</t>
  </si>
  <si>
    <t>CUST0332</t>
  </si>
  <si>
    <t>ACC00621</t>
  </si>
  <si>
    <t>CUST0438</t>
  </si>
  <si>
    <t>ACC00622</t>
  </si>
  <si>
    <t>ACC00623</t>
  </si>
  <si>
    <t>ACC00624</t>
  </si>
  <si>
    <t>ACC00625</t>
  </si>
  <si>
    <t>CUST0015</t>
  </si>
  <si>
    <t>ACC00626</t>
  </si>
  <si>
    <t>ACC00627</t>
  </si>
  <si>
    <t>ACC00628</t>
  </si>
  <si>
    <t>ACC00629</t>
  </si>
  <si>
    <t>ACC00630</t>
  </si>
  <si>
    <t>CUST0093</t>
  </si>
  <si>
    <t>ACC00631</t>
  </si>
  <si>
    <t>ACC00632</t>
  </si>
  <si>
    <t>ACC00633</t>
  </si>
  <si>
    <t>ACC00634</t>
  </si>
  <si>
    <t>ACC00635</t>
  </si>
  <si>
    <t>ACC00636</t>
  </si>
  <si>
    <t>ACC00637</t>
  </si>
  <si>
    <t>CUST0157</t>
  </si>
  <si>
    <t>ACC00638</t>
  </si>
  <si>
    <t>CUST0179</t>
  </si>
  <si>
    <t>ACC00639</t>
  </si>
  <si>
    <t>CUST0132</t>
  </si>
  <si>
    <t>ACC00640</t>
  </si>
  <si>
    <t>CUST0311</t>
  </si>
  <si>
    <t>ACC00641</t>
  </si>
  <si>
    <t>CUST0455</t>
  </si>
  <si>
    <t>ACC00642</t>
  </si>
  <si>
    <t>CUST0348</t>
  </si>
  <si>
    <t>ACC00643</t>
  </si>
  <si>
    <t>ACC00644</t>
  </si>
  <si>
    <t>ACC00645</t>
  </si>
  <si>
    <t>ACC00646</t>
  </si>
  <si>
    <t>ACC00647</t>
  </si>
  <si>
    <t>CUST0429</t>
  </si>
  <si>
    <t>ACC00648</t>
  </si>
  <si>
    <t>ACC00649</t>
  </si>
  <si>
    <t>ACC00650</t>
  </si>
  <si>
    <t>ACC00651</t>
  </si>
  <si>
    <t>CUST0194</t>
  </si>
  <si>
    <t>ACC00652</t>
  </si>
  <si>
    <t>ACC00653</t>
  </si>
  <si>
    <t>ACC00654</t>
  </si>
  <si>
    <t>ACC00655</t>
  </si>
  <si>
    <t>ACC00656</t>
  </si>
  <si>
    <t>ACC00657</t>
  </si>
  <si>
    <t>CUST0257</t>
  </si>
  <si>
    <t>ACC00658</t>
  </si>
  <si>
    <t>ACC00659</t>
  </si>
  <si>
    <t>ACC00660</t>
  </si>
  <si>
    <t>ACC00661</t>
  </si>
  <si>
    <t>ACC00662</t>
  </si>
  <si>
    <t>ACC00663</t>
  </si>
  <si>
    <t>CUST0153</t>
  </si>
  <si>
    <t>ACC00664</t>
  </si>
  <si>
    <t>ACC00665</t>
  </si>
  <si>
    <t>ACC00666</t>
  </si>
  <si>
    <t>ACC00667</t>
  </si>
  <si>
    <t>ACC00668</t>
  </si>
  <si>
    <t>ACC00669</t>
  </si>
  <si>
    <t>ACC00670</t>
  </si>
  <si>
    <t>ACC00671</t>
  </si>
  <si>
    <t>CUST0136</t>
  </si>
  <si>
    <t>ACC00672</t>
  </si>
  <si>
    <t>CUST0467</t>
  </si>
  <si>
    <t>ACC00673</t>
  </si>
  <si>
    <t>ACC00674</t>
  </si>
  <si>
    <t>CUST0362</t>
  </si>
  <si>
    <t>ACC00675</t>
  </si>
  <si>
    <t>CUST0449</t>
  </si>
  <si>
    <t>ACC00676</t>
  </si>
  <si>
    <t>ACC00677</t>
  </si>
  <si>
    <t>ACC00678</t>
  </si>
  <si>
    <t>ACC00679</t>
  </si>
  <si>
    <t>CUST0241</t>
  </si>
  <si>
    <t>ACC00680</t>
  </si>
  <si>
    <t>ACC00681</t>
  </si>
  <si>
    <t>ACC00682</t>
  </si>
  <si>
    <t>ACC00683</t>
  </si>
  <si>
    <t>CUST0291</t>
  </si>
  <si>
    <t>ACC00684</t>
  </si>
  <si>
    <t>ACC00685</t>
  </si>
  <si>
    <t>CUST0237</t>
  </si>
  <si>
    <t>ACC00686</t>
  </si>
  <si>
    <t>CUST0340</t>
  </si>
  <si>
    <t>ACC00687</t>
  </si>
  <si>
    <t>CUST0312</t>
  </si>
  <si>
    <t>ACC00688</t>
  </si>
  <si>
    <t>ACC00689</t>
  </si>
  <si>
    <t>CUST0141</t>
  </si>
  <si>
    <t>ACC00690</t>
  </si>
  <si>
    <t>ACC00691</t>
  </si>
  <si>
    <t>ACC00692</t>
  </si>
  <si>
    <t>ACC00693</t>
  </si>
  <si>
    <t>ACC00694</t>
  </si>
  <si>
    <t>ACC00695</t>
  </si>
  <si>
    <t>ACC00696</t>
  </si>
  <si>
    <t>ACC00697</t>
  </si>
  <si>
    <t>ACC00698</t>
  </si>
  <si>
    <t>ACC00699</t>
  </si>
  <si>
    <t>ACC00700</t>
  </si>
  <si>
    <t>ACC00701</t>
  </si>
  <si>
    <t>ACC00702</t>
  </si>
  <si>
    <t>ACC00703</t>
  </si>
  <si>
    <t>ACC00704</t>
  </si>
  <si>
    <t>ACC00705</t>
  </si>
  <si>
    <t>CUST0433</t>
  </si>
  <si>
    <t>ACC00706</t>
  </si>
  <si>
    <t>ACC00707</t>
  </si>
  <si>
    <t>CUST0318</t>
  </si>
  <si>
    <t>ACC00708</t>
  </si>
  <si>
    <t>ACC00709</t>
  </si>
  <si>
    <t>ACC00710</t>
  </si>
  <si>
    <t>CUST0310</t>
  </si>
  <si>
    <t>ACC00711</t>
  </si>
  <si>
    <t>ACC00712</t>
  </si>
  <si>
    <t>CUST0233</t>
  </si>
  <si>
    <t>ACC00713</t>
  </si>
  <si>
    <t>ACC00714</t>
  </si>
  <si>
    <t>ACC00715</t>
  </si>
  <si>
    <t>CUST0037</t>
  </si>
  <si>
    <t>ACC00716</t>
  </si>
  <si>
    <t>ACC00717</t>
  </si>
  <si>
    <t>ACC00718</t>
  </si>
  <si>
    <t>ACC00719</t>
  </si>
  <si>
    <t>ACC00720</t>
  </si>
  <si>
    <t>ACC00721</t>
  </si>
  <si>
    <t>ACC00722</t>
  </si>
  <si>
    <t>ACC00723</t>
  </si>
  <si>
    <t>ACC00724</t>
  </si>
  <si>
    <t>ACC00725</t>
  </si>
  <si>
    <t>ACC00726</t>
  </si>
  <si>
    <t>ACC00727</t>
  </si>
  <si>
    <t>CUST0397</t>
  </si>
  <si>
    <t>ACC00728</t>
  </si>
  <si>
    <t>ACC00729</t>
  </si>
  <si>
    <t>ACC00730</t>
  </si>
  <si>
    <t>ACC00731</t>
  </si>
  <si>
    <t>ACC00732</t>
  </si>
  <si>
    <t>ACC00733</t>
  </si>
  <si>
    <t>ACC00734</t>
  </si>
  <si>
    <t>ACC00735</t>
  </si>
  <si>
    <t>ACC00736</t>
  </si>
  <si>
    <t>CUST0045</t>
  </si>
  <si>
    <t>ACC00737</t>
  </si>
  <si>
    <t>ACC00738</t>
  </si>
  <si>
    <t>ACC00739</t>
  </si>
  <si>
    <t>ACC00740</t>
  </si>
  <si>
    <t>ACC00741</t>
  </si>
  <si>
    <t>ACC00742</t>
  </si>
  <si>
    <t>ACC00743</t>
  </si>
  <si>
    <t>ACC00744</t>
  </si>
  <si>
    <t>ACC00745</t>
  </si>
  <si>
    <t>ACC00746</t>
  </si>
  <si>
    <t>ACC00747</t>
  </si>
  <si>
    <t>ACC00748</t>
  </si>
  <si>
    <t>ACC00749</t>
  </si>
  <si>
    <t>ACC00750</t>
  </si>
  <si>
    <t>ACC00751</t>
  </si>
  <si>
    <t>ACC00752</t>
  </si>
  <si>
    <t>CUST0103</t>
  </si>
  <si>
    <t>ACC00753</t>
  </si>
  <si>
    <t>ACC00754</t>
  </si>
  <si>
    <t>ACC00755</t>
  </si>
  <si>
    <t>CUST0453</t>
  </si>
  <si>
    <t>ACC00756</t>
  </si>
  <si>
    <t>ACC00757</t>
  </si>
  <si>
    <t>ACC00758</t>
  </si>
  <si>
    <t>ACC00759</t>
  </si>
  <si>
    <t>ACC00760</t>
  </si>
  <si>
    <t>ACC00761</t>
  </si>
  <si>
    <t>ACC00762</t>
  </si>
  <si>
    <t>ACC00763</t>
  </si>
  <si>
    <t>ACC00764</t>
  </si>
  <si>
    <t>ACC00765</t>
  </si>
  <si>
    <t>ACC00766</t>
  </si>
  <si>
    <t>CUST0175</t>
  </si>
  <si>
    <t>ACC00767</t>
  </si>
  <si>
    <t>ACC00768</t>
  </si>
  <si>
    <t>ACC00769</t>
  </si>
  <si>
    <t>ACC00770</t>
  </si>
  <si>
    <t>ACC00771</t>
  </si>
  <si>
    <t>ACC00772</t>
  </si>
  <si>
    <t>ACC00773</t>
  </si>
  <si>
    <t>ACC00774</t>
  </si>
  <si>
    <t>ACC00775</t>
  </si>
  <si>
    <t>CUST0420</t>
  </si>
  <si>
    <t>ACC00776</t>
  </si>
  <si>
    <t>ACC00777</t>
  </si>
  <si>
    <t>ACC00778</t>
  </si>
  <si>
    <t>ACC00779</t>
  </si>
  <si>
    <t>CUST0239</t>
  </si>
  <si>
    <t>ACC00780</t>
  </si>
  <si>
    <t>ACC00781</t>
  </si>
  <si>
    <t>ACC00782</t>
  </si>
  <si>
    <t>ACC00783</t>
  </si>
  <si>
    <t>ACC00784</t>
  </si>
  <si>
    <t>ACC00785</t>
  </si>
  <si>
    <t>ACC00786</t>
  </si>
  <si>
    <t>CUST0378</t>
  </si>
  <si>
    <t>ACC00787</t>
  </si>
  <si>
    <t>ACC00788</t>
  </si>
  <si>
    <t>ACC00789</t>
  </si>
  <si>
    <t>ACC00790</t>
  </si>
  <si>
    <t>ACC00791</t>
  </si>
  <si>
    <t>CUST0258</t>
  </si>
  <si>
    <t>ACC00792</t>
  </si>
  <si>
    <t>ACC00793</t>
  </si>
  <si>
    <t>CUST0285</t>
  </si>
  <si>
    <t>ACC00794</t>
  </si>
  <si>
    <t>CUST0105</t>
  </si>
  <si>
    <t>ACC00795</t>
  </si>
  <si>
    <t>CUST0202</t>
  </si>
  <si>
    <t>ACC00796</t>
  </si>
  <si>
    <t>ACC00797</t>
  </si>
  <si>
    <t>ACC00798</t>
  </si>
  <si>
    <t>CUST0331</t>
  </si>
  <si>
    <t>ACC00799</t>
  </si>
  <si>
    <t>ACC00800</t>
  </si>
  <si>
    <t>CUST0266</t>
  </si>
  <si>
    <t>Name</t>
  </si>
  <si>
    <t>Gender</t>
  </si>
  <si>
    <t>Age</t>
  </si>
  <si>
    <t>Age Bracket</t>
  </si>
  <si>
    <t>Region</t>
  </si>
  <si>
    <t>Occupation</t>
  </si>
  <si>
    <t>Income</t>
  </si>
  <si>
    <t>Income Segment</t>
  </si>
  <si>
    <t>Customer_Segment</t>
  </si>
  <si>
    <t>Join_Date</t>
  </si>
  <si>
    <t>Year</t>
  </si>
  <si>
    <t>Customer Duration</t>
  </si>
  <si>
    <t>Mrs. Deborah Dominguez MD</t>
  </si>
  <si>
    <t>Male</t>
  </si>
  <si>
    <t>Millennials</t>
  </si>
  <si>
    <t>North</t>
  </si>
  <si>
    <t>Doctor</t>
  </si>
  <si>
    <t>High</t>
  </si>
  <si>
    <t>Retail</t>
  </si>
  <si>
    <t>1203 days</t>
  </si>
  <si>
    <t>Erin Martinez</t>
  </si>
  <si>
    <t>Female</t>
  </si>
  <si>
    <t>Gen X</t>
  </si>
  <si>
    <t>East</t>
  </si>
  <si>
    <t>Trader</t>
  </si>
  <si>
    <t>Corporate</t>
  </si>
  <si>
    <t>1913 days</t>
  </si>
  <si>
    <t>CUST0003</t>
  </si>
  <si>
    <t>Amanda Harris</t>
  </si>
  <si>
    <t>Teacher</t>
  </si>
  <si>
    <t>Private</t>
  </si>
  <si>
    <t>2806 days</t>
  </si>
  <si>
    <t>Candice Palmer</t>
  </si>
  <si>
    <t>Banker</t>
  </si>
  <si>
    <t>1750 days</t>
  </si>
  <si>
    <t>Sandra Davis</t>
  </si>
  <si>
    <t>Gen z</t>
  </si>
  <si>
    <t>West</t>
  </si>
  <si>
    <t>Student</t>
  </si>
  <si>
    <t>Medium</t>
  </si>
  <si>
    <t>2935 days</t>
  </si>
  <si>
    <t>CUST0006</t>
  </si>
  <si>
    <t>Vanessa Peterson</t>
  </si>
  <si>
    <t>South</t>
  </si>
  <si>
    <t>Low</t>
  </si>
  <si>
    <t>3724 days</t>
  </si>
  <si>
    <t>Tyler Fischer</t>
  </si>
  <si>
    <t>Engineer</t>
  </si>
  <si>
    <t>3218 days</t>
  </si>
  <si>
    <t>William Horton</t>
  </si>
  <si>
    <t>796 days</t>
  </si>
  <si>
    <t>CUST0009</t>
  </si>
  <si>
    <t>Donna Williams</t>
  </si>
  <si>
    <t>Retired</t>
  </si>
  <si>
    <t>2737 days</t>
  </si>
  <si>
    <t>CUST0010</t>
  </si>
  <si>
    <t>Mary Casey</t>
  </si>
  <si>
    <t>Boomers</t>
  </si>
  <si>
    <t>3839 days</t>
  </si>
  <si>
    <t>CUST0011</t>
  </si>
  <si>
    <t>Kevin Phillips</t>
  </si>
  <si>
    <t>3463 days</t>
  </si>
  <si>
    <t>Michael Richard</t>
  </si>
  <si>
    <t>964 days</t>
  </si>
  <si>
    <t>CUST0013</t>
  </si>
  <si>
    <t>Jaime Davis MD</t>
  </si>
  <si>
    <t>1226 days</t>
  </si>
  <si>
    <t>CUST0014</t>
  </si>
  <si>
    <t>Eric Peterson</t>
  </si>
  <si>
    <t>3284 days</t>
  </si>
  <si>
    <t>Ms. Renee Cardenas PhD</t>
  </si>
  <si>
    <t>2571 days</t>
  </si>
  <si>
    <t>Ashlee Baird</t>
  </si>
  <si>
    <t>2601 days</t>
  </si>
  <si>
    <t>Michael Conner</t>
  </si>
  <si>
    <t>1869 days</t>
  </si>
  <si>
    <t>CUST0018</t>
  </si>
  <si>
    <t>Jeff Koch</t>
  </si>
  <si>
    <t>516 days</t>
  </si>
  <si>
    <t>Melissa Clark</t>
  </si>
  <si>
    <t>1788 days</t>
  </si>
  <si>
    <t>Janice Scott</t>
  </si>
  <si>
    <t>1186 days</t>
  </si>
  <si>
    <t>Elizabeth Smith</t>
  </si>
  <si>
    <t>830 days</t>
  </si>
  <si>
    <t>Jodi Burns</t>
  </si>
  <si>
    <t>1126 days</t>
  </si>
  <si>
    <t>CUST0023</t>
  </si>
  <si>
    <t>Robert Robertson</t>
  </si>
  <si>
    <t>1499 days</t>
  </si>
  <si>
    <t>CUST0024</t>
  </si>
  <si>
    <t>Curtis Scott</t>
  </si>
  <si>
    <t>3479 days</t>
  </si>
  <si>
    <t>Cindy Parks</t>
  </si>
  <si>
    <t>2526 days</t>
  </si>
  <si>
    <t>Charles Fields</t>
  </si>
  <si>
    <t>1775 days</t>
  </si>
  <si>
    <t>CUST0027</t>
  </si>
  <si>
    <t>Michael Murray MD</t>
  </si>
  <si>
    <t>3637 days</t>
  </si>
  <si>
    <t>Edward Haynes</t>
  </si>
  <si>
    <t>2546 days</t>
  </si>
  <si>
    <t>CUST0029</t>
  </si>
  <si>
    <t>James Allen</t>
  </si>
  <si>
    <t>1410 days</t>
  </si>
  <si>
    <t>Angela Robinson</t>
  </si>
  <si>
    <t>2135 days</t>
  </si>
  <si>
    <t>Michelle Day</t>
  </si>
  <si>
    <t>3502 days</t>
  </si>
  <si>
    <t>Steven Walker</t>
  </si>
  <si>
    <t>3679 days</t>
  </si>
  <si>
    <t>CUST0033</t>
  </si>
  <si>
    <t>Lindsey Christensen</t>
  </si>
  <si>
    <t>Brooke Carlson</t>
  </si>
  <si>
    <t>1731 days</t>
  </si>
  <si>
    <t>Kevin Marshall</t>
  </si>
  <si>
    <t>3711 days</t>
  </si>
  <si>
    <t>Bradley Moore</t>
  </si>
  <si>
    <t>3342 days</t>
  </si>
  <si>
    <t>Dawn Navarro</t>
  </si>
  <si>
    <t>3322 days</t>
  </si>
  <si>
    <t>Adam Garcia</t>
  </si>
  <si>
    <t>1737 days</t>
  </si>
  <si>
    <t>Jorge James</t>
  </si>
  <si>
    <t>2170 days</t>
  </si>
  <si>
    <t>Adam Montgomery</t>
  </si>
  <si>
    <t>3948 days</t>
  </si>
  <si>
    <t>Dr. Nicole Mendez</t>
  </si>
  <si>
    <t>3391 days</t>
  </si>
  <si>
    <t>Joseph Owens</t>
  </si>
  <si>
    <t>3668 days</t>
  </si>
  <si>
    <t>Stephanie Ashley</t>
  </si>
  <si>
    <t>1492 days</t>
  </si>
  <si>
    <t>Regina Harris</t>
  </si>
  <si>
    <t>1817 days</t>
  </si>
  <si>
    <t>Ashley Miller</t>
  </si>
  <si>
    <t>2608 days</t>
  </si>
  <si>
    <t>Keith Watson</t>
  </si>
  <si>
    <t>1921 days</t>
  </si>
  <si>
    <t>Patricia Schneider</t>
  </si>
  <si>
    <t>3413 days</t>
  </si>
  <si>
    <t>CUST0048</t>
  </si>
  <si>
    <t>Deanna Watson</t>
  </si>
  <si>
    <t>766 days</t>
  </si>
  <si>
    <t>Samantha Davis</t>
  </si>
  <si>
    <t>3494 days</t>
  </si>
  <si>
    <t>Michele Kim</t>
  </si>
  <si>
    <t>1252 days</t>
  </si>
  <si>
    <t>Daniel Logan</t>
  </si>
  <si>
    <t>3622 days</t>
  </si>
  <si>
    <t>CUST0052</t>
  </si>
  <si>
    <t>Kimberly Valencia</t>
  </si>
  <si>
    <t>1172 days</t>
  </si>
  <si>
    <t>CUST0053</t>
  </si>
  <si>
    <t>Mrs. Nicole Fitzpatrick</t>
  </si>
  <si>
    <t>1504 days</t>
  </si>
  <si>
    <t>CUST0054</t>
  </si>
  <si>
    <t>Carmen Thomas</t>
  </si>
  <si>
    <t>2137 days</t>
  </si>
  <si>
    <t>Darius Garcia</t>
  </si>
  <si>
    <t>1328 days</t>
  </si>
  <si>
    <t>CUST0056</t>
  </si>
  <si>
    <t>Jackie West</t>
  </si>
  <si>
    <t>1533 days</t>
  </si>
  <si>
    <t>Brandy Murphy</t>
  </si>
  <si>
    <t>2573 days</t>
  </si>
  <si>
    <t>Rhonda Charles</t>
  </si>
  <si>
    <t>2622 days</t>
  </si>
  <si>
    <t>Matthew Sanchez</t>
  </si>
  <si>
    <t>884 days</t>
  </si>
  <si>
    <t>Meghan Le</t>
  </si>
  <si>
    <t>2829 days</t>
  </si>
  <si>
    <t>Ricky Fisher</t>
  </si>
  <si>
    <t>1366 days</t>
  </si>
  <si>
    <t>Tony Bell</t>
  </si>
  <si>
    <t>647 days</t>
  </si>
  <si>
    <t>Matthew Ruiz</t>
  </si>
  <si>
    <t>1202 days</t>
  </si>
  <si>
    <t>Joshua White</t>
  </si>
  <si>
    <t>1247 days</t>
  </si>
  <si>
    <t>Crystal Smith</t>
  </si>
  <si>
    <t>2125 days</t>
  </si>
  <si>
    <t>Felicia Nelson</t>
  </si>
  <si>
    <t>3153 days</t>
  </si>
  <si>
    <t>Jessica Williams</t>
  </si>
  <si>
    <t>1248 days</t>
  </si>
  <si>
    <t>Barbara Gonzalez</t>
  </si>
  <si>
    <t>3175 days</t>
  </si>
  <si>
    <t>Amanda Beck</t>
  </si>
  <si>
    <t>2903 days</t>
  </si>
  <si>
    <t>Bob Stout</t>
  </si>
  <si>
    <t>767 days</t>
  </si>
  <si>
    <t>CUST0071</t>
  </si>
  <si>
    <t>Ashley Johnson</t>
  </si>
  <si>
    <t>429 days</t>
  </si>
  <si>
    <t>Billy Hendrix Jr.</t>
  </si>
  <si>
    <t>3787 days</t>
  </si>
  <si>
    <t>Sarah Brown</t>
  </si>
  <si>
    <t>2315 days</t>
  </si>
  <si>
    <t>Christopher Chapman</t>
  </si>
  <si>
    <t>567 days</t>
  </si>
  <si>
    <t>Stephen Jacobs</t>
  </si>
  <si>
    <t>Pamela Johnson</t>
  </si>
  <si>
    <t>3327 days</t>
  </si>
  <si>
    <t>CUST0077</t>
  </si>
  <si>
    <t>Bryan Butler</t>
  </si>
  <si>
    <t>1660 days</t>
  </si>
  <si>
    <t>Jenna Butler</t>
  </si>
  <si>
    <t>2942 days</t>
  </si>
  <si>
    <t>Richard Bennett</t>
  </si>
  <si>
    <t>1679 days</t>
  </si>
  <si>
    <t>CUST0080</t>
  </si>
  <si>
    <t>Kevin Young</t>
  </si>
  <si>
    <t>3044 days</t>
  </si>
  <si>
    <t>Taylor Perkins</t>
  </si>
  <si>
    <t>1233 days</t>
  </si>
  <si>
    <t>Marcus Miller</t>
  </si>
  <si>
    <t>453 days</t>
  </si>
  <si>
    <t>Joseph Burns</t>
  </si>
  <si>
    <t>1942 days</t>
  </si>
  <si>
    <t>Carlos Watson</t>
  </si>
  <si>
    <t>1956 days</t>
  </si>
  <si>
    <t>John Ruiz</t>
  </si>
  <si>
    <t>2406 days</t>
  </si>
  <si>
    <t>Ashley Lewis</t>
  </si>
  <si>
    <t>1959 days</t>
  </si>
  <si>
    <t>Jack Coleman</t>
  </si>
  <si>
    <t>433 days</t>
  </si>
  <si>
    <t>CUST0088</t>
  </si>
  <si>
    <t>Amanda Hall</t>
  </si>
  <si>
    <t>2500 days</t>
  </si>
  <si>
    <t>Elizabeth Brown</t>
  </si>
  <si>
    <t>2039 days</t>
  </si>
  <si>
    <t>Edward Ramirez</t>
  </si>
  <si>
    <t>4005 days</t>
  </si>
  <si>
    <t>Christopher Smith</t>
  </si>
  <si>
    <t>1469 days</t>
  </si>
  <si>
    <t>Amanda Nelson</t>
  </si>
  <si>
    <t>3713 days</t>
  </si>
  <si>
    <t>Miguel Rodriguez</t>
  </si>
  <si>
    <t>3142 days</t>
  </si>
  <si>
    <t>CUST0094</t>
  </si>
  <si>
    <t>Timothy Gutierrez</t>
  </si>
  <si>
    <t>1010 days</t>
  </si>
  <si>
    <t>CUST0095</t>
  </si>
  <si>
    <t>Christopher Miller</t>
  </si>
  <si>
    <t>1863 days</t>
  </si>
  <si>
    <t>CUST0096</t>
  </si>
  <si>
    <t>Scott Bailey</t>
  </si>
  <si>
    <t>3268 days</t>
  </si>
  <si>
    <t>Danielle Newman</t>
  </si>
  <si>
    <t>Jeremy Jones</t>
  </si>
  <si>
    <t>1145 days</t>
  </si>
  <si>
    <t>Alexis Avila</t>
  </si>
  <si>
    <t>2090 days</t>
  </si>
  <si>
    <t>Leslie Buchanan</t>
  </si>
  <si>
    <t>1302 days</t>
  </si>
  <si>
    <t>Robert Wright</t>
  </si>
  <si>
    <t>2226 days</t>
  </si>
  <si>
    <t>Patrick Moore</t>
  </si>
  <si>
    <t>1684 days</t>
  </si>
  <si>
    <t>Donna Perkins</t>
  </si>
  <si>
    <t>1538 days</t>
  </si>
  <si>
    <t>Matthew Palmer</t>
  </si>
  <si>
    <t>3599 days</t>
  </si>
  <si>
    <t>Eric Mayer</t>
  </si>
  <si>
    <t>496 days</t>
  </si>
  <si>
    <t>Linda Lopez</t>
  </si>
  <si>
    <t>3304 days</t>
  </si>
  <si>
    <t>Andrew Flynn</t>
  </si>
  <si>
    <t>524 days</t>
  </si>
  <si>
    <t>Carmen Graham</t>
  </si>
  <si>
    <t>2020 days</t>
  </si>
  <si>
    <t>Emily Scott</t>
  </si>
  <si>
    <t>2167 days</t>
  </si>
  <si>
    <t>Jose Decker</t>
  </si>
  <si>
    <t>2988 days</t>
  </si>
  <si>
    <t>CUST0111</t>
  </si>
  <si>
    <t>Anita White</t>
  </si>
  <si>
    <t>2587 days</t>
  </si>
  <si>
    <t>Daniel Adams</t>
  </si>
  <si>
    <t>2313 days</t>
  </si>
  <si>
    <t>Anthony Ramos</t>
  </si>
  <si>
    <t>3799 days</t>
  </si>
  <si>
    <t>Megan Proctor</t>
  </si>
  <si>
    <t>2586 days</t>
  </si>
  <si>
    <t>Sarah Guzman</t>
  </si>
  <si>
    <t>712 days</t>
  </si>
  <si>
    <t>Guy Hughes</t>
  </si>
  <si>
    <t>447 days</t>
  </si>
  <si>
    <t>Heidi Sharp</t>
  </si>
  <si>
    <t>538 days</t>
  </si>
  <si>
    <t>Shawn Randolph</t>
  </si>
  <si>
    <t>CUST0119</t>
  </si>
  <si>
    <t>Valerie Kelley</t>
  </si>
  <si>
    <t>2423 days</t>
  </si>
  <si>
    <t>Sherri Webb</t>
  </si>
  <si>
    <t>2689 days</t>
  </si>
  <si>
    <t>Mary Cole</t>
  </si>
  <si>
    <t>1150 days</t>
  </si>
  <si>
    <t>CUST0122</t>
  </si>
  <si>
    <t>Mariah Hernandez</t>
  </si>
  <si>
    <t>3974 days</t>
  </si>
  <si>
    <t>CUST0123</t>
  </si>
  <si>
    <t>Kerry Frazier</t>
  </si>
  <si>
    <t>3323 days</t>
  </si>
  <si>
    <t>David Smith</t>
  </si>
  <si>
    <t>Juan Rodriguez</t>
  </si>
  <si>
    <t>3490 days</t>
  </si>
  <si>
    <t>Jessica Walker</t>
  </si>
  <si>
    <t>2353 days</t>
  </si>
  <si>
    <t>Jennifer Watkins DDS</t>
  </si>
  <si>
    <t>3870 days</t>
  </si>
  <si>
    <t>Jessica Ward</t>
  </si>
  <si>
    <t>1205 days</t>
  </si>
  <si>
    <t>Jeanette Greene</t>
  </si>
  <si>
    <t>2727 days</t>
  </si>
  <si>
    <t>CUST0130</t>
  </si>
  <si>
    <t>Michael Jensen</t>
  </si>
  <si>
    <t>746 days</t>
  </si>
  <si>
    <t>Michael Velasquez</t>
  </si>
  <si>
    <t>2289 days</t>
  </si>
  <si>
    <t>Kendra Diaz</t>
  </si>
  <si>
    <t>3101 days</t>
  </si>
  <si>
    <t>Lydia Ford</t>
  </si>
  <si>
    <t>1790 days</t>
  </si>
  <si>
    <t>Sherry Guerrero</t>
  </si>
  <si>
    <t>CUST0135</t>
  </si>
  <si>
    <t>Dr. Sarah Perez</t>
  </si>
  <si>
    <t>2982 days</t>
  </si>
  <si>
    <t>Andrea Taylor</t>
  </si>
  <si>
    <t>805 days</t>
  </si>
  <si>
    <t>Jamie Perry</t>
  </si>
  <si>
    <t>2650 days</t>
  </si>
  <si>
    <t>Jacqueline Murphy</t>
  </si>
  <si>
    <t>3427 days</t>
  </si>
  <si>
    <t>Julie Lynch</t>
  </si>
  <si>
    <t>625 days</t>
  </si>
  <si>
    <t>CUST0140</t>
  </si>
  <si>
    <t>Corey Wilson</t>
  </si>
  <si>
    <t>2873 days</t>
  </si>
  <si>
    <t>Nicole Huynh</t>
  </si>
  <si>
    <t>2918 days</t>
  </si>
  <si>
    <t>Charles Chapman</t>
  </si>
  <si>
    <t>684 days</t>
  </si>
  <si>
    <t>Jamie Spencer</t>
  </si>
  <si>
    <t>1716 days</t>
  </si>
  <si>
    <t>Philip Ochoa</t>
  </si>
  <si>
    <t>3160 days</t>
  </si>
  <si>
    <t>CUST0145</t>
  </si>
  <si>
    <t>Albert Jones</t>
  </si>
  <si>
    <t>2656 days</t>
  </si>
  <si>
    <t>Veronica Mullins</t>
  </si>
  <si>
    <t>2215 days</t>
  </si>
  <si>
    <t>Christina Wood</t>
  </si>
  <si>
    <t>2356 days</t>
  </si>
  <si>
    <t>Thomas Fowler</t>
  </si>
  <si>
    <t>2907 days</t>
  </si>
  <si>
    <t>Nicholas Hicks</t>
  </si>
  <si>
    <t>1351 days</t>
  </si>
  <si>
    <t>Abigail Allen</t>
  </si>
  <si>
    <t>2229 days</t>
  </si>
  <si>
    <t>CUST0151</t>
  </si>
  <si>
    <t>Makayla Sawyer</t>
  </si>
  <si>
    <t>2295 days</t>
  </si>
  <si>
    <t>Eric Gomez</t>
  </si>
  <si>
    <t>2835 days</t>
  </si>
  <si>
    <t>Patrick Pope</t>
  </si>
  <si>
    <t>3879 days</t>
  </si>
  <si>
    <t>Kristen Ross</t>
  </si>
  <si>
    <t>3964 days</t>
  </si>
  <si>
    <t>CUST0155</t>
  </si>
  <si>
    <t>James Ewing DDS</t>
  </si>
  <si>
    <t>980 days</t>
  </si>
  <si>
    <t>Sara Morris</t>
  </si>
  <si>
    <t>1394 days</t>
  </si>
  <si>
    <t>Samantha Conway</t>
  </si>
  <si>
    <t>3072 days</t>
  </si>
  <si>
    <t>Michael Ward</t>
  </si>
  <si>
    <t>470 days</t>
  </si>
  <si>
    <t>CUST0159</t>
  </si>
  <si>
    <t>Stacey Poole</t>
  </si>
  <si>
    <t>Rachel Rivera PhD</t>
  </si>
  <si>
    <t>3930 days</t>
  </si>
  <si>
    <t>David Sanders</t>
  </si>
  <si>
    <t>1992 days</t>
  </si>
  <si>
    <t>Lauren Lutz</t>
  </si>
  <si>
    <t>3996 days</t>
  </si>
  <si>
    <t>Nathan Taylor</t>
  </si>
  <si>
    <t>1455 days</t>
  </si>
  <si>
    <t>Hannah Brown</t>
  </si>
  <si>
    <t>1987 days</t>
  </si>
  <si>
    <t>Jeffrey Golden</t>
  </si>
  <si>
    <t>1072 days</t>
  </si>
  <si>
    <t>CUST0166</t>
  </si>
  <si>
    <t>Julian Thomas</t>
  </si>
  <si>
    <t>3813 days</t>
  </si>
  <si>
    <t>Paula Brown</t>
  </si>
  <si>
    <t>752 days</t>
  </si>
  <si>
    <t>Whitney Hampton</t>
  </si>
  <si>
    <t>2458 days</t>
  </si>
  <si>
    <t>Timothy Lyons</t>
  </si>
  <si>
    <t>530 days</t>
  </si>
  <si>
    <t>CUST0170</t>
  </si>
  <si>
    <t>Mason Swanson</t>
  </si>
  <si>
    <t>1357 days</t>
  </si>
  <si>
    <t>CUST0171</t>
  </si>
  <si>
    <t>Wendy Hull</t>
  </si>
  <si>
    <t>3712 days</t>
  </si>
  <si>
    <t>Kevin Castillo</t>
  </si>
  <si>
    <t>2256 days</t>
  </si>
  <si>
    <t>David Wilson</t>
  </si>
  <si>
    <t>1743 days</t>
  </si>
  <si>
    <t>Evan Holt</t>
  </si>
  <si>
    <t>2477 days</t>
  </si>
  <si>
    <t>Nancy Hoffman</t>
  </si>
  <si>
    <t>3198 days</t>
  </si>
  <si>
    <t>Barbara Fisher</t>
  </si>
  <si>
    <t>3952 days</t>
  </si>
  <si>
    <t>Chad Walsh</t>
  </si>
  <si>
    <t>706 days</t>
  </si>
  <si>
    <t>Joseph Wiley</t>
  </si>
  <si>
    <t>602 days</t>
  </si>
  <si>
    <t>Deborah Fisher</t>
  </si>
  <si>
    <t>3441 days</t>
  </si>
  <si>
    <t>Krista Williams</t>
  </si>
  <si>
    <t>540 days</t>
  </si>
  <si>
    <t>CUST0181</t>
  </si>
  <si>
    <t>Terry Mercer</t>
  </si>
  <si>
    <t>3857 days</t>
  </si>
  <si>
    <t>Katie Padilla</t>
  </si>
  <si>
    <t>401 days</t>
  </si>
  <si>
    <t>Victor Thomas</t>
  </si>
  <si>
    <t>3042 days</t>
  </si>
  <si>
    <t>Christopher Willis</t>
  </si>
  <si>
    <t>CUST0185</t>
  </si>
  <si>
    <t>Laura Watkins</t>
  </si>
  <si>
    <t>822 days</t>
  </si>
  <si>
    <t>CUST0186</t>
  </si>
  <si>
    <t>Eric Lopez</t>
  </si>
  <si>
    <t>3363 days</t>
  </si>
  <si>
    <t>CUST0187</t>
  </si>
  <si>
    <t>Jillian Rangel</t>
  </si>
  <si>
    <t>1143 days</t>
  </si>
  <si>
    <t>Kristopher Fletcher</t>
  </si>
  <si>
    <t>1033 days</t>
  </si>
  <si>
    <t>Ryan Doyle</t>
  </si>
  <si>
    <t>709 days</t>
  </si>
  <si>
    <t>Cesar Silva</t>
  </si>
  <si>
    <t>3236 days</t>
  </si>
  <si>
    <t>Nicholas Miller</t>
  </si>
  <si>
    <t>2464 days</t>
  </si>
  <si>
    <t>Kim Hubbard</t>
  </si>
  <si>
    <t>353 days</t>
  </si>
  <si>
    <t>CUST0193</t>
  </si>
  <si>
    <t>Robert Roberts</t>
  </si>
  <si>
    <t>2075 days</t>
  </si>
  <si>
    <t>Oscar Young</t>
  </si>
  <si>
    <t>798 days</t>
  </si>
  <si>
    <t>CUST0195</t>
  </si>
  <si>
    <t>Mark Mckenzie</t>
  </si>
  <si>
    <t>3975 days</t>
  </si>
  <si>
    <t>Victoria Montoya</t>
  </si>
  <si>
    <t>2632 days</t>
  </si>
  <si>
    <t>Evelyn Mendoza</t>
  </si>
  <si>
    <t>3842 days</t>
  </si>
  <si>
    <t>Sarah Santiago</t>
  </si>
  <si>
    <t>2299 days</t>
  </si>
  <si>
    <t>Gerald Robinson</t>
  </si>
  <si>
    <t>3126 days</t>
  </si>
  <si>
    <t>CUST0200</t>
  </si>
  <si>
    <t>Ryan Gill</t>
  </si>
  <si>
    <t>879 days</t>
  </si>
  <si>
    <t>Gary Johnson</t>
  </si>
  <si>
    <t>3273 days</t>
  </si>
  <si>
    <t>Jason Johnson</t>
  </si>
  <si>
    <t>2707 days</t>
  </si>
  <si>
    <t>Dr. Caitlyn Durham</t>
  </si>
  <si>
    <t>719 days</t>
  </si>
  <si>
    <t>CUST0204</t>
  </si>
  <si>
    <t>Robert Gonzalez</t>
  </si>
  <si>
    <t>Bryan Allen</t>
  </si>
  <si>
    <t>657 days</t>
  </si>
  <si>
    <t>Daniel Richardson</t>
  </si>
  <si>
    <t>2326 days</t>
  </si>
  <si>
    <t>Christopher Wise</t>
  </si>
  <si>
    <t>2813 days</t>
  </si>
  <si>
    <t>CUST0208</t>
  </si>
  <si>
    <t>Leslie Ashley</t>
  </si>
  <si>
    <t>1600 days</t>
  </si>
  <si>
    <t>CUST0209</t>
  </si>
  <si>
    <t>Lauren Davidson</t>
  </si>
  <si>
    <t>2309 days</t>
  </si>
  <si>
    <t>Joanne Ray</t>
  </si>
  <si>
    <t>2502 days</t>
  </si>
  <si>
    <t>Ryan Mccormick</t>
  </si>
  <si>
    <t>2363 days</t>
  </si>
  <si>
    <t>Stephen Russell</t>
  </si>
  <si>
    <t>2767 days</t>
  </si>
  <si>
    <t>Nathan Blackburn</t>
  </si>
  <si>
    <t>3271 days</t>
  </si>
  <si>
    <t>Sarah Wilson</t>
  </si>
  <si>
    <t>1445 days</t>
  </si>
  <si>
    <t>Cassandra Mcbride</t>
  </si>
  <si>
    <t>2367 days</t>
  </si>
  <si>
    <t>Abigail Gallegos</t>
  </si>
  <si>
    <t>3933 days</t>
  </si>
  <si>
    <t>Jeremy Brown</t>
  </si>
  <si>
    <t>1161 days</t>
  </si>
  <si>
    <t>Samantha Castro</t>
  </si>
  <si>
    <t>3658 days</t>
  </si>
  <si>
    <t>Nathaniel Hudson</t>
  </si>
  <si>
    <t>2525 days</t>
  </si>
  <si>
    <t>Maria Herman</t>
  </si>
  <si>
    <t>817 days</t>
  </si>
  <si>
    <t>CUST0221</t>
  </si>
  <si>
    <t>Timothy Walters</t>
  </si>
  <si>
    <t>Mrs. Carrie Castro</t>
  </si>
  <si>
    <t>749 days</t>
  </si>
  <si>
    <t>Chad White</t>
  </si>
  <si>
    <t>3866 days</t>
  </si>
  <si>
    <t>CUST0224</t>
  </si>
  <si>
    <t>Karen Lam</t>
  </si>
  <si>
    <t>3591 days</t>
  </si>
  <si>
    <t>Sarah Walton</t>
  </si>
  <si>
    <t>3174 days</t>
  </si>
  <si>
    <t>Theodore Mckinney</t>
  </si>
  <si>
    <t>857 days</t>
  </si>
  <si>
    <t>Sharon Chapman</t>
  </si>
  <si>
    <t>3371 days</t>
  </si>
  <si>
    <t>Melinda Cunningham</t>
  </si>
  <si>
    <t>2765 days</t>
  </si>
  <si>
    <t>CUST0229</t>
  </si>
  <si>
    <t>Luke Lamb</t>
  </si>
  <si>
    <t>1458 days</t>
  </si>
  <si>
    <t>CUST0230</t>
  </si>
  <si>
    <t>Ryan Holt</t>
  </si>
  <si>
    <t>3060 days</t>
  </si>
  <si>
    <t>Andrew Payne</t>
  </si>
  <si>
    <t>1307 days</t>
  </si>
  <si>
    <t>Misty Jacobs</t>
  </si>
  <si>
    <t>2909 days</t>
  </si>
  <si>
    <t>Kenneth Harrington</t>
  </si>
  <si>
    <t>3312 days</t>
  </si>
  <si>
    <t>CUST0234</t>
  </si>
  <si>
    <t>Ryan Glass</t>
  </si>
  <si>
    <t>CUST0235</t>
  </si>
  <si>
    <t>Stephanie Valdez</t>
  </si>
  <si>
    <t>1211 days</t>
  </si>
  <si>
    <t>CUST0236</t>
  </si>
  <si>
    <t>Patrick Ortiz</t>
  </si>
  <si>
    <t>3378 days</t>
  </si>
  <si>
    <t>Nicholas Washington</t>
  </si>
  <si>
    <t>665 days</t>
  </si>
  <si>
    <t>Crystal Melton</t>
  </si>
  <si>
    <t>2136 days</t>
  </si>
  <si>
    <t>Daniel Williams</t>
  </si>
  <si>
    <t>643 days</t>
  </si>
  <si>
    <t>James Park</t>
  </si>
  <si>
    <t>1700 days</t>
  </si>
  <si>
    <t>Jeff Coleman</t>
  </si>
  <si>
    <t>824 days</t>
  </si>
  <si>
    <t>CUST0242</t>
  </si>
  <si>
    <t>Dustin Young</t>
  </si>
  <si>
    <t>1622 days</t>
  </si>
  <si>
    <t>Richard Johnson</t>
  </si>
  <si>
    <t>2556 days</t>
  </si>
  <si>
    <t>CUST0244</t>
  </si>
  <si>
    <t>Timothy Wolf</t>
  </si>
  <si>
    <t>1322 days</t>
  </si>
  <si>
    <t>Kenneth Garza</t>
  </si>
  <si>
    <t>2849 days</t>
  </si>
  <si>
    <t>Joshua Best</t>
  </si>
  <si>
    <t>3131 days</t>
  </si>
  <si>
    <t>Charles Wilson</t>
  </si>
  <si>
    <t>Andre Bridges</t>
  </si>
  <si>
    <t>1065 days</t>
  </si>
  <si>
    <t>CUST0249</t>
  </si>
  <si>
    <t>Dana Buchanan</t>
  </si>
  <si>
    <t>2041 days</t>
  </si>
  <si>
    <t>James Hardy</t>
  </si>
  <si>
    <t>2950 days</t>
  </si>
  <si>
    <t>Danny Scott</t>
  </si>
  <si>
    <t>Justin Krause</t>
  </si>
  <si>
    <t>1166 days</t>
  </si>
  <si>
    <t>CUST0253</t>
  </si>
  <si>
    <t>Mike Walker</t>
  </si>
  <si>
    <t>2921 days</t>
  </si>
  <si>
    <t>James Wilkinson</t>
  </si>
  <si>
    <t>3314 days</t>
  </si>
  <si>
    <t>Nathaniel Wolf</t>
  </si>
  <si>
    <t>3571 days</t>
  </si>
  <si>
    <t>CUST0256</t>
  </si>
  <si>
    <t>Robert Cooper</t>
  </si>
  <si>
    <t>2163 days</t>
  </si>
  <si>
    <t>Lisa Stevens</t>
  </si>
  <si>
    <t>3291 days</t>
  </si>
  <si>
    <t>Susan Thompson</t>
  </si>
  <si>
    <t>425 days</t>
  </si>
  <si>
    <t>Jennifer Bell</t>
  </si>
  <si>
    <t>2129 days</t>
  </si>
  <si>
    <t>Nicholas Stone</t>
  </si>
  <si>
    <t>1656 days</t>
  </si>
  <si>
    <t>John Craig</t>
  </si>
  <si>
    <t>Joy Lopez</t>
  </si>
  <si>
    <t>728 days</t>
  </si>
  <si>
    <t>Kristi Adams</t>
  </si>
  <si>
    <t>2415 days</t>
  </si>
  <si>
    <t>Kevin Tapia</t>
  </si>
  <si>
    <t>3947 days</t>
  </si>
  <si>
    <t>Mr. Carlos Wood</t>
  </si>
  <si>
    <t>2142 days</t>
  </si>
  <si>
    <t>Maria Everett</t>
  </si>
  <si>
    <t>3474 days</t>
  </si>
  <si>
    <t>Nicholas Cherry</t>
  </si>
  <si>
    <t>1807 days</t>
  </si>
  <si>
    <t>Derek Gardner</t>
  </si>
  <si>
    <t>2425 days</t>
  </si>
  <si>
    <t>Ashley Harper</t>
  </si>
  <si>
    <t>3094 days</t>
  </si>
  <si>
    <t>Sarah Taylor</t>
  </si>
  <si>
    <t>3507 days</t>
  </si>
  <si>
    <t>Keith Hendrix</t>
  </si>
  <si>
    <t>1193 days</t>
  </si>
  <si>
    <t>Seth Fritz</t>
  </si>
  <si>
    <t>2354 days</t>
  </si>
  <si>
    <t>Thomas Luna</t>
  </si>
  <si>
    <t>2236 days</t>
  </si>
  <si>
    <t>CUST0274</t>
  </si>
  <si>
    <t>Megan Allen</t>
  </si>
  <si>
    <t>685 days</t>
  </si>
  <si>
    <t>Todd Moore</t>
  </si>
  <si>
    <t>2469 days</t>
  </si>
  <si>
    <t>Rebecca Bailey</t>
  </si>
  <si>
    <t>2122 days</t>
  </si>
  <si>
    <t>Brandon Bennett</t>
  </si>
  <si>
    <t>3161 days</t>
  </si>
  <si>
    <t>CUST0278</t>
  </si>
  <si>
    <t>Stacy Burns</t>
  </si>
  <si>
    <t>2747 days</t>
  </si>
  <si>
    <t>Vanessa Martinez</t>
  </si>
  <si>
    <t>2928 days</t>
  </si>
  <si>
    <t>Kristy Washington</t>
  </si>
  <si>
    <t>3362 days</t>
  </si>
  <si>
    <t>Dustin Zhang</t>
  </si>
  <si>
    <t>1744 days</t>
  </si>
  <si>
    <t>CUST0282</t>
  </si>
  <si>
    <t>Monique Griffin</t>
  </si>
  <si>
    <t>3364 days</t>
  </si>
  <si>
    <t>Kristen Spencer</t>
  </si>
  <si>
    <t>Robert Clay</t>
  </si>
  <si>
    <t>3939 days</t>
  </si>
  <si>
    <t>Kristen Nguyen</t>
  </si>
  <si>
    <t>1995 days</t>
  </si>
  <si>
    <t>Melanie Butler</t>
  </si>
  <si>
    <t>2388 days</t>
  </si>
  <si>
    <t>CUST0287</t>
  </si>
  <si>
    <t>Tanner Davidson</t>
  </si>
  <si>
    <t>475 days</t>
  </si>
  <si>
    <t>CUST0288</t>
  </si>
  <si>
    <t>Richard Mcdonald</t>
  </si>
  <si>
    <t>1388 days</t>
  </si>
  <si>
    <t>Kelly Dennis</t>
  </si>
  <si>
    <t>1979 days</t>
  </si>
  <si>
    <t>CUST0290</t>
  </si>
  <si>
    <t>Kimberly Anderson</t>
  </si>
  <si>
    <t>3627 days</t>
  </si>
  <si>
    <t>Sherry Watson</t>
  </si>
  <si>
    <t>2745 days</t>
  </si>
  <si>
    <t>CUST0292</t>
  </si>
  <si>
    <t>Tony Dunn</t>
  </si>
  <si>
    <t>CUST0293</t>
  </si>
  <si>
    <t>Adam Welch</t>
  </si>
  <si>
    <t>3570 days</t>
  </si>
  <si>
    <t>Vicki Andersen</t>
  </si>
  <si>
    <t>Donna Clark</t>
  </si>
  <si>
    <t>3734 days</t>
  </si>
  <si>
    <t>CUST0296</t>
  </si>
  <si>
    <t>Ronald Meyer</t>
  </si>
  <si>
    <t>1598 days</t>
  </si>
  <si>
    <t>Jeffery James</t>
  </si>
  <si>
    <t>1382 days</t>
  </si>
  <si>
    <t>CUST0298</t>
  </si>
  <si>
    <t>Heather Rodriguez</t>
  </si>
  <si>
    <t>CUST0299</t>
  </si>
  <si>
    <t>Luis Werner</t>
  </si>
  <si>
    <t>1044 days</t>
  </si>
  <si>
    <t>CUST0300</t>
  </si>
  <si>
    <t>Stephanie Khan</t>
  </si>
  <si>
    <t>842 days</t>
  </si>
  <si>
    <t>Regina Schultz</t>
  </si>
  <si>
    <t>910 days</t>
  </si>
  <si>
    <t>Austin James</t>
  </si>
  <si>
    <t>1771 days</t>
  </si>
  <si>
    <t>Steven Black</t>
  </si>
  <si>
    <t>1287 days</t>
  </si>
  <si>
    <t>Linda Hansen</t>
  </si>
  <si>
    <t>2993 days</t>
  </si>
  <si>
    <t>Erica Perez</t>
  </si>
  <si>
    <t>3203 days</t>
  </si>
  <si>
    <t>CUST0306</t>
  </si>
  <si>
    <t>Marco Hartman</t>
  </si>
  <si>
    <t>2983 days</t>
  </si>
  <si>
    <t>Angela Garcia</t>
  </si>
  <si>
    <t>3951 days</t>
  </si>
  <si>
    <t>Daniel Miller</t>
  </si>
  <si>
    <t>Jeanne Marquez</t>
  </si>
  <si>
    <t>3738 days</t>
  </si>
  <si>
    <t>Joshua Morales</t>
  </si>
  <si>
    <t>3524 days</t>
  </si>
  <si>
    <t>Dr. Jeremy Miller</t>
  </si>
  <si>
    <t>3383 days</t>
  </si>
  <si>
    <t>Jennifer Foster</t>
  </si>
  <si>
    <t>Amy Thornton</t>
  </si>
  <si>
    <t>2678 days</t>
  </si>
  <si>
    <t>Kenneth Vasquez</t>
  </si>
  <si>
    <t>1530 days</t>
  </si>
  <si>
    <t>CUST0315</t>
  </si>
  <si>
    <t>Audrey Ward</t>
  </si>
  <si>
    <t>450 days</t>
  </si>
  <si>
    <t>Heather Carter</t>
  </si>
  <si>
    <t>Robert Hill</t>
  </si>
  <si>
    <t>1594 days</t>
  </si>
  <si>
    <t>Jay Gray</t>
  </si>
  <si>
    <t>3863 days</t>
  </si>
  <si>
    <t>Reginald Tapia</t>
  </si>
  <si>
    <t>2607 days</t>
  </si>
  <si>
    <t>Erica Collins</t>
  </si>
  <si>
    <t>1059 days</t>
  </si>
  <si>
    <t>CUST0321</t>
  </si>
  <si>
    <t>Joseph Hunter</t>
  </si>
  <si>
    <t>1344 days</t>
  </si>
  <si>
    <t>CUST0322</t>
  </si>
  <si>
    <t>Lisa Hartman</t>
  </si>
  <si>
    <t>2631 days</t>
  </si>
  <si>
    <t>CUST0323</t>
  </si>
  <si>
    <t>James Hernandez</t>
  </si>
  <si>
    <t>2879 days</t>
  </si>
  <si>
    <t>Erin Nelson</t>
  </si>
  <si>
    <t>Gregg Harris</t>
  </si>
  <si>
    <t>1604 days</t>
  </si>
  <si>
    <t>William Singleton</t>
  </si>
  <si>
    <t>2397 days</t>
  </si>
  <si>
    <t>Raymond Smith</t>
  </si>
  <si>
    <t>1117 days</t>
  </si>
  <si>
    <t>Brenda Brown</t>
  </si>
  <si>
    <t>1783 days</t>
  </si>
  <si>
    <t>Philip Brown</t>
  </si>
  <si>
    <t>1453 days</t>
  </si>
  <si>
    <t>Jeremy Boyer</t>
  </si>
  <si>
    <t>3414 days</t>
  </si>
  <si>
    <t>Theresa Burke</t>
  </si>
  <si>
    <t>2468 days</t>
  </si>
  <si>
    <t>Amber Myers</t>
  </si>
  <si>
    <t>1796 days</t>
  </si>
  <si>
    <t>Ronald Bennett</t>
  </si>
  <si>
    <t>3897 days</t>
  </si>
  <si>
    <t>Beth Mccoy</t>
  </si>
  <si>
    <t>2750 days</t>
  </si>
  <si>
    <t>CUST0335</t>
  </si>
  <si>
    <t>George Ramos</t>
  </si>
  <si>
    <t>1671 days</t>
  </si>
  <si>
    <t>Kimberly Estes</t>
  </si>
  <si>
    <t>Debbie Riley</t>
  </si>
  <si>
    <t>367 days</t>
  </si>
  <si>
    <t>Derek Jones</t>
  </si>
  <si>
    <t>1376 days</t>
  </si>
  <si>
    <t>CUST0339</t>
  </si>
  <si>
    <t>Susan Best</t>
  </si>
  <si>
    <t>2964 days</t>
  </si>
  <si>
    <t>Kyle Hendricks</t>
  </si>
  <si>
    <t>3317 days</t>
  </si>
  <si>
    <t>Paul Payne</t>
  </si>
  <si>
    <t>3235 days</t>
  </si>
  <si>
    <t>Perry Alvarez</t>
  </si>
  <si>
    <t>1227 days</t>
  </si>
  <si>
    <t>Danielle Cox</t>
  </si>
  <si>
    <t>3090 days</t>
  </si>
  <si>
    <t>Christian Mendez</t>
  </si>
  <si>
    <t>3192 days</t>
  </si>
  <si>
    <t>Alicia Day</t>
  </si>
  <si>
    <t>2540 days</t>
  </si>
  <si>
    <t>CUST0346</t>
  </si>
  <si>
    <t>Nathan Smith</t>
  </si>
  <si>
    <t>1535 days</t>
  </si>
  <si>
    <t>Oscar Ortiz</t>
  </si>
  <si>
    <t>Jenna Cochran</t>
  </si>
  <si>
    <t>2759 days</t>
  </si>
  <si>
    <t>Christopher Spencer</t>
  </si>
  <si>
    <t>356 days</t>
  </si>
  <si>
    <t>Brandon Fox DDS</t>
  </si>
  <si>
    <t>1318 days</t>
  </si>
  <si>
    <t>CUST0351</t>
  </si>
  <si>
    <t>Alexander Davis</t>
  </si>
  <si>
    <t>2003 days</t>
  </si>
  <si>
    <t>CUST0352</t>
  </si>
  <si>
    <t>Steven Gilbert</t>
  </si>
  <si>
    <t>2271 days</t>
  </si>
  <si>
    <t>Mrs. Valerie Dunlap MD</t>
  </si>
  <si>
    <t>2517 days</t>
  </si>
  <si>
    <t>Kathleen Richardson</t>
  </si>
  <si>
    <t>2486 days</t>
  </si>
  <si>
    <t>Rebecca Doyle</t>
  </si>
  <si>
    <t>Tyler Harris</t>
  </si>
  <si>
    <t>2870 days</t>
  </si>
  <si>
    <t>Jordan Bates</t>
  </si>
  <si>
    <t>2054 days</t>
  </si>
  <si>
    <t>CUST0358</t>
  </si>
  <si>
    <t>Susan Walsh</t>
  </si>
  <si>
    <t>1902 days</t>
  </si>
  <si>
    <t>Zachary Knapp</t>
  </si>
  <si>
    <t>1290 days</t>
  </si>
  <si>
    <t>CUST0360</t>
  </si>
  <si>
    <t>Alfred Griffith</t>
  </si>
  <si>
    <t>1425 days</t>
  </si>
  <si>
    <t>Jack Smith</t>
  </si>
  <si>
    <t>852 days</t>
  </si>
  <si>
    <t>Arthur Green</t>
  </si>
  <si>
    <t>3949 days</t>
  </si>
  <si>
    <t>William Fuller</t>
  </si>
  <si>
    <t>3663 days</t>
  </si>
  <si>
    <t>Jeffrey Long</t>
  </si>
  <si>
    <t>3802 days</t>
  </si>
  <si>
    <t>Andrea Turner</t>
  </si>
  <si>
    <t>637 days</t>
  </si>
  <si>
    <t>Gregory Lee</t>
  </si>
  <si>
    <t>2471 days</t>
  </si>
  <si>
    <t>CUST0367</t>
  </si>
  <si>
    <t>David Hatfield</t>
  </si>
  <si>
    <t>2449 days</t>
  </si>
  <si>
    <t>Scott Jackson</t>
  </si>
  <si>
    <t>2433 days</t>
  </si>
  <si>
    <t>Heather Davis</t>
  </si>
  <si>
    <t>CUST0370</t>
  </si>
  <si>
    <t>Brooke Hayes</t>
  </si>
  <si>
    <t>3699 days</t>
  </si>
  <si>
    <t>Kaitlyn Johnson</t>
  </si>
  <si>
    <t>3197 days</t>
  </si>
  <si>
    <t>Daisy Casey</t>
  </si>
  <si>
    <t>CUST0373</t>
  </si>
  <si>
    <t>Melvin Wells</t>
  </si>
  <si>
    <t>743 days</t>
  </si>
  <si>
    <t>CUST0374</t>
  </si>
  <si>
    <t>Jacqueline Russell</t>
  </si>
  <si>
    <t>2494 days</t>
  </si>
  <si>
    <t>Paul Stephens</t>
  </si>
  <si>
    <t>1446 days</t>
  </si>
  <si>
    <t>Angela Jackson</t>
  </si>
  <si>
    <t>3960 days</t>
  </si>
  <si>
    <t>Ashley Hayes</t>
  </si>
  <si>
    <t>1326 days</t>
  </si>
  <si>
    <t>Claudia Casey</t>
  </si>
  <si>
    <t>3513 days</t>
  </si>
  <si>
    <t>Jay Jackson</t>
  </si>
  <si>
    <t>1272 days</t>
  </si>
  <si>
    <t>Brandon Morales</t>
  </si>
  <si>
    <t>1706 days</t>
  </si>
  <si>
    <t>Timothy Mcknight</t>
  </si>
  <si>
    <t>2781 days</t>
  </si>
  <si>
    <t>Wendy Hodge</t>
  </si>
  <si>
    <t>2249 days</t>
  </si>
  <si>
    <t>Aaron Hernandez</t>
  </si>
  <si>
    <t>1348 days</t>
  </si>
  <si>
    <t>Erik Baldwin</t>
  </si>
  <si>
    <t>1834 days</t>
  </si>
  <si>
    <t>CUST0385</t>
  </si>
  <si>
    <t>Michael West</t>
  </si>
  <si>
    <t>1355 days</t>
  </si>
  <si>
    <t>Megan Davis</t>
  </si>
  <si>
    <t>1087 days</t>
  </si>
  <si>
    <t>Robert Barnes</t>
  </si>
  <si>
    <t>2667 days</t>
  </si>
  <si>
    <t>CUST0388</t>
  </si>
  <si>
    <t>Zachary Schmidt</t>
  </si>
  <si>
    <t>2297 days</t>
  </si>
  <si>
    <t>CUST0389</t>
  </si>
  <si>
    <t>Michael Mitchell</t>
  </si>
  <si>
    <t>3487 days</t>
  </si>
  <si>
    <t>CUST0390</t>
  </si>
  <si>
    <t>John Dunlap</t>
  </si>
  <si>
    <t>2024 days</t>
  </si>
  <si>
    <t>Alexis Becker</t>
  </si>
  <si>
    <t>3313 days</t>
  </si>
  <si>
    <t>CUST0392</t>
  </si>
  <si>
    <t>John Jacobs</t>
  </si>
  <si>
    <t>2822 days</t>
  </si>
  <si>
    <t>Tina Adams</t>
  </si>
  <si>
    <t>1699 days</t>
  </si>
  <si>
    <t>Daniel Moore</t>
  </si>
  <si>
    <t>3860 days</t>
  </si>
  <si>
    <t>Patricia Bush</t>
  </si>
  <si>
    <t>872 days</t>
  </si>
  <si>
    <t>Daniel Bradley</t>
  </si>
  <si>
    <t>Amanda Walls</t>
  </si>
  <si>
    <t>2068 days</t>
  </si>
  <si>
    <t>Elizabeth Green</t>
  </si>
  <si>
    <t>1084 days</t>
  </si>
  <si>
    <t>Kevin Hughes</t>
  </si>
  <si>
    <t>542 days</t>
  </si>
  <si>
    <t>Timothy Brewer MD</t>
  </si>
  <si>
    <t>3455 days</t>
  </si>
  <si>
    <t>Kelsey Rodriguez</t>
  </si>
  <si>
    <t>2144 days</t>
  </si>
  <si>
    <t>CUST0402</t>
  </si>
  <si>
    <t>Brandon Dominguez</t>
  </si>
  <si>
    <t>1934 days</t>
  </si>
  <si>
    <t>Amy Moreno</t>
  </si>
  <si>
    <t>2721 days</t>
  </si>
  <si>
    <t>Jessica Lee</t>
  </si>
  <si>
    <t>1976 days</t>
  </si>
  <si>
    <t>Morgan Douglas</t>
  </si>
  <si>
    <t>998 days</t>
  </si>
  <si>
    <t>Katherine Freeman</t>
  </si>
  <si>
    <t>1342 days</t>
  </si>
  <si>
    <t>Tammy Jackson</t>
  </si>
  <si>
    <t>3147 days</t>
  </si>
  <si>
    <t>Roger Koch</t>
  </si>
  <si>
    <t>3673 days</t>
  </si>
  <si>
    <t>Shannon Moss</t>
  </si>
  <si>
    <t>2523 days</t>
  </si>
  <si>
    <t>Shelley Moss</t>
  </si>
  <si>
    <t>3657 days</t>
  </si>
  <si>
    <t>Darren Morgan</t>
  </si>
  <si>
    <t>2833 days</t>
  </si>
  <si>
    <t>Jackie Bell</t>
  </si>
  <si>
    <t>636 days</t>
  </si>
  <si>
    <t>CUST0413</t>
  </si>
  <si>
    <t>Kristen Petersen</t>
  </si>
  <si>
    <t>1279 days</t>
  </si>
  <si>
    <t>Jennifer Mercado</t>
  </si>
  <si>
    <t>Kyle Rodriguez</t>
  </si>
  <si>
    <t>360 days</t>
  </si>
  <si>
    <t>Jose Mayer</t>
  </si>
  <si>
    <t>3222 days</t>
  </si>
  <si>
    <t>Logan Fleming</t>
  </si>
  <si>
    <t>649 days</t>
  </si>
  <si>
    <t>Cameron Cox</t>
  </si>
  <si>
    <t>2812 days</t>
  </si>
  <si>
    <t>Kimberly Lopez</t>
  </si>
  <si>
    <t>3442 days</t>
  </si>
  <si>
    <t>James Edwards</t>
  </si>
  <si>
    <t>1931 days</t>
  </si>
  <si>
    <t>Jon Russell</t>
  </si>
  <si>
    <t>Amanda Thompson</t>
  </si>
  <si>
    <t>1721 days</t>
  </si>
  <si>
    <t>Matthew Martinez</t>
  </si>
  <si>
    <t>2133 days</t>
  </si>
  <si>
    <t>Gregory Scott</t>
  </si>
  <si>
    <t>Michele Wood</t>
  </si>
  <si>
    <t>3497 days</t>
  </si>
  <si>
    <t>Juan Reed</t>
  </si>
  <si>
    <t>1192 days</t>
  </si>
  <si>
    <t>Michelle Lyons</t>
  </si>
  <si>
    <t>2627 days</t>
  </si>
  <si>
    <t>Courtney Carr</t>
  </si>
  <si>
    <t>CUST0430</t>
  </si>
  <si>
    <t>Mary Clark</t>
  </si>
  <si>
    <t>3350 days</t>
  </si>
  <si>
    <t>Dana Robinson</t>
  </si>
  <si>
    <t>1111 days</t>
  </si>
  <si>
    <t>Zachary Vasquez</t>
  </si>
  <si>
    <t>3357 days</t>
  </si>
  <si>
    <t>Brendan Shepard MD</t>
  </si>
  <si>
    <t>2470 days</t>
  </si>
  <si>
    <t>Elizabeth Sanford</t>
  </si>
  <si>
    <t>2645 days</t>
  </si>
  <si>
    <t>Jennifer Jenkins</t>
  </si>
  <si>
    <t>Victor Tran</t>
  </si>
  <si>
    <t>2484 days</t>
  </si>
  <si>
    <t>Scott Crosby</t>
  </si>
  <si>
    <t>963 days</t>
  </si>
  <si>
    <t>Monica Perez</t>
  </si>
  <si>
    <t>1207 days</t>
  </si>
  <si>
    <t>Mallory Miller</t>
  </si>
  <si>
    <t>916 days</t>
  </si>
  <si>
    <t>CUST0440</t>
  </si>
  <si>
    <t>Kyle Perry</t>
  </si>
  <si>
    <t>2970 days</t>
  </si>
  <si>
    <t>Emily Sellers</t>
  </si>
  <si>
    <t>1280 days</t>
  </si>
  <si>
    <t>Keith Rodriguez</t>
  </si>
  <si>
    <t>1552 days</t>
  </si>
  <si>
    <t>Daniel Crawford</t>
  </si>
  <si>
    <t>2959 days</t>
  </si>
  <si>
    <t>Jason Smith</t>
  </si>
  <si>
    <t>3170 days</t>
  </si>
  <si>
    <t>Eric Goodwin</t>
  </si>
  <si>
    <t>1578 days</t>
  </si>
  <si>
    <t>CUST0446</t>
  </si>
  <si>
    <t>Jeffrey Grant</t>
  </si>
  <si>
    <t>1785 days</t>
  </si>
  <si>
    <t>Scott Wall</t>
  </si>
  <si>
    <t>1250 days</t>
  </si>
  <si>
    <t>Alexander Dunn</t>
  </si>
  <si>
    <t>1751 days</t>
  </si>
  <si>
    <t>Heather Allen</t>
  </si>
  <si>
    <t>2212 days</t>
  </si>
  <si>
    <t>Seth Kent</t>
  </si>
  <si>
    <t>758 days</t>
  </si>
  <si>
    <t>Audrey Walters</t>
  </si>
  <si>
    <t>3664 days</t>
  </si>
  <si>
    <t>CUST0452</t>
  </si>
  <si>
    <t>Mary Fletcher</t>
  </si>
  <si>
    <t>832 days</t>
  </si>
  <si>
    <t>Renee Williams</t>
  </si>
  <si>
    <t>2575 days</t>
  </si>
  <si>
    <t>Ashley Young</t>
  </si>
  <si>
    <t>Ralph Johnson</t>
  </si>
  <si>
    <t>1687 days</t>
  </si>
  <si>
    <t>Michael Kramer</t>
  </si>
  <si>
    <t>3858 days</t>
  </si>
  <si>
    <t>Edward Bell</t>
  </si>
  <si>
    <t>3828 days</t>
  </si>
  <si>
    <t>CUST0458</t>
  </si>
  <si>
    <t>Steven Beltran</t>
  </si>
  <si>
    <t>775 days</t>
  </si>
  <si>
    <t>Raymond Holmes</t>
  </si>
  <si>
    <t>2395 days</t>
  </si>
  <si>
    <t>Katherine Cohen</t>
  </si>
  <si>
    <t>1887 days</t>
  </si>
  <si>
    <t>Tiffany Lam</t>
  </si>
  <si>
    <t>2843 days</t>
  </si>
  <si>
    <t>CUST0462</t>
  </si>
  <si>
    <t>Lisa Strickland</t>
  </si>
  <si>
    <t>2518 days</t>
  </si>
  <si>
    <t>CUST0463</t>
  </si>
  <si>
    <t>Dr. Heather White</t>
  </si>
  <si>
    <t>760 days</t>
  </si>
  <si>
    <t>CUST0464</t>
  </si>
  <si>
    <t>Diane Nelson</t>
  </si>
  <si>
    <t>3216 days</t>
  </si>
  <si>
    <t>Janet Ray</t>
  </si>
  <si>
    <t>443 days</t>
  </si>
  <si>
    <t>Tammy Taylor</t>
  </si>
  <si>
    <t>Dr. Christina Erickson</t>
  </si>
  <si>
    <t>1746 days</t>
  </si>
  <si>
    <t>Matthew Kane</t>
  </si>
  <si>
    <t>925 days</t>
  </si>
  <si>
    <t>Michael Davies</t>
  </si>
  <si>
    <t>3290 days</t>
  </si>
  <si>
    <t>Jason Garcia</t>
  </si>
  <si>
    <t>1899 days</t>
  </si>
  <si>
    <t>CUST0471</t>
  </si>
  <si>
    <t>Roger Johnson</t>
  </si>
  <si>
    <t>580 days</t>
  </si>
  <si>
    <t>Anna Mitchell</t>
  </si>
  <si>
    <t>2875 days</t>
  </si>
  <si>
    <t>Tina Lowery</t>
  </si>
  <si>
    <t>2161 days</t>
  </si>
  <si>
    <t>Gregory Bauer</t>
  </si>
  <si>
    <t>Frank Le</t>
  </si>
  <si>
    <t>2121 days</t>
  </si>
  <si>
    <t>William Brown</t>
  </si>
  <si>
    <t>2756 days</t>
  </si>
  <si>
    <t>Deborah King</t>
  </si>
  <si>
    <t>3919 days</t>
  </si>
  <si>
    <t>Louis Palmer</t>
  </si>
  <si>
    <t>3642 days</t>
  </si>
  <si>
    <t>David Watson</t>
  </si>
  <si>
    <t>Lisa Crawford</t>
  </si>
  <si>
    <t>768 days</t>
  </si>
  <si>
    <t>Carolyn Evans</t>
  </si>
  <si>
    <t>3833 days</t>
  </si>
  <si>
    <t>Thomas Johnson</t>
  </si>
  <si>
    <t>2691 days</t>
  </si>
  <si>
    <t>Rita Leonard</t>
  </si>
  <si>
    <t>732 days</t>
  </si>
  <si>
    <t>John Madden</t>
  </si>
  <si>
    <t>1157 days</t>
  </si>
  <si>
    <t>Christopher Hart</t>
  </si>
  <si>
    <t>2898 days</t>
  </si>
  <si>
    <t>Ronald Craig</t>
  </si>
  <si>
    <t>623 days</t>
  </si>
  <si>
    <t>CUST0487</t>
  </si>
  <si>
    <t>Christina Young</t>
  </si>
  <si>
    <t>1269 days</t>
  </si>
  <si>
    <t>CUST0488</t>
  </si>
  <si>
    <t>Brendan Daniels</t>
  </si>
  <si>
    <t>563 days</t>
  </si>
  <si>
    <t>Monica Carter</t>
  </si>
  <si>
    <t>1140 days</t>
  </si>
  <si>
    <t>Eric Wilson</t>
  </si>
  <si>
    <t>1444 days</t>
  </si>
  <si>
    <t>CUST0491</t>
  </si>
  <si>
    <t>Gail Bates</t>
  </si>
  <si>
    <t>1466 days</t>
  </si>
  <si>
    <t>Michelle Allen</t>
  </si>
  <si>
    <t>1385 days</t>
  </si>
  <si>
    <t>Joseph Dean</t>
  </si>
  <si>
    <t>851 days</t>
  </si>
  <si>
    <t>Hector May</t>
  </si>
  <si>
    <t>1977 days</t>
  </si>
  <si>
    <t>Janet Wells</t>
  </si>
  <si>
    <t>1659 days</t>
  </si>
  <si>
    <t>Morgan Anderson</t>
  </si>
  <si>
    <t>3324 days</t>
  </si>
  <si>
    <t>CUST0497</t>
  </si>
  <si>
    <t>Vincent Gray</t>
  </si>
  <si>
    <t>793 days</t>
  </si>
  <si>
    <t>Yolanda Olson PhD</t>
  </si>
  <si>
    <t>3683 days</t>
  </si>
  <si>
    <t>Kayla Kelley</t>
  </si>
  <si>
    <t>801 days</t>
  </si>
  <si>
    <t>Olivia Barton</t>
  </si>
  <si>
    <t>756 days</t>
  </si>
  <si>
    <t>Join Date</t>
  </si>
  <si>
    <t>Join Year</t>
  </si>
  <si>
    <t>Customer Segment</t>
  </si>
  <si>
    <t>Account Type</t>
  </si>
  <si>
    <t>Open Date</t>
  </si>
  <si>
    <t>Most Common account type</t>
  </si>
  <si>
    <t>Credit Card</t>
  </si>
  <si>
    <t>Total amount of Approved Loans</t>
  </si>
  <si>
    <t>Highest Average Balance</t>
  </si>
  <si>
    <t>Average Balance</t>
  </si>
  <si>
    <t>Total Loan Amount</t>
  </si>
  <si>
    <t>Total Deposit Balance</t>
  </si>
  <si>
    <t>Average Credit Score</t>
  </si>
  <si>
    <t>Credit Score</t>
  </si>
  <si>
    <t>Loan Amount</t>
  </si>
  <si>
    <t>Loan Status</t>
  </si>
  <si>
    <t>Credit Score Bracket</t>
  </si>
  <si>
    <t>Count of AccountID</t>
  </si>
  <si>
    <t>Count of CustomerID</t>
  </si>
  <si>
    <t>Average of Balance</t>
  </si>
  <si>
    <t>Average of Credit Score</t>
  </si>
  <si>
    <t>Count of Account</t>
  </si>
  <si>
    <t>Key Performance Indicators</t>
  </si>
  <si>
    <t>Total</t>
  </si>
  <si>
    <t>No of Accounts</t>
  </si>
  <si>
    <t>AVG balance</t>
  </si>
  <si>
    <t>AVG Credit Score</t>
  </si>
  <si>
    <t>Row Labels</t>
  </si>
  <si>
    <t>Grand Total</t>
  </si>
  <si>
    <t>Count of Account type by users</t>
  </si>
  <si>
    <t>Column Labels</t>
  </si>
  <si>
    <t>Average Credit Score Of Each accoun type</t>
  </si>
  <si>
    <t>Checking Average credit score</t>
  </si>
  <si>
    <t>Savings Average credit score</t>
  </si>
  <si>
    <t>Loan Average credit score</t>
  </si>
  <si>
    <t>CrediT Card Average credit score</t>
  </si>
  <si>
    <t>Credit score Bracket</t>
  </si>
  <si>
    <t>Average Blance of Each Account Type</t>
  </si>
  <si>
    <t>(blank)</t>
  </si>
  <si>
    <t>Count of Loan Status</t>
  </si>
  <si>
    <t>Count of account type by age bracket</t>
  </si>
  <si>
    <t>Average Balance by Customer Segment</t>
  </si>
  <si>
    <t>Average credit score of Loan Status</t>
  </si>
  <si>
    <t>AVG credit score of approved loans</t>
  </si>
  <si>
    <t>AVG credit score of Rejected loans</t>
  </si>
  <si>
    <t>Count of Customers with multiple accounts</t>
  </si>
  <si>
    <t>count of Accounts By Region</t>
  </si>
  <si>
    <t>Average Yealy Balance</t>
  </si>
  <si>
    <t>No of Approved Loans</t>
  </si>
  <si>
    <t>Total Value of approved loans</t>
  </si>
  <si>
    <t>Total Balance</t>
  </si>
  <si>
    <t>AVG loan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</si>
</sst>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applyNumberFormat="1"/>
    <xf numFmtId="22" fontId="0" fillId="0" borderId="0" xfId="0" applyNumberFormat="1"/>
    <xf numFmtId="16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numFmt numFmtId="19" formatCode="yyyy/mm/dd"/>
    </dxf>
    <dxf>
      <numFmt numFmtId="0" formatCode="General"/>
    </dxf>
    <dxf>
      <numFmt numFmtId="27" formatCode="yyyy/mm/dd\ h:mm"/>
    </dxf>
    <dxf>
      <numFmt numFmtId="0" formatCode="General"/>
    </dxf>
    <dxf>
      <numFmt numFmtId="0" formatCode="General"/>
    </dxf>
    <dxf>
      <numFmt numFmtId="0" formatCode="General"/>
    </dxf>
    <dxf>
      <numFmt numFmtId="164" formatCode="&quot;$&quot;#,##0"/>
    </dxf>
    <dxf>
      <numFmt numFmtId="164" formatCode="&quot;$&quot;#,##0"/>
    </dxf>
    <dxf>
      <numFmt numFmtId="2" formatCode="0.00"/>
    </dxf>
    <dxf>
      <numFmt numFmtId="164" formatCode="&quot;$&quot;#,##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64" formatCode="&quot;$&quot;#,##0"/>
    </dxf>
    <dxf>
      <numFmt numFmtId="164" formatCode="&quot;$&quot;#,##0"/>
    </dxf>
    <dxf>
      <numFmt numFmtId="165" formatCode="&quot;$&quot;#,##0.00"/>
    </dxf>
    <dxf>
      <numFmt numFmtId="0" formatCode="General"/>
    </dxf>
    <dxf>
      <numFmt numFmtId="164" formatCode="&quot;$&quot;#,##0"/>
    </dxf>
    <dxf>
      <numFmt numFmtId="0" formatCode="General"/>
    </dxf>
    <dxf>
      <numFmt numFmtId="164" formatCode="&quot;$&quot;#,##0"/>
    </dxf>
    <dxf>
      <numFmt numFmtId="27" formatCode="yyyy/mm/dd\ h:mm"/>
    </dxf>
    <dxf>
      <numFmt numFmtId="0" formatCode="General"/>
    </dxf>
    <dxf>
      <numFmt numFmtId="0" formatCode="General"/>
    </dxf>
    <dxf>
      <numFmt numFmtId="0" formatCode="General"/>
    </dxf>
    <dxf>
      <numFmt numFmtId="164" formatCode="&quot;$&quot;#,##0"/>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385F7C"/>
      <color rgb="FFCCDCE8"/>
      <color rgb="FFF8F9FA"/>
      <color rgb="FFE1EA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[MetroBankAccounts.xlsx]Pivot Table!PivotTable31</c:name>
    <c:fmtId val="5"/>
  </c:pivotSource>
  <c:chart>
    <c:autoTitleDeleted val="1"/>
    <c:pivotFmts>
      <c:pivotFmt>
        <c:idx val="0"/>
        <c:spPr>
          <a:solidFill>
            <a:srgbClr val="CCDCE8"/>
          </a:solidFill>
          <a:ln>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DCE8"/>
          </a:solidFill>
          <a:ln>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DC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c:f>
              <c:strCache>
                <c:ptCount val="1"/>
                <c:pt idx="0">
                  <c:v>Total</c:v>
                </c:pt>
              </c:strCache>
            </c:strRef>
          </c:tx>
          <c:spPr>
            <a:solidFill>
              <a:srgbClr val="CCDCE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Table'!$A$7:$A$11</c:f>
              <c:strCache>
                <c:ptCount val="4"/>
                <c:pt idx="0">
                  <c:v>Savings</c:v>
                </c:pt>
                <c:pt idx="1">
                  <c:v>Checking</c:v>
                </c:pt>
                <c:pt idx="2">
                  <c:v>CreditCard</c:v>
                </c:pt>
                <c:pt idx="3">
                  <c:v>Loan</c:v>
                </c:pt>
              </c:strCache>
            </c:strRef>
          </c:cat>
          <c:val>
            <c:numRef>
              <c:f>'Pivot Table'!$B$7:$B$11</c:f>
              <c:numCache>
                <c:formatCode>General</c:formatCode>
                <c:ptCount val="4"/>
                <c:pt idx="0">
                  <c:v>303</c:v>
                </c:pt>
                <c:pt idx="1">
                  <c:v>246</c:v>
                </c:pt>
                <c:pt idx="2">
                  <c:v>169</c:v>
                </c:pt>
                <c:pt idx="3">
                  <c:v>82</c:v>
                </c:pt>
              </c:numCache>
            </c:numRef>
          </c:val>
          <c:extLst>
            <c:ext xmlns:c16="http://schemas.microsoft.com/office/drawing/2014/chart" uri="{C3380CC4-5D6E-409C-BE32-E72D297353CC}">
              <c16:uniqueId val="{00000000-5C6F-4FA3-9A91-E18E1166CB2E}"/>
            </c:ext>
          </c:extLst>
        </c:ser>
        <c:dLbls>
          <c:dLblPos val="outEnd"/>
          <c:showLegendKey val="0"/>
          <c:showVal val="1"/>
          <c:showCatName val="0"/>
          <c:showSerName val="0"/>
          <c:showPercent val="0"/>
          <c:showBubbleSize val="0"/>
        </c:dLbls>
        <c:gapWidth val="219"/>
        <c:overlap val="-27"/>
        <c:axId val="1201428160"/>
        <c:axId val="1201421440"/>
      </c:barChart>
      <c:catAx>
        <c:axId val="120142816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201421440"/>
        <c:crosses val="autoZero"/>
        <c:auto val="1"/>
        <c:lblAlgn val="ctr"/>
        <c:lblOffset val="100"/>
        <c:noMultiLvlLbl val="0"/>
      </c:catAx>
      <c:valAx>
        <c:axId val="1201421440"/>
        <c:scaling>
          <c:orientation val="minMax"/>
        </c:scaling>
        <c:delete val="1"/>
        <c:axPos val="l"/>
        <c:numFmt formatCode="General" sourceLinked="1"/>
        <c:majorTickMark val="none"/>
        <c:minorTickMark val="none"/>
        <c:tickLblPos val="nextTo"/>
        <c:crossAx val="1201428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[MetroBankAccounts.xlsx]Pivot Table!PivotTable45</c:name>
    <c:fmtId val="4"/>
  </c:pivotSource>
  <c:chart>
    <c:autoTitleDeleted val="1"/>
    <c:pivotFmts>
      <c:pivotFmt>
        <c:idx val="0"/>
        <c:spPr>
          <a:solidFill>
            <a:schemeClr val="accent1"/>
          </a:solidFill>
          <a:ln w="19050" cap="sq">
            <a:solidFill>
              <a:srgbClr val="385F7C"/>
            </a:solidFill>
            <a:prstDash val="sysDash"/>
            <a:bevel/>
            <a:tailEnd w="lg" len="lg"/>
          </a:ln>
          <a:effectLst/>
        </c:spPr>
        <c:marker>
          <c:symbol val="circle"/>
          <c:size val="6"/>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sq">
            <a:solidFill>
              <a:srgbClr val="385F7C"/>
            </a:solidFill>
            <a:prstDash val="sysDash"/>
            <a:bevel/>
            <a:tailEnd w="lg" len="lg"/>
          </a:ln>
          <a:effectLst/>
        </c:spPr>
        <c:marker>
          <c:symbol val="circle"/>
          <c:size val="6"/>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sq">
            <a:solidFill>
              <a:srgbClr val="385F7C"/>
            </a:solidFill>
            <a:prstDash val="sysDash"/>
            <a:bevel/>
            <a:tailEnd w="lg" len="lg"/>
          </a:ln>
          <a:effectLst/>
        </c:spPr>
        <c:marker>
          <c:symbol val="circle"/>
          <c:size val="6"/>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895228818395036E-2"/>
          <c:y val="7.9943884271824847E-2"/>
          <c:w val="0.93809666978251194"/>
          <c:h val="0.75696390391508905"/>
        </c:manualLayout>
      </c:layout>
      <c:lineChart>
        <c:grouping val="standard"/>
        <c:varyColors val="0"/>
        <c:ser>
          <c:idx val="0"/>
          <c:order val="0"/>
          <c:tx>
            <c:strRef>
              <c:f>'Pivot Table'!$L$22</c:f>
              <c:strCache>
                <c:ptCount val="1"/>
                <c:pt idx="0">
                  <c:v>Total</c:v>
                </c:pt>
              </c:strCache>
            </c:strRef>
          </c:tx>
          <c:spPr>
            <a:ln w="19050" cap="sq">
              <a:solidFill>
                <a:srgbClr val="385F7C"/>
              </a:solidFill>
              <a:prstDash val="sysDash"/>
              <a:bevel/>
              <a:tailEnd w="lg" len="lg"/>
            </a:ln>
            <a:effectLst/>
          </c:spPr>
          <c:marker>
            <c:symbol val="circle"/>
            <c:size val="6"/>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Table'!$K$23:$K$34</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Table'!$L$23:$L$34</c:f>
              <c:numCache>
                <c:formatCode>"$"#,##0</c:formatCode>
                <c:ptCount val="11"/>
                <c:pt idx="0">
                  <c:v>265345.56756756757</c:v>
                </c:pt>
                <c:pt idx="1">
                  <c:v>303577.76271186443</c:v>
                </c:pt>
                <c:pt idx="2">
                  <c:v>259810.36206896551</c:v>
                </c:pt>
                <c:pt idx="3">
                  <c:v>240614.63333333333</c:v>
                </c:pt>
                <c:pt idx="4">
                  <c:v>254128.82795698923</c:v>
                </c:pt>
                <c:pt idx="5">
                  <c:v>259193.10958904109</c:v>
                </c:pt>
                <c:pt idx="6">
                  <c:v>285277.0777777778</c:v>
                </c:pt>
                <c:pt idx="7">
                  <c:v>285062.26086956525</c:v>
                </c:pt>
                <c:pt idx="8">
                  <c:v>262055.23529411765</c:v>
                </c:pt>
                <c:pt idx="9">
                  <c:v>243471.72164948453</c:v>
                </c:pt>
                <c:pt idx="10">
                  <c:v>281619.89473684208</c:v>
                </c:pt>
              </c:numCache>
            </c:numRef>
          </c:val>
          <c:smooth val="1"/>
          <c:extLst>
            <c:ext xmlns:c16="http://schemas.microsoft.com/office/drawing/2014/chart" uri="{C3380CC4-5D6E-409C-BE32-E72D297353CC}">
              <c16:uniqueId val="{00000000-D2DB-4547-9B69-A663B171C4D5}"/>
            </c:ext>
          </c:extLst>
        </c:ser>
        <c:dLbls>
          <c:dLblPos val="t"/>
          <c:showLegendKey val="0"/>
          <c:showVal val="1"/>
          <c:showCatName val="0"/>
          <c:showSerName val="0"/>
          <c:showPercent val="0"/>
          <c:showBubbleSize val="0"/>
        </c:dLbls>
        <c:marker val="1"/>
        <c:smooth val="0"/>
        <c:axId val="1201434880"/>
        <c:axId val="1201415200"/>
      </c:lineChart>
      <c:catAx>
        <c:axId val="120143488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201415200"/>
        <c:crosses val="autoZero"/>
        <c:auto val="1"/>
        <c:lblAlgn val="ctr"/>
        <c:lblOffset val="100"/>
        <c:noMultiLvlLbl val="0"/>
      </c:catAx>
      <c:valAx>
        <c:axId val="1201415200"/>
        <c:scaling>
          <c:orientation val="minMax"/>
        </c:scaling>
        <c:delete val="1"/>
        <c:axPos val="l"/>
        <c:numFmt formatCode="&quot;$&quot;#,##0" sourceLinked="1"/>
        <c:majorTickMark val="none"/>
        <c:minorTickMark val="none"/>
        <c:tickLblPos val="nextTo"/>
        <c:crossAx val="1201434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[MetroBankAccounts.xlsx]Pivot Table!PivotTable44</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5F7C"/>
          </a:solidFill>
          <a:ln w="19050">
            <a:solidFill>
              <a:schemeClr val="lt1"/>
            </a:solidFill>
          </a:ln>
          <a:effectLst/>
        </c:spPr>
      </c:pivotFmt>
      <c:pivotFmt>
        <c:idx val="2"/>
        <c:spPr>
          <a:solidFill>
            <a:srgbClr val="CCDCE8"/>
          </a:solidFill>
          <a:ln w="19050">
            <a:solidFill>
              <a:schemeClr val="lt1"/>
            </a:solidFill>
          </a:ln>
          <a:effectLst/>
        </c:spPr>
      </c:pivotFmt>
      <c:pivotFmt>
        <c:idx val="3"/>
        <c:spPr>
          <a:solidFill>
            <a:schemeClr val="accent1">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85F7C"/>
          </a:solidFill>
          <a:ln w="19050">
            <a:solidFill>
              <a:schemeClr val="lt1"/>
            </a:solidFill>
          </a:ln>
          <a:effectLst/>
        </c:spPr>
      </c:pivotFmt>
      <c:pivotFmt>
        <c:idx val="6"/>
        <c:spPr>
          <a:solidFill>
            <a:srgbClr val="CCDCE8"/>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lumMod val="60000"/>
              <a:lumOff val="40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385F7C"/>
          </a:solidFill>
          <a:ln w="19050">
            <a:solidFill>
              <a:schemeClr val="lt1"/>
            </a:solidFill>
          </a:ln>
          <a:effectLst/>
        </c:spPr>
        <c:dLbl>
          <c:idx val="0"/>
          <c:layout>
            <c:manualLayout>
              <c:x val="8.4602368866328256E-2"/>
              <c:y val="-4.548686163935368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CDCE8"/>
          </a:solidFill>
          <a:ln w="19050">
            <a:solidFill>
              <a:schemeClr val="lt1"/>
            </a:solidFill>
          </a:ln>
          <a:effectLst/>
        </c:spPr>
        <c:dLbl>
          <c:idx val="0"/>
          <c:layout>
            <c:manualLayout>
              <c:x val="9.4754653130287525E-2"/>
              <c:y val="3.980100393443444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8.4602368866328284E-2"/>
              <c:y val="5.117271934427276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w="19050">
            <a:solidFill>
              <a:schemeClr val="lt1"/>
            </a:solidFill>
          </a:ln>
          <a:effectLst/>
        </c:spPr>
        <c:dLbl>
          <c:idx val="0"/>
          <c:layout>
            <c:manualLayout>
              <c:x val="-7.7834179357021999E-2"/>
              <c:y val="-8.528786557378811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Table'!$K$13</c:f>
              <c:strCache>
                <c:ptCount val="1"/>
                <c:pt idx="0">
                  <c:v>Total</c:v>
                </c:pt>
              </c:strCache>
            </c:strRef>
          </c:tx>
          <c:dPt>
            <c:idx val="0"/>
            <c:bubble3D val="0"/>
            <c:spPr>
              <a:solidFill>
                <a:srgbClr val="385F7C"/>
              </a:solidFill>
              <a:ln w="19050">
                <a:solidFill>
                  <a:schemeClr val="lt1"/>
                </a:solidFill>
              </a:ln>
              <a:effectLst/>
            </c:spPr>
            <c:extLst>
              <c:ext xmlns:c16="http://schemas.microsoft.com/office/drawing/2014/chart" uri="{C3380CC4-5D6E-409C-BE32-E72D297353CC}">
                <c16:uniqueId val="{00000001-049E-4729-8458-655822A2FE36}"/>
              </c:ext>
            </c:extLst>
          </c:dPt>
          <c:dPt>
            <c:idx val="1"/>
            <c:bubble3D val="0"/>
            <c:spPr>
              <a:solidFill>
                <a:srgbClr val="CCDCE8"/>
              </a:solidFill>
              <a:ln w="19050">
                <a:solidFill>
                  <a:schemeClr val="lt1"/>
                </a:solidFill>
              </a:ln>
              <a:effectLst/>
            </c:spPr>
            <c:extLst>
              <c:ext xmlns:c16="http://schemas.microsoft.com/office/drawing/2014/chart" uri="{C3380CC4-5D6E-409C-BE32-E72D297353CC}">
                <c16:uniqueId val="{00000003-049E-4729-8458-655822A2FE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9E-4729-8458-655822A2FE36}"/>
              </c:ext>
            </c:extLst>
          </c:dPt>
          <c:dPt>
            <c:idx val="3"/>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7-049E-4729-8458-655822A2FE36}"/>
              </c:ext>
            </c:extLst>
          </c:dPt>
          <c:dLbls>
            <c:dLbl>
              <c:idx val="0"/>
              <c:layout>
                <c:manualLayout>
                  <c:x val="8.4602368866328256E-2"/>
                  <c:y val="-4.548686163935368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49E-4729-8458-655822A2FE36}"/>
                </c:ext>
              </c:extLst>
            </c:dLbl>
            <c:dLbl>
              <c:idx val="1"/>
              <c:layout>
                <c:manualLayout>
                  <c:x val="9.4754653130287525E-2"/>
                  <c:y val="3.980100393443444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9E-4729-8458-655822A2FE36}"/>
                </c:ext>
              </c:extLst>
            </c:dLbl>
            <c:dLbl>
              <c:idx val="2"/>
              <c:layout>
                <c:manualLayout>
                  <c:x val="-8.4602368866328284E-2"/>
                  <c:y val="5.117271934427276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9E-4729-8458-655822A2FE36}"/>
                </c:ext>
              </c:extLst>
            </c:dLbl>
            <c:dLbl>
              <c:idx val="3"/>
              <c:layout>
                <c:manualLayout>
                  <c:x val="-7.7834179357021999E-2"/>
                  <c:y val="-8.528786557378811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49E-4729-8458-655822A2FE36}"/>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Table'!$J$14:$J$18</c:f>
              <c:strCache>
                <c:ptCount val="4"/>
                <c:pt idx="0">
                  <c:v>South</c:v>
                </c:pt>
                <c:pt idx="1">
                  <c:v>East</c:v>
                </c:pt>
                <c:pt idx="2">
                  <c:v>North</c:v>
                </c:pt>
                <c:pt idx="3">
                  <c:v>West</c:v>
                </c:pt>
              </c:strCache>
            </c:strRef>
          </c:cat>
          <c:val>
            <c:numRef>
              <c:f>'Pivot Table'!$K$14:$K$18</c:f>
              <c:numCache>
                <c:formatCode>General</c:formatCode>
                <c:ptCount val="4"/>
                <c:pt idx="0">
                  <c:v>235</c:v>
                </c:pt>
                <c:pt idx="1">
                  <c:v>204</c:v>
                </c:pt>
                <c:pt idx="2">
                  <c:v>193</c:v>
                </c:pt>
                <c:pt idx="3">
                  <c:v>168</c:v>
                </c:pt>
              </c:numCache>
            </c:numRef>
          </c:val>
          <c:extLst>
            <c:ext xmlns:c16="http://schemas.microsoft.com/office/drawing/2014/chart" uri="{C3380CC4-5D6E-409C-BE32-E72D297353CC}">
              <c16:uniqueId val="{00000008-049E-4729-8458-655822A2FE36}"/>
            </c:ext>
          </c:extLst>
        </c:ser>
        <c:dLbls>
          <c:showLegendKey val="0"/>
          <c:showVal val="1"/>
          <c:showCatName val="0"/>
          <c:showSerName val="0"/>
          <c:showPercent val="0"/>
          <c:showBubbleSize val="0"/>
          <c:showLeaderLines val="0"/>
        </c:dLbls>
        <c:firstSliceAng val="0"/>
        <c:holeSize val="8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[MetroBankAccounts.xlsx]Pivot Table!PivotTable34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85F7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715846994535519E-2"/>
          <c:y val="5.5555555555555552E-2"/>
          <c:w val="0.90382513661202191"/>
          <c:h val="0.8416746864975212"/>
        </c:manualLayout>
      </c:layout>
      <c:barChart>
        <c:barDir val="col"/>
        <c:grouping val="clustered"/>
        <c:varyColors val="0"/>
        <c:ser>
          <c:idx val="0"/>
          <c:order val="0"/>
          <c:tx>
            <c:strRef>
              <c:f>'Pivot Table'!$H$13</c:f>
              <c:strCache>
                <c:ptCount val="1"/>
                <c:pt idx="0">
                  <c:v>Total</c:v>
                </c:pt>
              </c:strCache>
            </c:strRef>
          </c:tx>
          <c:spPr>
            <a:solidFill>
              <a:srgbClr val="385F7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Table'!$G$14:$G$16</c:f>
              <c:strCache>
                <c:ptCount val="2"/>
                <c:pt idx="0">
                  <c:v>Approved</c:v>
                </c:pt>
                <c:pt idx="1">
                  <c:v>Rejected</c:v>
                </c:pt>
              </c:strCache>
            </c:strRef>
          </c:cat>
          <c:val>
            <c:numRef>
              <c:f>'Pivot Table'!$H$14:$H$16</c:f>
              <c:numCache>
                <c:formatCode>0</c:formatCode>
                <c:ptCount val="2"/>
                <c:pt idx="0">
                  <c:v>580.50877192982455</c:v>
                </c:pt>
                <c:pt idx="1">
                  <c:v>591.8115942028985</c:v>
                </c:pt>
              </c:numCache>
            </c:numRef>
          </c:val>
          <c:extLst>
            <c:ext xmlns:c16="http://schemas.microsoft.com/office/drawing/2014/chart" uri="{C3380CC4-5D6E-409C-BE32-E72D297353CC}">
              <c16:uniqueId val="{00000001-62AF-484A-B1CD-2DD0B2BFDB91}"/>
            </c:ext>
          </c:extLst>
        </c:ser>
        <c:dLbls>
          <c:dLblPos val="outEnd"/>
          <c:showLegendKey val="0"/>
          <c:showVal val="1"/>
          <c:showCatName val="0"/>
          <c:showSerName val="0"/>
          <c:showPercent val="0"/>
          <c:showBubbleSize val="0"/>
        </c:dLbls>
        <c:gapWidth val="219"/>
        <c:overlap val="-27"/>
        <c:axId val="1409643488"/>
        <c:axId val="1409643968"/>
      </c:barChart>
      <c:catAx>
        <c:axId val="1409643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409643968"/>
        <c:crosses val="autoZero"/>
        <c:auto val="1"/>
        <c:lblAlgn val="ctr"/>
        <c:lblOffset val="100"/>
        <c:noMultiLvlLbl val="0"/>
      </c:catAx>
      <c:valAx>
        <c:axId val="1409643968"/>
        <c:scaling>
          <c:orientation val="minMax"/>
        </c:scaling>
        <c:delete val="1"/>
        <c:axPos val="l"/>
        <c:numFmt formatCode="0" sourceLinked="1"/>
        <c:majorTickMark val="none"/>
        <c:minorTickMark val="none"/>
        <c:tickLblPos val="nextTo"/>
        <c:crossAx val="1409643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[MetroBankAccounts.xlsx]Pivot Table!PivotTable43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85F7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Table'!$L$5</c:f>
              <c:strCache>
                <c:ptCount val="1"/>
                <c:pt idx="0">
                  <c:v>Total</c:v>
                </c:pt>
              </c:strCache>
            </c:strRef>
          </c:tx>
          <c:spPr>
            <a:solidFill>
              <a:srgbClr val="385F7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Table'!$K$6:$K$9</c:f>
              <c:strCache>
                <c:ptCount val="3"/>
                <c:pt idx="0">
                  <c:v>Private</c:v>
                </c:pt>
                <c:pt idx="1">
                  <c:v>Retail</c:v>
                </c:pt>
                <c:pt idx="2">
                  <c:v>Corporate</c:v>
                </c:pt>
              </c:strCache>
            </c:strRef>
          </c:cat>
          <c:val>
            <c:numRef>
              <c:f>'Pivot Table'!$L$6:$L$9</c:f>
              <c:numCache>
                <c:formatCode>"$"#,##0</c:formatCode>
                <c:ptCount val="3"/>
                <c:pt idx="0">
                  <c:v>275113.66216216219</c:v>
                </c:pt>
                <c:pt idx="1">
                  <c:v>267102.03171247354</c:v>
                </c:pt>
                <c:pt idx="2">
                  <c:v>259460.32411067194</c:v>
                </c:pt>
              </c:numCache>
            </c:numRef>
          </c:val>
          <c:extLst>
            <c:ext xmlns:c16="http://schemas.microsoft.com/office/drawing/2014/chart" uri="{C3380CC4-5D6E-409C-BE32-E72D297353CC}">
              <c16:uniqueId val="{00000002-5F09-47DC-8EDB-8DCE7A6FC881}"/>
            </c:ext>
          </c:extLst>
        </c:ser>
        <c:dLbls>
          <c:dLblPos val="outEnd"/>
          <c:showLegendKey val="0"/>
          <c:showVal val="1"/>
          <c:showCatName val="0"/>
          <c:showSerName val="0"/>
          <c:showPercent val="0"/>
          <c:showBubbleSize val="0"/>
        </c:dLbls>
        <c:gapWidth val="219"/>
        <c:overlap val="-27"/>
        <c:axId val="1201414720"/>
        <c:axId val="1409645408"/>
      </c:barChart>
      <c:catAx>
        <c:axId val="120141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409645408"/>
        <c:crosses val="autoZero"/>
        <c:auto val="1"/>
        <c:lblAlgn val="ctr"/>
        <c:lblOffset val="100"/>
        <c:noMultiLvlLbl val="0"/>
      </c:catAx>
      <c:valAx>
        <c:axId val="1409645408"/>
        <c:scaling>
          <c:orientation val="minMax"/>
        </c:scaling>
        <c:delete val="1"/>
        <c:axPos val="l"/>
        <c:numFmt formatCode="&quot;$&quot;#,##0" sourceLinked="1"/>
        <c:majorTickMark val="none"/>
        <c:minorTickMark val="none"/>
        <c:tickLblPos val="nextTo"/>
        <c:crossAx val="1201414720"/>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[MetroBankAccounts.xlsx]Pivot Table!PivotTable46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DC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Table'!$N$13</c:f>
              <c:strCache>
                <c:ptCount val="1"/>
                <c:pt idx="0">
                  <c:v>Total</c:v>
                </c:pt>
              </c:strCache>
            </c:strRef>
          </c:tx>
          <c:spPr>
            <a:solidFill>
              <a:srgbClr val="CCDCE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Table'!$M$14:$M$18</c:f>
              <c:strCache>
                <c:ptCount val="4"/>
                <c:pt idx="0">
                  <c:v>Boomers</c:v>
                </c:pt>
                <c:pt idx="1">
                  <c:v>Gen X</c:v>
                </c:pt>
                <c:pt idx="2">
                  <c:v>Gen z</c:v>
                </c:pt>
                <c:pt idx="3">
                  <c:v>Millennials</c:v>
                </c:pt>
              </c:strCache>
            </c:strRef>
          </c:cat>
          <c:val>
            <c:numRef>
              <c:f>'Pivot Table'!$N$14:$N$18</c:f>
              <c:numCache>
                <c:formatCode>"$"#,##0</c:formatCode>
                <c:ptCount val="4"/>
                <c:pt idx="0">
                  <c:v>264878.38857142854</c:v>
                </c:pt>
                <c:pt idx="1">
                  <c:v>247707.29707112969</c:v>
                </c:pt>
                <c:pt idx="2">
                  <c:v>267779.7074829932</c:v>
                </c:pt>
                <c:pt idx="3">
                  <c:v>282099.39330543933</c:v>
                </c:pt>
              </c:numCache>
            </c:numRef>
          </c:val>
          <c:extLst>
            <c:ext xmlns:c16="http://schemas.microsoft.com/office/drawing/2014/chart" uri="{C3380CC4-5D6E-409C-BE32-E72D297353CC}">
              <c16:uniqueId val="{00000000-0BC0-42BC-A1D4-C21C70697457}"/>
            </c:ext>
          </c:extLst>
        </c:ser>
        <c:dLbls>
          <c:showLegendKey val="0"/>
          <c:showVal val="0"/>
          <c:showCatName val="0"/>
          <c:showSerName val="0"/>
          <c:showPercent val="0"/>
          <c:showBubbleSize val="0"/>
        </c:dLbls>
        <c:gapWidth val="182"/>
        <c:axId val="2102487232"/>
        <c:axId val="2102505472"/>
      </c:barChart>
      <c:catAx>
        <c:axId val="2102487232"/>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2102505472"/>
        <c:crosses val="autoZero"/>
        <c:auto val="1"/>
        <c:lblAlgn val="ctr"/>
        <c:lblOffset val="100"/>
        <c:noMultiLvlLbl val="0"/>
      </c:catAx>
      <c:valAx>
        <c:axId val="2102505472"/>
        <c:scaling>
          <c:orientation val="minMax"/>
        </c:scaling>
        <c:delete val="1"/>
        <c:axPos val="b"/>
        <c:numFmt formatCode="&quot;$&quot;#,##0" sourceLinked="1"/>
        <c:majorTickMark val="none"/>
        <c:minorTickMark val="none"/>
        <c:tickLblPos val="nextTo"/>
        <c:crossAx val="2102487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20</xdr:col>
      <xdr:colOff>717176</xdr:colOff>
      <xdr:row>11</xdr:row>
      <xdr:rowOff>0</xdr:rowOff>
    </xdr:from>
    <xdr:to>
      <xdr:col>26</xdr:col>
      <xdr:colOff>582706</xdr:colOff>
      <xdr:row>16</xdr:row>
      <xdr:rowOff>11206</xdr:rowOff>
    </xdr:to>
    <xdr:sp macro="" textlink="">
      <xdr:nvSpPr>
        <xdr:cNvPr id="2" name="Rectangle 1">
          <a:extLst>
            <a:ext uri="{FF2B5EF4-FFF2-40B4-BE49-F238E27FC236}">
              <a16:creationId xmlns:a16="http://schemas.microsoft.com/office/drawing/2014/main" id="{CC52EE69-0798-44CA-8908-0F82FBE5BD60}"/>
            </a:ext>
          </a:extLst>
        </xdr:cNvPr>
        <xdr:cNvSpPr/>
      </xdr:nvSpPr>
      <xdr:spPr>
        <a:xfrm>
          <a:off x="26529926" y="1143000"/>
          <a:ext cx="3770780" cy="96370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CA" sz="1200"/>
            <a:t>MetroBank</a:t>
          </a:r>
          <a:r>
            <a:rPr lang="en-CA" sz="1200" baseline="0"/>
            <a:t> Report</a:t>
          </a:r>
        </a:p>
        <a:p>
          <a:pPr algn="l"/>
          <a:r>
            <a:rPr lang="en-CA" sz="1100"/>
            <a:t>The</a:t>
          </a:r>
          <a:r>
            <a:rPr lang="en-CA" sz="1100" baseline="0"/>
            <a:t> most common account Type is Savings with a total of 303 registered accounts. 57 Loans has been approved with a total value of $3,677,399. The Customer Segment with the Highest Average balance is Private($275,114).</a:t>
          </a:r>
          <a:endParaRPr lang="en-CA"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115093</xdr:colOff>
      <xdr:row>0</xdr:row>
      <xdr:rowOff>0</xdr:rowOff>
    </xdr:from>
    <xdr:to>
      <xdr:col>37</xdr:col>
      <xdr:colOff>71438</xdr:colOff>
      <xdr:row>33</xdr:row>
      <xdr:rowOff>142875</xdr:rowOff>
    </xdr:to>
    <xdr:sp macro="" textlink="">
      <xdr:nvSpPr>
        <xdr:cNvPr id="3" name="Rectangle: Rounded Corners 2">
          <a:extLst>
            <a:ext uri="{FF2B5EF4-FFF2-40B4-BE49-F238E27FC236}">
              <a16:creationId xmlns:a16="http://schemas.microsoft.com/office/drawing/2014/main" id="{1B9AE714-DB90-657B-22CA-E71F1C19BC0E}"/>
            </a:ext>
          </a:extLst>
        </xdr:cNvPr>
        <xdr:cNvSpPr/>
      </xdr:nvSpPr>
      <xdr:spPr>
        <a:xfrm>
          <a:off x="722312" y="0"/>
          <a:ext cx="21816220" cy="6429375"/>
        </a:xfrm>
        <a:prstGeom prst="roundRect">
          <a:avLst>
            <a:gd name="adj" fmla="val 8184"/>
          </a:avLst>
        </a:prstGeom>
        <a:solidFill>
          <a:srgbClr val="CCD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xdr:col>
      <xdr:colOff>238125</xdr:colOff>
      <xdr:row>0</xdr:row>
      <xdr:rowOff>107156</xdr:rowOff>
    </xdr:from>
    <xdr:to>
      <xdr:col>36</xdr:col>
      <xdr:colOff>571499</xdr:colOff>
      <xdr:row>32</xdr:row>
      <xdr:rowOff>130969</xdr:rowOff>
    </xdr:to>
    <xdr:sp macro="" textlink="">
      <xdr:nvSpPr>
        <xdr:cNvPr id="4" name="Rectangle: Rounded Corners 3">
          <a:extLst>
            <a:ext uri="{FF2B5EF4-FFF2-40B4-BE49-F238E27FC236}">
              <a16:creationId xmlns:a16="http://schemas.microsoft.com/office/drawing/2014/main" id="{86E4C9DF-2DAE-403A-9794-B5D30AE75F99}"/>
            </a:ext>
          </a:extLst>
        </xdr:cNvPr>
        <xdr:cNvSpPr/>
      </xdr:nvSpPr>
      <xdr:spPr>
        <a:xfrm>
          <a:off x="845344" y="107156"/>
          <a:ext cx="21586030" cy="6119813"/>
        </a:xfrm>
        <a:prstGeom prst="roundRect">
          <a:avLst>
            <a:gd name="adj" fmla="val 8702"/>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100"/>
            <a:t>z</a:t>
          </a:r>
        </a:p>
      </xdr:txBody>
    </xdr:sp>
    <xdr:clientData/>
  </xdr:twoCellAnchor>
  <xdr:twoCellAnchor>
    <xdr:from>
      <xdr:col>1</xdr:col>
      <xdr:colOff>428626</xdr:colOff>
      <xdr:row>4</xdr:row>
      <xdr:rowOff>111126</xdr:rowOff>
    </xdr:from>
    <xdr:to>
      <xdr:col>11</xdr:col>
      <xdr:colOff>367393</xdr:colOff>
      <xdr:row>11</xdr:row>
      <xdr:rowOff>95250</xdr:rowOff>
    </xdr:to>
    <xdr:sp macro="" textlink="">
      <xdr:nvSpPr>
        <xdr:cNvPr id="10" name="Rectangle: Rounded Corners 9">
          <a:extLst>
            <a:ext uri="{FF2B5EF4-FFF2-40B4-BE49-F238E27FC236}">
              <a16:creationId xmlns:a16="http://schemas.microsoft.com/office/drawing/2014/main" id="{9B66211B-56DA-411F-8183-0DB4BD498501}"/>
            </a:ext>
          </a:extLst>
        </xdr:cNvPr>
        <xdr:cNvSpPr/>
      </xdr:nvSpPr>
      <xdr:spPr>
        <a:xfrm>
          <a:off x="1040947" y="873126"/>
          <a:ext cx="6061982" cy="1317624"/>
        </a:xfrm>
        <a:prstGeom prst="roundRect">
          <a:avLst>
            <a:gd name="adj" fmla="val 23049"/>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6</xdr:col>
      <xdr:colOff>429533</xdr:colOff>
      <xdr:row>12</xdr:row>
      <xdr:rowOff>68942</xdr:rowOff>
    </xdr:from>
    <xdr:to>
      <xdr:col>13</xdr:col>
      <xdr:colOff>555625</xdr:colOff>
      <xdr:row>32</xdr:row>
      <xdr:rowOff>63500</xdr:rowOff>
    </xdr:to>
    <xdr:sp macro="" textlink="">
      <xdr:nvSpPr>
        <xdr:cNvPr id="11" name="Rectangle: Rounded Corners 10">
          <a:extLst>
            <a:ext uri="{FF2B5EF4-FFF2-40B4-BE49-F238E27FC236}">
              <a16:creationId xmlns:a16="http://schemas.microsoft.com/office/drawing/2014/main" id="{6CF514D2-E51F-478C-A6C2-C517EDF06440}"/>
            </a:ext>
          </a:extLst>
        </xdr:cNvPr>
        <xdr:cNvSpPr/>
      </xdr:nvSpPr>
      <xdr:spPr>
        <a:xfrm>
          <a:off x="4049033" y="2354942"/>
          <a:ext cx="4348842" cy="3804558"/>
        </a:xfrm>
        <a:prstGeom prst="roundRect">
          <a:avLst>
            <a:gd name="adj" fmla="val 7157"/>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14</xdr:col>
      <xdr:colOff>64861</xdr:colOff>
      <xdr:row>18</xdr:row>
      <xdr:rowOff>71425</xdr:rowOff>
    </xdr:from>
    <xdr:to>
      <xdr:col>24</xdr:col>
      <xdr:colOff>464344</xdr:colOff>
      <xdr:row>32</xdr:row>
      <xdr:rowOff>39675</xdr:rowOff>
    </xdr:to>
    <xdr:sp macro="" textlink="">
      <xdr:nvSpPr>
        <xdr:cNvPr id="12" name="Rectangle: Rounded Corners 11">
          <a:extLst>
            <a:ext uri="{FF2B5EF4-FFF2-40B4-BE49-F238E27FC236}">
              <a16:creationId xmlns:a16="http://schemas.microsoft.com/office/drawing/2014/main" id="{E807207B-99B4-480C-B1D2-A2A4E99C1193}"/>
            </a:ext>
          </a:extLst>
        </xdr:cNvPr>
        <xdr:cNvSpPr/>
      </xdr:nvSpPr>
      <xdr:spPr>
        <a:xfrm>
          <a:off x="8565924" y="3500425"/>
          <a:ext cx="6471670" cy="2635250"/>
        </a:xfrm>
        <a:prstGeom prst="roundRect">
          <a:avLst>
            <a:gd name="adj" fmla="val 13061"/>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14</xdr:col>
      <xdr:colOff>83343</xdr:colOff>
      <xdr:row>5</xdr:row>
      <xdr:rowOff>6359</xdr:rowOff>
    </xdr:from>
    <xdr:to>
      <xdr:col>29</xdr:col>
      <xdr:colOff>357187</xdr:colOff>
      <xdr:row>18</xdr:row>
      <xdr:rowOff>6359</xdr:rowOff>
    </xdr:to>
    <xdr:sp macro="" textlink="">
      <xdr:nvSpPr>
        <xdr:cNvPr id="14" name="Rectangle: Rounded Corners 13">
          <a:extLst>
            <a:ext uri="{FF2B5EF4-FFF2-40B4-BE49-F238E27FC236}">
              <a16:creationId xmlns:a16="http://schemas.microsoft.com/office/drawing/2014/main" id="{045BA39F-B964-4839-A125-1392789D81E7}"/>
            </a:ext>
          </a:extLst>
        </xdr:cNvPr>
        <xdr:cNvSpPr/>
      </xdr:nvSpPr>
      <xdr:spPr>
        <a:xfrm>
          <a:off x="8584406" y="958859"/>
          <a:ext cx="9382125" cy="2476500"/>
        </a:xfrm>
        <a:prstGeom prst="roundRect">
          <a:avLst>
            <a:gd name="adj" fmla="val 13061"/>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14</xdr:col>
      <xdr:colOff>32657</xdr:colOff>
      <xdr:row>20</xdr:row>
      <xdr:rowOff>166675</xdr:rowOff>
    </xdr:from>
    <xdr:to>
      <xdr:col>24</xdr:col>
      <xdr:colOff>119062</xdr:colOff>
      <xdr:row>31</xdr:row>
      <xdr:rowOff>107156</xdr:rowOff>
    </xdr:to>
    <xdr:graphicFrame macro="">
      <xdr:nvGraphicFramePr>
        <xdr:cNvPr id="15" name="Chart 14">
          <a:extLst>
            <a:ext uri="{FF2B5EF4-FFF2-40B4-BE49-F238E27FC236}">
              <a16:creationId xmlns:a16="http://schemas.microsoft.com/office/drawing/2014/main" id="{131251B8-AA0C-493B-9186-2AD9EAEDB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14</xdr:col>
      <xdr:colOff>222249</xdr:colOff>
      <xdr:row>18</xdr:row>
      <xdr:rowOff>71425</xdr:rowOff>
    </xdr:from>
    <xdr:ext cx="3540125" cy="333168"/>
    <xdr:sp macro="" textlink="">
      <xdr:nvSpPr>
        <xdr:cNvPr id="16" name="TextBox 15">
          <a:extLst>
            <a:ext uri="{FF2B5EF4-FFF2-40B4-BE49-F238E27FC236}">
              <a16:creationId xmlns:a16="http://schemas.microsoft.com/office/drawing/2014/main" id="{D309BE86-9B24-9147-172E-2ACD4312D98A}"/>
            </a:ext>
          </a:extLst>
        </xdr:cNvPr>
        <xdr:cNvSpPr txBox="1"/>
      </xdr:nvSpPr>
      <xdr:spPr>
        <a:xfrm>
          <a:off x="8723312" y="3500425"/>
          <a:ext cx="3540125"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600" b="1">
              <a:solidFill>
                <a:schemeClr val="tx1"/>
              </a:solidFill>
              <a:latin typeface="Bookman Old Style" panose="02050604050505020204" pitchFamily="18" charset="0"/>
            </a:rPr>
            <a:t>Volume Account</a:t>
          </a:r>
          <a:r>
            <a:rPr lang="en-CA" sz="1600" b="1" baseline="0">
              <a:solidFill>
                <a:schemeClr val="tx1"/>
              </a:solidFill>
              <a:latin typeface="Bookman Old Style" panose="02050604050505020204" pitchFamily="18" charset="0"/>
            </a:rPr>
            <a:t> Typer Users</a:t>
          </a:r>
          <a:endParaRPr lang="en-CA" sz="1600" b="1">
            <a:solidFill>
              <a:schemeClr val="tx1"/>
            </a:solidFill>
            <a:latin typeface="Bookman Old Style" panose="02050604050505020204" pitchFamily="18" charset="0"/>
          </a:endParaRPr>
        </a:p>
      </xdr:txBody>
    </xdr:sp>
    <xdr:clientData/>
  </xdr:oneCellAnchor>
  <xdr:twoCellAnchor>
    <xdr:from>
      <xdr:col>1</xdr:col>
      <xdr:colOff>523874</xdr:colOff>
      <xdr:row>5</xdr:row>
      <xdr:rowOff>95250</xdr:rowOff>
    </xdr:from>
    <xdr:to>
      <xdr:col>4</xdr:col>
      <xdr:colOff>222249</xdr:colOff>
      <xdr:row>11</xdr:row>
      <xdr:rowOff>0</xdr:rowOff>
    </xdr:to>
    <xdr:sp macro="" textlink="">
      <xdr:nvSpPr>
        <xdr:cNvPr id="17" name="Rectangle: Rounded Corners 16">
          <a:extLst>
            <a:ext uri="{FF2B5EF4-FFF2-40B4-BE49-F238E27FC236}">
              <a16:creationId xmlns:a16="http://schemas.microsoft.com/office/drawing/2014/main" id="{4083C3B0-1FE5-40DB-B15A-AE264BAAE8C4}"/>
            </a:ext>
          </a:extLst>
        </xdr:cNvPr>
        <xdr:cNvSpPr/>
      </xdr:nvSpPr>
      <xdr:spPr>
        <a:xfrm>
          <a:off x="1127124" y="1047750"/>
          <a:ext cx="1508125" cy="1047750"/>
        </a:xfrm>
        <a:prstGeom prst="roundRect">
          <a:avLst>
            <a:gd name="adj" fmla="val 14506"/>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4</xdr:col>
      <xdr:colOff>273844</xdr:colOff>
      <xdr:row>5</xdr:row>
      <xdr:rowOff>73025</xdr:rowOff>
    </xdr:from>
    <xdr:to>
      <xdr:col>6</xdr:col>
      <xdr:colOff>380999</xdr:colOff>
      <xdr:row>11</xdr:row>
      <xdr:rowOff>25400</xdr:rowOff>
    </xdr:to>
    <xdr:sp macro="" textlink="">
      <xdr:nvSpPr>
        <xdr:cNvPr id="18" name="Rectangle: Rounded Corners 17">
          <a:extLst>
            <a:ext uri="{FF2B5EF4-FFF2-40B4-BE49-F238E27FC236}">
              <a16:creationId xmlns:a16="http://schemas.microsoft.com/office/drawing/2014/main" id="{6C581115-B0E7-4603-BFC0-61EC9FADBC47}"/>
            </a:ext>
          </a:extLst>
        </xdr:cNvPr>
        <xdr:cNvSpPr/>
      </xdr:nvSpPr>
      <xdr:spPr>
        <a:xfrm>
          <a:off x="2702719" y="1025525"/>
          <a:ext cx="1321593" cy="1095375"/>
        </a:xfrm>
        <a:prstGeom prst="roundRect">
          <a:avLst>
            <a:gd name="adj" fmla="val 14506"/>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6</xdr:col>
      <xdr:colOff>431800</xdr:colOff>
      <xdr:row>5</xdr:row>
      <xdr:rowOff>82550</xdr:rowOff>
    </xdr:from>
    <xdr:to>
      <xdr:col>8</xdr:col>
      <xdr:colOff>381000</xdr:colOff>
      <xdr:row>11</xdr:row>
      <xdr:rowOff>34925</xdr:rowOff>
    </xdr:to>
    <xdr:sp macro="" textlink="">
      <xdr:nvSpPr>
        <xdr:cNvPr id="19" name="Rectangle: Rounded Corners 18">
          <a:extLst>
            <a:ext uri="{FF2B5EF4-FFF2-40B4-BE49-F238E27FC236}">
              <a16:creationId xmlns:a16="http://schemas.microsoft.com/office/drawing/2014/main" id="{D04B733D-AA27-4228-BEA5-C11FFA2F8906}"/>
            </a:ext>
          </a:extLst>
        </xdr:cNvPr>
        <xdr:cNvSpPr/>
      </xdr:nvSpPr>
      <xdr:spPr>
        <a:xfrm>
          <a:off x="4051300" y="1035050"/>
          <a:ext cx="1155700" cy="1095375"/>
        </a:xfrm>
        <a:prstGeom prst="roundRect">
          <a:avLst>
            <a:gd name="adj" fmla="val 14506"/>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1</xdr:col>
      <xdr:colOff>335643</xdr:colOff>
      <xdr:row>1</xdr:row>
      <xdr:rowOff>0</xdr:rowOff>
    </xdr:from>
    <xdr:ext cx="6071149" cy="462306"/>
    <xdr:sp macro="" textlink="">
      <xdr:nvSpPr>
        <xdr:cNvPr id="20" name="TextBox 19">
          <a:extLst>
            <a:ext uri="{FF2B5EF4-FFF2-40B4-BE49-F238E27FC236}">
              <a16:creationId xmlns:a16="http://schemas.microsoft.com/office/drawing/2014/main" id="{20F305E6-AAE1-A5AC-F11B-9DB71A24BA5D}"/>
            </a:ext>
          </a:extLst>
        </xdr:cNvPr>
        <xdr:cNvSpPr txBox="1"/>
      </xdr:nvSpPr>
      <xdr:spPr>
        <a:xfrm>
          <a:off x="942862" y="190500"/>
          <a:ext cx="6071149" cy="4623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2400" b="1">
              <a:solidFill>
                <a:srgbClr val="385F7C"/>
              </a:solidFill>
              <a:latin typeface="Century" panose="02040604050505020304" pitchFamily="18" charset="0"/>
            </a:rPr>
            <a:t>CUSTOMERS ACCOUNT DASHBOARD</a:t>
          </a:r>
        </a:p>
      </xdr:txBody>
    </xdr:sp>
    <xdr:clientData/>
  </xdr:oneCellAnchor>
  <xdr:oneCellAnchor>
    <xdr:from>
      <xdr:col>1</xdr:col>
      <xdr:colOff>571498</xdr:colOff>
      <xdr:row>5</xdr:row>
      <xdr:rowOff>78437</xdr:rowOff>
    </xdr:from>
    <xdr:ext cx="1500189" cy="540688"/>
    <xdr:sp macro="" textlink="">
      <xdr:nvSpPr>
        <xdr:cNvPr id="21" name="TextBox 20">
          <a:extLst>
            <a:ext uri="{FF2B5EF4-FFF2-40B4-BE49-F238E27FC236}">
              <a16:creationId xmlns:a16="http://schemas.microsoft.com/office/drawing/2014/main" id="{634B4721-8355-4DFA-D88C-6EFD7C4BF6C2}"/>
            </a:ext>
          </a:extLst>
        </xdr:cNvPr>
        <xdr:cNvSpPr txBox="1"/>
      </xdr:nvSpPr>
      <xdr:spPr>
        <a:xfrm>
          <a:off x="1178717" y="1030937"/>
          <a:ext cx="1500189" cy="5406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CA" sz="1400" b="1">
              <a:solidFill>
                <a:schemeClr val="tx1"/>
              </a:solidFill>
              <a:latin typeface="Bookman Old Style" panose="02050604050505020204" pitchFamily="18" charset="0"/>
            </a:rPr>
            <a:t>Approved</a:t>
          </a:r>
          <a:r>
            <a:rPr lang="en-CA" sz="1400" b="1" baseline="0">
              <a:solidFill>
                <a:schemeClr val="tx1"/>
              </a:solidFill>
              <a:latin typeface="Bookman Old Style" panose="02050604050505020204" pitchFamily="18" charset="0"/>
            </a:rPr>
            <a:t> Loan Amount</a:t>
          </a:r>
          <a:endParaRPr lang="en-CA" sz="1400" b="1">
            <a:solidFill>
              <a:schemeClr val="tx1"/>
            </a:solidFill>
            <a:latin typeface="Bookman Old Style" panose="02050604050505020204" pitchFamily="18" charset="0"/>
          </a:endParaRPr>
        </a:p>
      </xdr:txBody>
    </xdr:sp>
    <xdr:clientData/>
  </xdr:oneCellAnchor>
  <xdr:oneCellAnchor>
    <xdr:from>
      <xdr:col>1</xdr:col>
      <xdr:colOff>555622</xdr:colOff>
      <xdr:row>8</xdr:row>
      <xdr:rowOff>85774</xdr:rowOff>
    </xdr:from>
    <xdr:ext cx="1365254" cy="413989"/>
    <xdr:sp macro="" textlink="'Customers Account'!X18">
      <xdr:nvSpPr>
        <xdr:cNvPr id="22" name="TextBox 21">
          <a:extLst>
            <a:ext uri="{FF2B5EF4-FFF2-40B4-BE49-F238E27FC236}">
              <a16:creationId xmlns:a16="http://schemas.microsoft.com/office/drawing/2014/main" id="{9574797A-C769-409A-67C1-96D3895A7D0F}"/>
            </a:ext>
          </a:extLst>
        </xdr:cNvPr>
        <xdr:cNvSpPr txBox="1"/>
      </xdr:nvSpPr>
      <xdr:spPr>
        <a:xfrm>
          <a:off x="1158872" y="1609774"/>
          <a:ext cx="1365254" cy="4139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7D7A631-C555-4F76-B3CA-B3E53927E3AC}" type="TxLink">
            <a:rPr lang="en-US" sz="2000" b="1" i="0" u="none" strike="noStrike">
              <a:solidFill>
                <a:srgbClr val="000000"/>
              </a:solidFill>
              <a:latin typeface="Calibri"/>
              <a:cs typeface="Calibri"/>
            </a:rPr>
            <a:pPr/>
            <a:t> </a:t>
          </a:fld>
          <a:endParaRPr lang="en-CA" sz="4400" b="1">
            <a:solidFill>
              <a:schemeClr val="tx1"/>
            </a:solidFill>
          </a:endParaRPr>
        </a:p>
      </xdr:txBody>
    </xdr:sp>
    <xdr:clientData/>
  </xdr:oneCellAnchor>
  <xdr:oneCellAnchor>
    <xdr:from>
      <xdr:col>4</xdr:col>
      <xdr:colOff>396875</xdr:colOff>
      <xdr:row>5</xdr:row>
      <xdr:rowOff>78437</xdr:rowOff>
    </xdr:from>
    <xdr:ext cx="1232966" cy="275961"/>
    <xdr:sp macro="" textlink="">
      <xdr:nvSpPr>
        <xdr:cNvPr id="23" name="TextBox 22">
          <a:extLst>
            <a:ext uri="{FF2B5EF4-FFF2-40B4-BE49-F238E27FC236}">
              <a16:creationId xmlns:a16="http://schemas.microsoft.com/office/drawing/2014/main" id="{409B3A51-3C20-7E08-00D7-5FC9C83A79FA}"/>
            </a:ext>
          </a:extLst>
        </xdr:cNvPr>
        <xdr:cNvSpPr txBox="1"/>
      </xdr:nvSpPr>
      <xdr:spPr>
        <a:xfrm>
          <a:off x="2825750" y="1030937"/>
          <a:ext cx="1232966" cy="2759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CA" sz="1400" b="1">
              <a:solidFill>
                <a:schemeClr val="tx1"/>
              </a:solidFill>
              <a:latin typeface="Bookman Old Style" panose="02050604050505020204" pitchFamily="18" charset="0"/>
            </a:rPr>
            <a:t>Accounts</a:t>
          </a:r>
        </a:p>
      </xdr:txBody>
    </xdr:sp>
    <xdr:clientData/>
  </xdr:oneCellAnchor>
  <xdr:oneCellAnchor>
    <xdr:from>
      <xdr:col>6</xdr:col>
      <xdr:colOff>402431</xdr:colOff>
      <xdr:row>5</xdr:row>
      <xdr:rowOff>114156</xdr:rowOff>
    </xdr:from>
    <xdr:ext cx="1264443" cy="540687"/>
    <xdr:sp macro="" textlink="">
      <xdr:nvSpPr>
        <xdr:cNvPr id="24" name="TextBox 23">
          <a:extLst>
            <a:ext uri="{FF2B5EF4-FFF2-40B4-BE49-F238E27FC236}">
              <a16:creationId xmlns:a16="http://schemas.microsoft.com/office/drawing/2014/main" id="{57DAE2A3-8503-45FE-9251-F1AE0778CA7C}"/>
            </a:ext>
          </a:extLst>
        </xdr:cNvPr>
        <xdr:cNvSpPr txBox="1"/>
      </xdr:nvSpPr>
      <xdr:spPr>
        <a:xfrm>
          <a:off x="4045744" y="1066656"/>
          <a:ext cx="1264443" cy="5406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CA" sz="1400" b="1">
              <a:solidFill>
                <a:schemeClr val="tx1"/>
              </a:solidFill>
              <a:latin typeface="Bookman Old Style" panose="02050604050505020204" pitchFamily="18" charset="0"/>
            </a:rPr>
            <a:t>AVG</a:t>
          </a:r>
          <a:r>
            <a:rPr lang="en-CA" sz="1400" b="1" baseline="0">
              <a:solidFill>
                <a:schemeClr val="tx1"/>
              </a:solidFill>
              <a:latin typeface="Bookman Old Style" panose="02050604050505020204" pitchFamily="18" charset="0"/>
            </a:rPr>
            <a:t> Credit Score</a:t>
          </a:r>
          <a:endParaRPr lang="en-CA" sz="1400" b="1">
            <a:solidFill>
              <a:schemeClr val="tx1"/>
            </a:solidFill>
            <a:latin typeface="Bookman Old Style" panose="02050604050505020204" pitchFamily="18" charset="0"/>
          </a:endParaRPr>
        </a:p>
      </xdr:txBody>
    </xdr:sp>
    <xdr:clientData/>
  </xdr:oneCellAnchor>
  <xdr:oneCellAnchor>
    <xdr:from>
      <xdr:col>4</xdr:col>
      <xdr:colOff>476250</xdr:colOff>
      <xdr:row>8</xdr:row>
      <xdr:rowOff>31750</xdr:rowOff>
    </xdr:from>
    <xdr:ext cx="652679" cy="468013"/>
    <xdr:sp macro="" textlink="'Pivot Table'!H6">
      <xdr:nvSpPr>
        <xdr:cNvPr id="25" name="TextBox 24">
          <a:extLst>
            <a:ext uri="{FF2B5EF4-FFF2-40B4-BE49-F238E27FC236}">
              <a16:creationId xmlns:a16="http://schemas.microsoft.com/office/drawing/2014/main" id="{55510276-6E63-854B-B138-8C1667564EDC}"/>
            </a:ext>
          </a:extLst>
        </xdr:cNvPr>
        <xdr:cNvSpPr txBox="1"/>
      </xdr:nvSpPr>
      <xdr:spPr>
        <a:xfrm>
          <a:off x="2889250" y="1555750"/>
          <a:ext cx="65267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FFDBC3F-7E61-4E83-94BE-FD903A5975A6}" type="TxLink">
            <a:rPr lang="en-US" sz="2400" b="1" i="0" u="none" strike="noStrike">
              <a:solidFill>
                <a:schemeClr val="tx1"/>
              </a:solidFill>
              <a:latin typeface="Calibri"/>
              <a:cs typeface="Calibri"/>
            </a:rPr>
            <a:pPr/>
            <a:t>800</a:t>
          </a:fld>
          <a:endParaRPr lang="en-CA" sz="2400" b="1">
            <a:solidFill>
              <a:schemeClr val="tx1"/>
            </a:solidFill>
          </a:endParaRPr>
        </a:p>
      </xdr:txBody>
    </xdr:sp>
    <xdr:clientData/>
  </xdr:oneCellAnchor>
  <xdr:oneCellAnchor>
    <xdr:from>
      <xdr:col>6</xdr:col>
      <xdr:colOff>587375</xdr:colOff>
      <xdr:row>8</xdr:row>
      <xdr:rowOff>31750</xdr:rowOff>
    </xdr:from>
    <xdr:ext cx="652679" cy="468013"/>
    <xdr:sp macro="" textlink="'Pivot Table'!H8">
      <xdr:nvSpPr>
        <xdr:cNvPr id="26" name="TextBox 25">
          <a:extLst>
            <a:ext uri="{FF2B5EF4-FFF2-40B4-BE49-F238E27FC236}">
              <a16:creationId xmlns:a16="http://schemas.microsoft.com/office/drawing/2014/main" id="{613DA70F-B990-EA46-5174-0B5405B8D94A}"/>
            </a:ext>
          </a:extLst>
        </xdr:cNvPr>
        <xdr:cNvSpPr txBox="1"/>
      </xdr:nvSpPr>
      <xdr:spPr>
        <a:xfrm>
          <a:off x="4230688" y="1555750"/>
          <a:ext cx="65267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8D9BD70-D0B1-491D-B576-61362CCF85CC}" type="TxLink">
            <a:rPr lang="en-US" sz="2400" b="1" i="0" u="none" strike="noStrike">
              <a:solidFill>
                <a:srgbClr val="000000"/>
              </a:solidFill>
              <a:latin typeface="Calibri"/>
              <a:cs typeface="Calibri"/>
            </a:rPr>
            <a:pPr/>
            <a:t>580</a:t>
          </a:fld>
          <a:endParaRPr lang="en-CA" sz="2400" b="1"/>
        </a:p>
      </xdr:txBody>
    </xdr:sp>
    <xdr:clientData/>
  </xdr:oneCellAnchor>
  <xdr:twoCellAnchor>
    <xdr:from>
      <xdr:col>14</xdr:col>
      <xdr:colOff>166688</xdr:colOff>
      <xdr:row>8</xdr:row>
      <xdr:rowOff>11905</xdr:rowOff>
    </xdr:from>
    <xdr:to>
      <xdr:col>29</xdr:col>
      <xdr:colOff>226219</xdr:colOff>
      <xdr:row>17</xdr:row>
      <xdr:rowOff>119062</xdr:rowOff>
    </xdr:to>
    <xdr:graphicFrame macro="">
      <xdr:nvGraphicFramePr>
        <xdr:cNvPr id="27" name="Chart 26">
          <a:extLst>
            <a:ext uri="{FF2B5EF4-FFF2-40B4-BE49-F238E27FC236}">
              <a16:creationId xmlns:a16="http://schemas.microsoft.com/office/drawing/2014/main" id="{96675D7C-B463-4377-8753-563E384D7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14</xdr:col>
      <xdr:colOff>349243</xdr:colOff>
      <xdr:row>5</xdr:row>
      <xdr:rowOff>47634</xdr:rowOff>
    </xdr:from>
    <xdr:ext cx="2619375" cy="333168"/>
    <xdr:sp macro="" textlink="">
      <xdr:nvSpPr>
        <xdr:cNvPr id="28" name="TextBox 27">
          <a:extLst>
            <a:ext uri="{FF2B5EF4-FFF2-40B4-BE49-F238E27FC236}">
              <a16:creationId xmlns:a16="http://schemas.microsoft.com/office/drawing/2014/main" id="{7FB3BA79-60C9-86E9-C9E2-5D4F92E21EF7}"/>
            </a:ext>
          </a:extLst>
        </xdr:cNvPr>
        <xdr:cNvSpPr txBox="1"/>
      </xdr:nvSpPr>
      <xdr:spPr>
        <a:xfrm>
          <a:off x="8850306" y="1000134"/>
          <a:ext cx="2619375"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600" b="1">
              <a:solidFill>
                <a:schemeClr val="tx1"/>
              </a:solidFill>
              <a:latin typeface="Bookman Old Style" panose="02050604050505020204" pitchFamily="18" charset="0"/>
            </a:rPr>
            <a:t>AVG Yearly Balance</a:t>
          </a:r>
        </a:p>
      </xdr:txBody>
    </xdr:sp>
    <xdr:clientData/>
  </xdr:oneCellAnchor>
  <xdr:twoCellAnchor>
    <xdr:from>
      <xdr:col>7</xdr:col>
      <xdr:colOff>107497</xdr:colOff>
      <xdr:row>17</xdr:row>
      <xdr:rowOff>125639</xdr:rowOff>
    </xdr:from>
    <xdr:to>
      <xdr:col>13</xdr:col>
      <xdr:colOff>186418</xdr:colOff>
      <xdr:row>29</xdr:row>
      <xdr:rowOff>73251</xdr:rowOff>
    </xdr:to>
    <xdr:graphicFrame macro="">
      <xdr:nvGraphicFramePr>
        <xdr:cNvPr id="29" name="Chart 28">
          <a:extLst>
            <a:ext uri="{FF2B5EF4-FFF2-40B4-BE49-F238E27FC236}">
              <a16:creationId xmlns:a16="http://schemas.microsoft.com/office/drawing/2014/main" id="{D22080A6-B577-4033-8A3E-E1B72112B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6</xdr:col>
      <xdr:colOff>523874</xdr:colOff>
      <xdr:row>12</xdr:row>
      <xdr:rowOff>158750</xdr:rowOff>
    </xdr:from>
    <xdr:ext cx="3131343" cy="333168"/>
    <xdr:sp macro="" textlink="">
      <xdr:nvSpPr>
        <xdr:cNvPr id="31" name="TextBox 30">
          <a:extLst>
            <a:ext uri="{FF2B5EF4-FFF2-40B4-BE49-F238E27FC236}">
              <a16:creationId xmlns:a16="http://schemas.microsoft.com/office/drawing/2014/main" id="{53D5B286-BA63-98AE-43E5-13F997BDE883}"/>
            </a:ext>
          </a:extLst>
        </xdr:cNvPr>
        <xdr:cNvSpPr txBox="1"/>
      </xdr:nvSpPr>
      <xdr:spPr>
        <a:xfrm>
          <a:off x="4167187" y="2444750"/>
          <a:ext cx="3131343"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600" b="1">
              <a:solidFill>
                <a:schemeClr val="tx1"/>
              </a:solidFill>
              <a:latin typeface="Bookman Old Style" panose="02050604050505020204" pitchFamily="18" charset="0"/>
            </a:rPr>
            <a:t>Regional account Volume</a:t>
          </a:r>
        </a:p>
      </xdr:txBody>
    </xdr:sp>
    <xdr:clientData/>
  </xdr:oneCellAnchor>
  <xdr:oneCellAnchor>
    <xdr:from>
      <xdr:col>22</xdr:col>
      <xdr:colOff>95250</xdr:colOff>
      <xdr:row>5</xdr:row>
      <xdr:rowOff>31750</xdr:rowOff>
    </xdr:from>
    <xdr:ext cx="1968500" cy="311496"/>
    <xdr:sp macro="" textlink="">
      <xdr:nvSpPr>
        <xdr:cNvPr id="34" name="TextBox 33">
          <a:extLst>
            <a:ext uri="{FF2B5EF4-FFF2-40B4-BE49-F238E27FC236}">
              <a16:creationId xmlns:a16="http://schemas.microsoft.com/office/drawing/2014/main" id="{1A1E647E-39F2-8C43-E59D-47C0CC9F508A}"/>
            </a:ext>
          </a:extLst>
        </xdr:cNvPr>
        <xdr:cNvSpPr txBox="1"/>
      </xdr:nvSpPr>
      <xdr:spPr>
        <a:xfrm>
          <a:off x="13366750" y="984250"/>
          <a:ext cx="19685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CA" sz="1400" b="1">
            <a:solidFill>
              <a:schemeClr val="tx1"/>
            </a:solidFill>
          </a:endParaRPr>
        </a:p>
      </xdr:txBody>
    </xdr:sp>
    <xdr:clientData/>
  </xdr:oneCellAnchor>
  <xdr:twoCellAnchor editAs="oneCell">
    <xdr:from>
      <xdr:col>17</xdr:col>
      <xdr:colOff>537028</xdr:colOff>
      <xdr:row>1</xdr:row>
      <xdr:rowOff>143329</xdr:rowOff>
    </xdr:from>
    <xdr:to>
      <xdr:col>24</xdr:col>
      <xdr:colOff>226786</xdr:colOff>
      <xdr:row>4</xdr:row>
      <xdr:rowOff>52161</xdr:rowOff>
    </xdr:to>
    <mc:AlternateContent xmlns:mc="http://schemas.openxmlformats.org/markup-compatibility/2006" xmlns:a14="http://schemas.microsoft.com/office/drawing/2010/main">
      <mc:Choice Requires="a14">
        <xdr:graphicFrame macro="">
          <xdr:nvGraphicFramePr>
            <xdr:cNvPr id="35" name="Age Bracket">
              <a:extLst>
                <a:ext uri="{FF2B5EF4-FFF2-40B4-BE49-F238E27FC236}">
                  <a16:creationId xmlns:a16="http://schemas.microsoft.com/office/drawing/2014/main" id="{493DF8E0-5289-31A1-47DF-FA1EE710A738}"/>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mlns="">
        <xdr:sp macro="" textlink="">
          <xdr:nvSpPr>
            <xdr:cNvPr id="0" name=""/>
            <xdr:cNvSpPr>
              <a:spLocks noTextEdit="1"/>
            </xdr:cNvSpPr>
          </xdr:nvSpPr>
          <xdr:spPr>
            <a:xfrm>
              <a:off x="10792278" y="333829"/>
              <a:ext cx="3912508" cy="48033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335189</xdr:colOff>
      <xdr:row>1</xdr:row>
      <xdr:rowOff>133805</xdr:rowOff>
    </xdr:from>
    <xdr:to>
      <xdr:col>29</xdr:col>
      <xdr:colOff>242660</xdr:colOff>
      <xdr:row>4</xdr:row>
      <xdr:rowOff>38555</xdr:rowOff>
    </xdr:to>
    <mc:AlternateContent xmlns:mc="http://schemas.openxmlformats.org/markup-compatibility/2006" xmlns:a14="http://schemas.microsoft.com/office/drawing/2010/main">
      <mc:Choice Requires="a14">
        <xdr:graphicFrame macro="">
          <xdr:nvGraphicFramePr>
            <xdr:cNvPr id="36" name="Region">
              <a:extLst>
                <a:ext uri="{FF2B5EF4-FFF2-40B4-BE49-F238E27FC236}">
                  <a16:creationId xmlns:a16="http://schemas.microsoft.com/office/drawing/2014/main" id="{78CAD463-BE65-AE8E-5D64-75347D222C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813189" y="324305"/>
              <a:ext cx="2923721" cy="47625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451310</xdr:colOff>
      <xdr:row>5</xdr:row>
      <xdr:rowOff>79375</xdr:rowOff>
    </xdr:from>
    <xdr:to>
      <xdr:col>11</xdr:col>
      <xdr:colOff>235863</xdr:colOff>
      <xdr:row>11</xdr:row>
      <xdr:rowOff>30775</xdr:rowOff>
    </xdr:to>
    <xdr:sp macro="" textlink="">
      <xdr:nvSpPr>
        <xdr:cNvPr id="40" name="Rectangle: Rounded Corners 39">
          <a:extLst>
            <a:ext uri="{FF2B5EF4-FFF2-40B4-BE49-F238E27FC236}">
              <a16:creationId xmlns:a16="http://schemas.microsoft.com/office/drawing/2014/main" id="{EF10ED1E-D2AA-456D-8255-48B43BB29AA2}"/>
            </a:ext>
          </a:extLst>
        </xdr:cNvPr>
        <xdr:cNvSpPr/>
      </xdr:nvSpPr>
      <xdr:spPr>
        <a:xfrm>
          <a:off x="5349881" y="1031875"/>
          <a:ext cx="1621518" cy="1094400"/>
        </a:xfrm>
        <a:prstGeom prst="roundRect">
          <a:avLst>
            <a:gd name="adj" fmla="val 14506"/>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8</xdr:col>
      <xdr:colOff>555625</xdr:colOff>
      <xdr:row>5</xdr:row>
      <xdr:rowOff>78438</xdr:rowOff>
    </xdr:from>
    <xdr:ext cx="184731" cy="311496"/>
    <xdr:sp macro="" textlink="">
      <xdr:nvSpPr>
        <xdr:cNvPr id="41" name="TextBox 40">
          <a:extLst>
            <a:ext uri="{FF2B5EF4-FFF2-40B4-BE49-F238E27FC236}">
              <a16:creationId xmlns:a16="http://schemas.microsoft.com/office/drawing/2014/main" id="{4B00DE8D-F5A3-F973-9EFF-90E56BB20E61}"/>
            </a:ext>
          </a:extLst>
        </xdr:cNvPr>
        <xdr:cNvSpPr txBox="1"/>
      </xdr:nvSpPr>
      <xdr:spPr>
        <a:xfrm>
          <a:off x="5454196" y="1030938"/>
          <a:ext cx="184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400" b="1">
            <a:solidFill>
              <a:schemeClr val="tx1"/>
            </a:solidFill>
          </a:endParaRPr>
        </a:p>
      </xdr:txBody>
    </xdr:sp>
    <xdr:clientData/>
  </xdr:oneCellAnchor>
  <xdr:oneCellAnchor>
    <xdr:from>
      <xdr:col>8</xdr:col>
      <xdr:colOff>492125</xdr:colOff>
      <xdr:row>8</xdr:row>
      <xdr:rowOff>156977</xdr:rowOff>
    </xdr:from>
    <xdr:ext cx="1460499" cy="342786"/>
    <xdr:sp macro="" textlink="'Customers Account'!X9">
      <xdr:nvSpPr>
        <xdr:cNvPr id="42" name="TextBox 41">
          <a:extLst>
            <a:ext uri="{FF2B5EF4-FFF2-40B4-BE49-F238E27FC236}">
              <a16:creationId xmlns:a16="http://schemas.microsoft.com/office/drawing/2014/main" id="{362E698E-B781-508E-3287-96F7012AE778}"/>
            </a:ext>
          </a:extLst>
        </xdr:cNvPr>
        <xdr:cNvSpPr txBox="1"/>
      </xdr:nvSpPr>
      <xdr:spPr>
        <a:xfrm>
          <a:off x="5318125" y="1680977"/>
          <a:ext cx="146049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FF42AA6-54E6-43F0-9034-42EC01E93D80}" type="TxLink">
            <a:rPr lang="en-US" sz="1600" b="1" i="0" u="none" strike="noStrike">
              <a:solidFill>
                <a:schemeClr val="tx1"/>
              </a:solidFill>
              <a:latin typeface="Calibri"/>
              <a:cs typeface="Calibri"/>
            </a:rPr>
            <a:pPr/>
            <a:t> </a:t>
          </a:fld>
          <a:endParaRPr lang="en-CA" sz="1600" b="1">
            <a:solidFill>
              <a:schemeClr val="tx1"/>
            </a:solidFill>
          </a:endParaRPr>
        </a:p>
      </xdr:txBody>
    </xdr:sp>
    <xdr:clientData/>
  </xdr:oneCellAnchor>
  <xdr:oneCellAnchor>
    <xdr:from>
      <xdr:col>8</xdr:col>
      <xdr:colOff>513675</xdr:colOff>
      <xdr:row>5</xdr:row>
      <xdr:rowOff>78437</xdr:rowOff>
    </xdr:from>
    <xdr:ext cx="1459502" cy="275961"/>
    <xdr:sp macro="" textlink="">
      <xdr:nvSpPr>
        <xdr:cNvPr id="43" name="TextBox 42">
          <a:extLst>
            <a:ext uri="{FF2B5EF4-FFF2-40B4-BE49-F238E27FC236}">
              <a16:creationId xmlns:a16="http://schemas.microsoft.com/office/drawing/2014/main" id="{7F72A13A-D84C-3B60-EAC7-5342CC97B32D}"/>
            </a:ext>
          </a:extLst>
        </xdr:cNvPr>
        <xdr:cNvSpPr txBox="1"/>
      </xdr:nvSpPr>
      <xdr:spPr>
        <a:xfrm>
          <a:off x="5371425" y="1030937"/>
          <a:ext cx="1459502" cy="2759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CA" sz="1400" b="1">
              <a:solidFill>
                <a:schemeClr val="tx1"/>
              </a:solidFill>
              <a:latin typeface="Bookman Old Style" panose="02050604050505020204" pitchFamily="18" charset="0"/>
            </a:rPr>
            <a:t>Total</a:t>
          </a:r>
          <a:r>
            <a:rPr lang="en-CA" sz="1400" b="1" baseline="0">
              <a:solidFill>
                <a:schemeClr val="tx1"/>
              </a:solidFill>
              <a:latin typeface="Bookman Old Style" panose="02050604050505020204" pitchFamily="18" charset="0"/>
            </a:rPr>
            <a:t> Balance</a:t>
          </a:r>
          <a:endParaRPr lang="en-CA" sz="1400" b="1">
            <a:solidFill>
              <a:schemeClr val="tx1"/>
            </a:solidFill>
            <a:latin typeface="Bookman Old Style" panose="02050604050505020204" pitchFamily="18" charset="0"/>
          </a:endParaRPr>
        </a:p>
      </xdr:txBody>
    </xdr:sp>
    <xdr:clientData/>
  </xdr:oneCellAnchor>
  <xdr:oneCellAnchor>
    <xdr:from>
      <xdr:col>11</xdr:col>
      <xdr:colOff>158750</xdr:colOff>
      <xdr:row>8</xdr:row>
      <xdr:rowOff>156977</xdr:rowOff>
    </xdr:from>
    <xdr:ext cx="231025" cy="342786"/>
    <xdr:sp macro="" textlink="'Customers Account'!X19">
      <xdr:nvSpPr>
        <xdr:cNvPr id="44" name="TextBox 43">
          <a:extLst>
            <a:ext uri="{FF2B5EF4-FFF2-40B4-BE49-F238E27FC236}">
              <a16:creationId xmlns:a16="http://schemas.microsoft.com/office/drawing/2014/main" id="{FD14849B-CD60-5431-BDCA-FBA9F7F8D3C7}"/>
            </a:ext>
          </a:extLst>
        </xdr:cNvPr>
        <xdr:cNvSpPr txBox="1"/>
      </xdr:nvSpPr>
      <xdr:spPr>
        <a:xfrm>
          <a:off x="6838156" y="1680977"/>
          <a:ext cx="23102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8308503-3856-40F2-BCB2-02A6D635F2D3}" type="TxLink">
            <a:rPr lang="en-US" sz="1600" b="1" i="0" u="none" strike="noStrike">
              <a:solidFill>
                <a:schemeClr val="tx1"/>
              </a:solidFill>
              <a:latin typeface="Calibri"/>
              <a:cs typeface="Calibri"/>
            </a:rPr>
            <a:pPr/>
            <a:t> </a:t>
          </a:fld>
          <a:endParaRPr lang="en-CA" sz="1600" b="1">
            <a:solidFill>
              <a:schemeClr val="tx1"/>
            </a:solidFill>
          </a:endParaRPr>
        </a:p>
      </xdr:txBody>
    </xdr:sp>
    <xdr:clientData/>
  </xdr:oneCellAnchor>
  <xdr:twoCellAnchor>
    <xdr:from>
      <xdr:col>1</xdr:col>
      <xdr:colOff>363651</xdr:colOff>
      <xdr:row>12</xdr:row>
      <xdr:rowOff>46717</xdr:rowOff>
    </xdr:from>
    <xdr:to>
      <xdr:col>6</xdr:col>
      <xdr:colOff>384968</xdr:colOff>
      <xdr:row>32</xdr:row>
      <xdr:rowOff>41275</xdr:rowOff>
    </xdr:to>
    <xdr:sp macro="" textlink="">
      <xdr:nvSpPr>
        <xdr:cNvPr id="46" name="Rectangle: Rounded Corners 45">
          <a:extLst>
            <a:ext uri="{FF2B5EF4-FFF2-40B4-BE49-F238E27FC236}">
              <a16:creationId xmlns:a16="http://schemas.microsoft.com/office/drawing/2014/main" id="{721854B1-C478-4097-A402-5DFF45E0D345}"/>
            </a:ext>
          </a:extLst>
        </xdr:cNvPr>
        <xdr:cNvSpPr/>
      </xdr:nvSpPr>
      <xdr:spPr>
        <a:xfrm>
          <a:off x="970870" y="2332717"/>
          <a:ext cx="3057411" cy="3804558"/>
        </a:xfrm>
        <a:prstGeom prst="roundRect">
          <a:avLst>
            <a:gd name="adj" fmla="val 7157"/>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xdr:col>
      <xdr:colOff>396875</xdr:colOff>
      <xdr:row>17</xdr:row>
      <xdr:rowOff>130968</xdr:rowOff>
    </xdr:from>
    <xdr:to>
      <xdr:col>6</xdr:col>
      <xdr:colOff>285750</xdr:colOff>
      <xdr:row>31</xdr:row>
      <xdr:rowOff>190499</xdr:rowOff>
    </xdr:to>
    <xdr:graphicFrame macro="">
      <xdr:nvGraphicFramePr>
        <xdr:cNvPr id="47" name="Chart 46">
          <a:extLst>
            <a:ext uri="{FF2B5EF4-FFF2-40B4-BE49-F238E27FC236}">
              <a16:creationId xmlns:a16="http://schemas.microsoft.com/office/drawing/2014/main" id="{BF900CEF-6271-45D9-A530-147D98018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8</xdr:col>
      <xdr:colOff>471155</xdr:colOff>
      <xdr:row>8</xdr:row>
      <xdr:rowOff>7937</xdr:rowOff>
    </xdr:from>
    <xdr:ext cx="1690686" cy="405432"/>
    <xdr:sp macro="" textlink="'Customer'!S14">
      <xdr:nvSpPr>
        <xdr:cNvPr id="48" name="TextBox 47">
          <a:extLst>
            <a:ext uri="{FF2B5EF4-FFF2-40B4-BE49-F238E27FC236}">
              <a16:creationId xmlns:a16="http://schemas.microsoft.com/office/drawing/2014/main" id="{2D74500A-A1FD-0B20-D8AD-07D60A939961}"/>
            </a:ext>
          </a:extLst>
        </xdr:cNvPr>
        <xdr:cNvSpPr txBox="1"/>
      </xdr:nvSpPr>
      <xdr:spPr>
        <a:xfrm>
          <a:off x="5369726" y="1531937"/>
          <a:ext cx="169068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8072414-6821-4E1C-9870-BEA8C168ED58}" type="TxLink">
            <a:rPr lang="en-US" sz="2000" b="1" i="0" u="none" strike="noStrike">
              <a:solidFill>
                <a:srgbClr val="000000"/>
              </a:solidFill>
              <a:latin typeface="Calibri"/>
              <a:cs typeface="Calibri"/>
            </a:rPr>
            <a:pPr/>
            <a:t>$145,013,181</a:t>
          </a:fld>
          <a:endParaRPr lang="en-CA" sz="2000" b="1"/>
        </a:p>
      </xdr:txBody>
    </xdr:sp>
    <xdr:clientData/>
  </xdr:oneCellAnchor>
  <xdr:oneCellAnchor>
    <xdr:from>
      <xdr:col>1</xdr:col>
      <xdr:colOff>381000</xdr:colOff>
      <xdr:row>12</xdr:row>
      <xdr:rowOff>126999</xdr:rowOff>
    </xdr:from>
    <xdr:ext cx="2928937" cy="513859"/>
    <xdr:sp macro="" textlink="">
      <xdr:nvSpPr>
        <xdr:cNvPr id="49" name="TextBox 48">
          <a:extLst>
            <a:ext uri="{FF2B5EF4-FFF2-40B4-BE49-F238E27FC236}">
              <a16:creationId xmlns:a16="http://schemas.microsoft.com/office/drawing/2014/main" id="{405159ED-2364-B57F-B106-7459E7FD7573}"/>
            </a:ext>
          </a:extLst>
        </xdr:cNvPr>
        <xdr:cNvSpPr txBox="1"/>
      </xdr:nvSpPr>
      <xdr:spPr>
        <a:xfrm>
          <a:off x="988219" y="2412999"/>
          <a:ext cx="2928937" cy="513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400" b="1" baseline="0">
              <a:solidFill>
                <a:schemeClr val="tx1"/>
              </a:solidFill>
              <a:latin typeface="Bookman Old Style" panose="02050604050505020204" pitchFamily="18" charset="0"/>
            </a:rPr>
            <a:t>Credit score of Approved and Rejected Loans</a:t>
          </a:r>
          <a:endParaRPr lang="en-CA" sz="1400" b="1">
            <a:solidFill>
              <a:schemeClr val="tx1"/>
            </a:solidFill>
            <a:latin typeface="Bookman Old Style" panose="02050604050505020204" pitchFamily="18" charset="0"/>
          </a:endParaRPr>
        </a:p>
      </xdr:txBody>
    </xdr:sp>
    <xdr:clientData/>
  </xdr:oneCellAnchor>
  <xdr:twoCellAnchor>
    <xdr:from>
      <xdr:col>29</xdr:col>
      <xdr:colOff>440530</xdr:colOff>
      <xdr:row>1</xdr:row>
      <xdr:rowOff>130969</xdr:rowOff>
    </xdr:from>
    <xdr:to>
      <xdr:col>36</xdr:col>
      <xdr:colOff>392907</xdr:colOff>
      <xdr:row>17</xdr:row>
      <xdr:rowOff>154781</xdr:rowOff>
    </xdr:to>
    <xdr:sp macro="" textlink="">
      <xdr:nvSpPr>
        <xdr:cNvPr id="50" name="Rectangle: Rounded Corners 49">
          <a:extLst>
            <a:ext uri="{FF2B5EF4-FFF2-40B4-BE49-F238E27FC236}">
              <a16:creationId xmlns:a16="http://schemas.microsoft.com/office/drawing/2014/main" id="{4388713B-2C34-4B8C-AC0F-225941F831C0}"/>
            </a:ext>
          </a:extLst>
        </xdr:cNvPr>
        <xdr:cNvSpPr/>
      </xdr:nvSpPr>
      <xdr:spPr>
        <a:xfrm>
          <a:off x="18049874" y="321469"/>
          <a:ext cx="4202908" cy="3071812"/>
        </a:xfrm>
        <a:prstGeom prst="roundRect">
          <a:avLst>
            <a:gd name="adj" fmla="val 13061"/>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29</xdr:col>
      <xdr:colOff>587369</xdr:colOff>
      <xdr:row>4</xdr:row>
      <xdr:rowOff>166687</xdr:rowOff>
    </xdr:from>
    <xdr:to>
      <xdr:col>36</xdr:col>
      <xdr:colOff>476244</xdr:colOff>
      <xdr:row>17</xdr:row>
      <xdr:rowOff>11906</xdr:rowOff>
    </xdr:to>
    <xdr:graphicFrame macro="">
      <xdr:nvGraphicFramePr>
        <xdr:cNvPr id="51" name="Chart 50">
          <a:extLst>
            <a:ext uri="{FF2B5EF4-FFF2-40B4-BE49-F238E27FC236}">
              <a16:creationId xmlns:a16="http://schemas.microsoft.com/office/drawing/2014/main" id="{DD88ACDA-B384-40EC-9A26-EAA8C075C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29</xdr:col>
      <xdr:colOff>547682</xdr:colOff>
      <xdr:row>1</xdr:row>
      <xdr:rowOff>119081</xdr:rowOff>
    </xdr:from>
    <xdr:ext cx="4034246" cy="333168"/>
    <xdr:sp macro="" textlink="">
      <xdr:nvSpPr>
        <xdr:cNvPr id="52" name="TextBox 51">
          <a:extLst>
            <a:ext uri="{FF2B5EF4-FFF2-40B4-BE49-F238E27FC236}">
              <a16:creationId xmlns:a16="http://schemas.microsoft.com/office/drawing/2014/main" id="{B7830D0F-BA52-7BEC-5961-D62780E5DFF0}"/>
            </a:ext>
          </a:extLst>
        </xdr:cNvPr>
        <xdr:cNvSpPr txBox="1"/>
      </xdr:nvSpPr>
      <xdr:spPr>
        <a:xfrm>
          <a:off x="18157026" y="309581"/>
          <a:ext cx="4034246"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a:solidFill>
                <a:schemeClr val="tx1"/>
              </a:solidFill>
              <a:latin typeface="Bookman Old Style" panose="02050604050505020204" pitchFamily="18" charset="0"/>
            </a:rPr>
            <a:t>Average</a:t>
          </a:r>
          <a:r>
            <a:rPr lang="en-CA" sz="1600" b="1" baseline="0">
              <a:solidFill>
                <a:schemeClr val="tx1"/>
              </a:solidFill>
              <a:latin typeface="Bookman Old Style" panose="02050604050505020204" pitchFamily="18" charset="0"/>
            </a:rPr>
            <a:t> Customer Segment Balance</a:t>
          </a:r>
          <a:endParaRPr lang="en-CA" sz="1600" b="1">
            <a:solidFill>
              <a:schemeClr val="tx1"/>
            </a:solidFill>
            <a:latin typeface="Bookman Old Style" panose="02050604050505020204" pitchFamily="18" charset="0"/>
          </a:endParaRPr>
        </a:p>
      </xdr:txBody>
    </xdr:sp>
    <xdr:clientData/>
  </xdr:oneCellAnchor>
  <xdr:twoCellAnchor>
    <xdr:from>
      <xdr:col>24</xdr:col>
      <xdr:colOff>571501</xdr:colOff>
      <xdr:row>18</xdr:row>
      <xdr:rowOff>95250</xdr:rowOff>
    </xdr:from>
    <xdr:to>
      <xdr:col>36</xdr:col>
      <xdr:colOff>384954</xdr:colOff>
      <xdr:row>32</xdr:row>
      <xdr:rowOff>47625</xdr:rowOff>
    </xdr:to>
    <xdr:sp macro="" textlink="">
      <xdr:nvSpPr>
        <xdr:cNvPr id="53" name="Rectangle: Rounded Corners 52">
          <a:extLst>
            <a:ext uri="{FF2B5EF4-FFF2-40B4-BE49-F238E27FC236}">
              <a16:creationId xmlns:a16="http://schemas.microsoft.com/office/drawing/2014/main" id="{969E232B-F3A1-47D7-9B32-CEA28018A8BA}"/>
            </a:ext>
          </a:extLst>
        </xdr:cNvPr>
        <xdr:cNvSpPr/>
      </xdr:nvSpPr>
      <xdr:spPr>
        <a:xfrm>
          <a:off x="15144751" y="3524250"/>
          <a:ext cx="7100078" cy="2619375"/>
        </a:xfrm>
        <a:prstGeom prst="roundRect">
          <a:avLst>
            <a:gd name="adj" fmla="val 13061"/>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25</xdr:col>
      <xdr:colOff>261938</xdr:colOff>
      <xdr:row>20</xdr:row>
      <xdr:rowOff>190499</xdr:rowOff>
    </xdr:from>
    <xdr:to>
      <xdr:col>36</xdr:col>
      <xdr:colOff>289704</xdr:colOff>
      <xdr:row>31</xdr:row>
      <xdr:rowOff>83343</xdr:rowOff>
    </xdr:to>
    <xdr:graphicFrame macro="">
      <xdr:nvGraphicFramePr>
        <xdr:cNvPr id="54" name="Chart 53">
          <a:extLst>
            <a:ext uri="{FF2B5EF4-FFF2-40B4-BE49-F238E27FC236}">
              <a16:creationId xmlns:a16="http://schemas.microsoft.com/office/drawing/2014/main" id="{89C6EF33-2E59-4892-B4DF-6C9A6622D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xdr:col>
      <xdr:colOff>559593</xdr:colOff>
      <xdr:row>8</xdr:row>
      <xdr:rowOff>23813</xdr:rowOff>
    </xdr:from>
    <xdr:ext cx="1352422" cy="405432"/>
    <xdr:sp macro="" textlink="'Customer'!S23">
      <xdr:nvSpPr>
        <xdr:cNvPr id="2" name="TextBox 1">
          <a:extLst>
            <a:ext uri="{FF2B5EF4-FFF2-40B4-BE49-F238E27FC236}">
              <a16:creationId xmlns:a16="http://schemas.microsoft.com/office/drawing/2014/main" id="{37F72FE3-C36F-DE5A-FC9B-1D1E2422D3B9}"/>
            </a:ext>
          </a:extLst>
        </xdr:cNvPr>
        <xdr:cNvSpPr txBox="1"/>
      </xdr:nvSpPr>
      <xdr:spPr>
        <a:xfrm>
          <a:off x="1166812" y="1547813"/>
          <a:ext cx="135242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B240E16-5F68-4AA8-9E60-44856F4320F1}" type="TxLink">
            <a:rPr lang="en-US" sz="2000" b="1" i="0" u="none" strike="noStrike">
              <a:solidFill>
                <a:schemeClr val="tx1"/>
              </a:solidFill>
              <a:latin typeface="Calibri"/>
              <a:cs typeface="Calibri"/>
            </a:rPr>
            <a:pPr/>
            <a:t>$3,677,399</a:t>
          </a:fld>
          <a:endParaRPr lang="en-CA" sz="2000" b="1">
            <a:solidFill>
              <a:schemeClr val="tx1"/>
            </a:solidFill>
          </a:endParaRPr>
        </a:p>
      </xdr:txBody>
    </xdr:sp>
    <xdr:clientData/>
  </xdr:oneCellAnchor>
  <xdr:oneCellAnchor>
    <xdr:from>
      <xdr:col>1</xdr:col>
      <xdr:colOff>367392</xdr:colOff>
      <xdr:row>3</xdr:row>
      <xdr:rowOff>13608</xdr:rowOff>
    </xdr:from>
    <xdr:ext cx="3648628" cy="311496"/>
    <xdr:sp macro="" textlink="">
      <xdr:nvSpPr>
        <xdr:cNvPr id="5" name="TextBox 4">
          <a:extLst>
            <a:ext uri="{FF2B5EF4-FFF2-40B4-BE49-F238E27FC236}">
              <a16:creationId xmlns:a16="http://schemas.microsoft.com/office/drawing/2014/main" id="{72725DD2-EA0C-2D64-B9E0-99516E322DDD}"/>
            </a:ext>
          </a:extLst>
        </xdr:cNvPr>
        <xdr:cNvSpPr txBox="1"/>
      </xdr:nvSpPr>
      <xdr:spPr>
        <a:xfrm>
          <a:off x="979713" y="585108"/>
          <a:ext cx="364862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a:solidFill>
                <a:srgbClr val="385F7C"/>
              </a:solidFill>
            </a:rPr>
            <a:t>An Overview</a:t>
          </a:r>
          <a:r>
            <a:rPr lang="en-CA" sz="1400" baseline="0">
              <a:solidFill>
                <a:srgbClr val="385F7C"/>
              </a:solidFill>
            </a:rPr>
            <a:t> of MetroBank Customer's account</a:t>
          </a:r>
          <a:endParaRPr lang="en-CA" sz="1400">
            <a:solidFill>
              <a:srgbClr val="385F7C"/>
            </a:solidFill>
          </a:endParaRPr>
        </a:p>
      </xdr:txBody>
    </xdr:sp>
    <xdr:clientData/>
  </xdr:oneCellAnchor>
  <xdr:oneCellAnchor>
    <xdr:from>
      <xdr:col>1</xdr:col>
      <xdr:colOff>357188</xdr:colOff>
      <xdr:row>15</xdr:row>
      <xdr:rowOff>71437</xdr:rowOff>
    </xdr:from>
    <xdr:ext cx="2803140" cy="280205"/>
    <xdr:sp macro="" textlink="">
      <xdr:nvSpPr>
        <xdr:cNvPr id="6" name="TextBox 5">
          <a:extLst>
            <a:ext uri="{FF2B5EF4-FFF2-40B4-BE49-F238E27FC236}">
              <a16:creationId xmlns:a16="http://schemas.microsoft.com/office/drawing/2014/main" id="{3A0E3AA1-9FF3-E0BA-1A2D-27F24E4A28FC}"/>
            </a:ext>
          </a:extLst>
        </xdr:cNvPr>
        <xdr:cNvSpPr txBox="1"/>
      </xdr:nvSpPr>
      <xdr:spPr>
        <a:xfrm>
          <a:off x="964407" y="2928937"/>
          <a:ext cx="280314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200">
              <a:solidFill>
                <a:sysClr val="windowText" lastClr="000000"/>
              </a:solidFill>
            </a:rPr>
            <a:t>Rejected</a:t>
          </a:r>
          <a:r>
            <a:rPr lang="en-CA" sz="1200" baseline="0">
              <a:solidFill>
                <a:sysClr val="windowText" lastClr="000000"/>
              </a:solidFill>
            </a:rPr>
            <a:t> Loans have a higher Credit Score</a:t>
          </a:r>
          <a:endParaRPr lang="en-CA" sz="1200">
            <a:solidFill>
              <a:sysClr val="windowText" lastClr="000000"/>
            </a:solidFill>
          </a:endParaRPr>
        </a:p>
      </xdr:txBody>
    </xdr:sp>
    <xdr:clientData/>
  </xdr:oneCellAnchor>
  <xdr:oneCellAnchor>
    <xdr:from>
      <xdr:col>14</xdr:col>
      <xdr:colOff>250031</xdr:colOff>
      <xdr:row>19</xdr:row>
      <xdr:rowOff>142862</xdr:rowOff>
    </xdr:from>
    <xdr:ext cx="3132845" cy="280205"/>
    <xdr:sp macro="" textlink="">
      <xdr:nvSpPr>
        <xdr:cNvPr id="7" name="TextBox 6">
          <a:extLst>
            <a:ext uri="{FF2B5EF4-FFF2-40B4-BE49-F238E27FC236}">
              <a16:creationId xmlns:a16="http://schemas.microsoft.com/office/drawing/2014/main" id="{4302AB31-DA74-81BD-D08F-104CAC66399E}"/>
            </a:ext>
          </a:extLst>
        </xdr:cNvPr>
        <xdr:cNvSpPr txBox="1"/>
      </xdr:nvSpPr>
      <xdr:spPr>
        <a:xfrm>
          <a:off x="8751094" y="3762362"/>
          <a:ext cx="313284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200"/>
            <a:t>Savings</a:t>
          </a:r>
          <a:r>
            <a:rPr lang="en-CA" sz="1200" baseline="0"/>
            <a:t> account has the most number of users </a:t>
          </a:r>
          <a:endParaRPr lang="en-CA" sz="1200"/>
        </a:p>
      </xdr:txBody>
    </xdr:sp>
    <xdr:clientData/>
  </xdr:oneCellAnchor>
  <xdr:oneCellAnchor>
    <xdr:from>
      <xdr:col>29</xdr:col>
      <xdr:colOff>571495</xdr:colOff>
      <xdr:row>3</xdr:row>
      <xdr:rowOff>11925</xdr:rowOff>
    </xdr:from>
    <xdr:ext cx="2692917" cy="280205"/>
    <xdr:sp macro="" textlink="">
      <xdr:nvSpPr>
        <xdr:cNvPr id="8" name="TextBox 7">
          <a:extLst>
            <a:ext uri="{FF2B5EF4-FFF2-40B4-BE49-F238E27FC236}">
              <a16:creationId xmlns:a16="http://schemas.microsoft.com/office/drawing/2014/main" id="{CC7D6C32-F49A-BE3C-77F6-283CCC0B7161}"/>
            </a:ext>
          </a:extLst>
        </xdr:cNvPr>
        <xdr:cNvSpPr txBox="1"/>
      </xdr:nvSpPr>
      <xdr:spPr>
        <a:xfrm>
          <a:off x="18180839" y="583425"/>
          <a:ext cx="269291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200"/>
            <a:t>Private</a:t>
          </a:r>
          <a:r>
            <a:rPr lang="en-CA" sz="1200" baseline="0"/>
            <a:t> has the Highest Average balance</a:t>
          </a:r>
          <a:endParaRPr lang="en-CA" sz="1200"/>
        </a:p>
      </xdr:txBody>
    </xdr:sp>
    <xdr:clientData/>
  </xdr:oneCellAnchor>
  <xdr:oneCellAnchor>
    <xdr:from>
      <xdr:col>6</xdr:col>
      <xdr:colOff>511968</xdr:colOff>
      <xdr:row>14</xdr:row>
      <xdr:rowOff>95249</xdr:rowOff>
    </xdr:from>
    <xdr:ext cx="4250531" cy="468077"/>
    <xdr:sp macro="" textlink="">
      <xdr:nvSpPr>
        <xdr:cNvPr id="9" name="TextBox 8">
          <a:extLst>
            <a:ext uri="{FF2B5EF4-FFF2-40B4-BE49-F238E27FC236}">
              <a16:creationId xmlns:a16="http://schemas.microsoft.com/office/drawing/2014/main" id="{69AF0886-ED52-55A0-3D46-6EBCAE62D172}"/>
            </a:ext>
          </a:extLst>
        </xdr:cNvPr>
        <xdr:cNvSpPr txBox="1"/>
      </xdr:nvSpPr>
      <xdr:spPr>
        <a:xfrm>
          <a:off x="4155281" y="2762249"/>
          <a:ext cx="4250531"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200"/>
            <a:t>The</a:t>
          </a:r>
          <a:r>
            <a:rPr lang="en-CA" sz="1200" baseline="0"/>
            <a:t> region with most accounts is the South having a total of 235 </a:t>
          </a:r>
        </a:p>
        <a:p>
          <a:r>
            <a:rPr lang="en-CA" sz="1200" baseline="0"/>
            <a:t>accounts</a:t>
          </a:r>
          <a:endParaRPr lang="en-CA" sz="1200"/>
        </a:p>
      </xdr:txBody>
    </xdr:sp>
    <xdr:clientData/>
  </xdr:oneCellAnchor>
  <xdr:oneCellAnchor>
    <xdr:from>
      <xdr:col>25</xdr:col>
      <xdr:colOff>154776</xdr:colOff>
      <xdr:row>18</xdr:row>
      <xdr:rowOff>142874</xdr:rowOff>
    </xdr:from>
    <xdr:ext cx="2716898" cy="333168"/>
    <xdr:sp macro="" textlink="">
      <xdr:nvSpPr>
        <xdr:cNvPr id="13" name="TextBox 12">
          <a:extLst>
            <a:ext uri="{FF2B5EF4-FFF2-40B4-BE49-F238E27FC236}">
              <a16:creationId xmlns:a16="http://schemas.microsoft.com/office/drawing/2014/main" id="{612C0712-436D-DC38-607B-F488AC1DF529}"/>
            </a:ext>
          </a:extLst>
        </xdr:cNvPr>
        <xdr:cNvSpPr txBox="1"/>
      </xdr:nvSpPr>
      <xdr:spPr>
        <a:xfrm>
          <a:off x="15335245" y="3571874"/>
          <a:ext cx="2716898"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a:latin typeface="Bookman Old Style" panose="02050604050505020204" pitchFamily="18" charset="0"/>
            </a:rPr>
            <a:t>AVG Age Group Balance</a:t>
          </a:r>
        </a:p>
      </xdr:txBody>
    </xdr:sp>
    <xdr:clientData/>
  </xdr:oneCellAnchor>
  <xdr:oneCellAnchor>
    <xdr:from>
      <xdr:col>25</xdr:col>
      <xdr:colOff>166687</xdr:colOff>
      <xdr:row>20</xdr:row>
      <xdr:rowOff>11907</xdr:rowOff>
    </xdr:from>
    <xdr:ext cx="2872453" cy="280205"/>
    <xdr:sp macro="" textlink="">
      <xdr:nvSpPr>
        <xdr:cNvPr id="30" name="TextBox 29">
          <a:extLst>
            <a:ext uri="{FF2B5EF4-FFF2-40B4-BE49-F238E27FC236}">
              <a16:creationId xmlns:a16="http://schemas.microsoft.com/office/drawing/2014/main" id="{1B9943C4-0E04-DAA5-28F3-6C012110DBD1}"/>
            </a:ext>
          </a:extLst>
        </xdr:cNvPr>
        <xdr:cNvSpPr txBox="1"/>
      </xdr:nvSpPr>
      <xdr:spPr>
        <a:xfrm>
          <a:off x="15347156" y="3821907"/>
          <a:ext cx="287245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200"/>
            <a:t>Millenials has the highest</a:t>
          </a:r>
          <a:r>
            <a:rPr lang="en-CA" sz="1200" baseline="0"/>
            <a:t> Average balance </a:t>
          </a:r>
        </a:p>
      </xdr:txBody>
    </xdr:sp>
    <xdr:clientData/>
  </xdr:oneCellAnchor>
  <xdr:oneCellAnchor>
    <xdr:from>
      <xdr:col>14</xdr:col>
      <xdr:colOff>357186</xdr:colOff>
      <xdr:row>6</xdr:row>
      <xdr:rowOff>95250</xdr:rowOff>
    </xdr:from>
    <xdr:ext cx="5183278" cy="280205"/>
    <xdr:sp macro="" textlink="">
      <xdr:nvSpPr>
        <xdr:cNvPr id="32" name="TextBox 31">
          <a:extLst>
            <a:ext uri="{FF2B5EF4-FFF2-40B4-BE49-F238E27FC236}">
              <a16:creationId xmlns:a16="http://schemas.microsoft.com/office/drawing/2014/main" id="{AB54A169-0087-6571-CDA4-5049AFC45A62}"/>
            </a:ext>
          </a:extLst>
        </xdr:cNvPr>
        <xdr:cNvSpPr txBox="1"/>
      </xdr:nvSpPr>
      <xdr:spPr>
        <a:xfrm>
          <a:off x="8858249" y="1238250"/>
          <a:ext cx="518327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200"/>
            <a:t>The</a:t>
          </a:r>
          <a:r>
            <a:rPr lang="en-CA" sz="1200" baseline="0"/>
            <a:t> Year with the Highest average balance is 2016 with the balance of $303,578</a:t>
          </a:r>
          <a:endParaRPr lang="en-CA" sz="12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5.516077199078" createdVersion="8" refreshedVersion="8" minRefreshableVersion="3" recordCount="800" xr:uid="{C549583A-6399-4ACA-974C-71B5A2E06EA8}">
  <cacheSource type="worksheet">
    <worksheetSource name="Linked"/>
  </cacheSource>
  <cacheFields count="21">
    <cacheField name="CustomerID" numFmtId="0">
      <sharedItems/>
    </cacheField>
    <cacheField name="AccountID" numFmtId="0">
      <sharedItems/>
    </cacheField>
    <cacheField name="Name" numFmtId="0">
      <sharedItems/>
    </cacheField>
    <cacheField name="Gender" numFmtId="0">
      <sharedItems/>
    </cacheField>
    <cacheField name="Age" numFmtId="0">
      <sharedItems containsSemiMixedTypes="0" containsString="0" containsNumber="1" containsInteger="1" minValue="18" maxValue="74"/>
    </cacheField>
    <cacheField name="Age Bracket" numFmtId="0">
      <sharedItems count="4">
        <s v="Gen X"/>
        <s v="Millennials"/>
        <s v="Gen z"/>
        <s v="Boomers"/>
      </sharedItems>
    </cacheField>
    <cacheField name="Region" numFmtId="0">
      <sharedItems count="4">
        <s v="West"/>
        <s v="North"/>
        <s v="East"/>
        <s v="South"/>
      </sharedItems>
    </cacheField>
    <cacheField name="Occupation" numFmtId="0">
      <sharedItems/>
    </cacheField>
    <cacheField name="Join Date" numFmtId="14">
      <sharedItems containsSemiMixedTypes="0" containsNonDate="0" containsDate="1" containsString="0" minDate="2015-08-23T00:00:00" maxDate="2025-08-23T00:00:00"/>
    </cacheField>
    <cacheField name="Join Year" numFmtId="0">
      <sharedItems containsSemiMixedTypes="0" containsString="0" containsNumber="1" containsInteger="1" minValue="2015" maxValue="2025" count="11">
        <n v="2017"/>
        <n v="2023"/>
        <n v="2019"/>
        <n v="2021"/>
        <n v="2020"/>
        <n v="2022"/>
        <n v="2018"/>
        <n v="2024"/>
        <n v="2025"/>
        <n v="2016"/>
        <n v="2015"/>
      </sharedItems>
    </cacheField>
    <cacheField name="Customer Duration" numFmtId="0">
      <sharedItems count="363">
        <s v="3203 days"/>
        <s v="1203 days"/>
        <s v="2607 days"/>
        <s v="1913 days"/>
        <s v="2471 days"/>
        <s v="2363 days"/>
        <s v="1750 days"/>
        <s v="1342 days"/>
        <s v="2935 days"/>
        <s v="2835 days"/>
        <s v="2167 days"/>
        <s v="3218 days"/>
        <s v="3327 days"/>
        <s v="796 days"/>
        <s v="2135 days"/>
        <s v="1530 days"/>
        <s v="623 days"/>
        <s v="538 days"/>
        <s v="964 days"/>
        <s v="360 days"/>
        <s v="2870 days"/>
        <s v="353 days"/>
        <s v="1788 days"/>
        <s v="2601 days"/>
        <s v="3357 days"/>
        <s v="1869 days"/>
        <s v="1743 days"/>
        <s v="2765 days"/>
        <s v="1318 days"/>
        <s v="1186 days"/>
        <s v="3042 days"/>
        <s v="830 days"/>
        <s v="3799 days"/>
        <s v="1126 days"/>
        <s v="3833 days"/>
        <s v="2215 days"/>
        <s v="2526 days"/>
        <s v="1775 days"/>
        <s v="447 days"/>
        <s v="2546 days"/>
        <s v="822 days"/>
        <s v="2756 days"/>
        <s v="3502 days"/>
        <s v="1287 days"/>
        <s v="3679 days"/>
        <s v="2395 days"/>
        <s v="2678 days"/>
        <s v="1731 days"/>
        <s v="524 days"/>
        <s v="3711 days"/>
        <s v="910 days"/>
        <s v="3342 days"/>
        <s v="1992 days"/>
        <s v="2144 days"/>
        <s v="2299 days"/>
        <s v="2170 days"/>
        <s v="1656 days"/>
        <s v="3948 days"/>
        <s v="2907 days"/>
        <s v="3391 days"/>
        <s v="1700 days"/>
        <s v="3668 days"/>
        <s v="3413 days"/>
        <s v="1492 days"/>
        <s v="2121 days"/>
        <s v="1817 days"/>
        <s v="542 days"/>
        <s v="2942 days"/>
        <s v="3494 days"/>
        <s v="1252 days"/>
        <s v="1290 days"/>
        <s v="3622 days"/>
        <s v="2650 days"/>
        <s v="4005 days"/>
        <s v="3455 days"/>
        <s v="1604 days"/>
        <s v="1328 days"/>
        <s v="756 days"/>
        <s v="1366 days"/>
        <s v="2573 days"/>
        <s v="3427 days"/>
        <s v="2622 days"/>
        <s v="884 days"/>
        <s v="2129 days"/>
        <s v="2829 days"/>
        <s v="2843 days"/>
        <s v="1202 days"/>
        <s v="3314 days"/>
        <s v="2125 days"/>
        <s v="3153 days"/>
        <s v="851 days"/>
        <s v="1248 days"/>
        <s v="3175 days"/>
        <s v="367 days"/>
        <s v="2903 days"/>
        <s v="637 days"/>
        <s v="767 days"/>
        <s v="2849 days"/>
        <s v="3787 days"/>
        <s v="2721 days"/>
        <s v="3497 days"/>
        <s v="567 days"/>
        <s v="1771 days"/>
        <s v="3657 days"/>
        <s v="801 days"/>
        <s v="1679 days"/>
        <s v="356 days"/>
        <s v="1059 days"/>
        <s v="1233 days"/>
        <s v="453 days"/>
        <s v="925 days"/>
        <s v="1956 days"/>
        <s v="998 days"/>
        <s v="2406 days"/>
        <s v="1959 days"/>
        <s v="433 days"/>
        <s v="2500 days"/>
        <s v="2039 days"/>
        <s v="1469 days"/>
        <s v="3713 days"/>
        <s v="2353 days"/>
        <s v="1307 days"/>
        <s v="3734 days"/>
        <s v="3683 days"/>
        <s v="3442 days"/>
        <s v="2727 days"/>
        <s v="1145 days"/>
        <s v="3362 days"/>
        <s v="2090 days"/>
        <s v="1302 days"/>
        <s v="2226 days"/>
        <s v="2397 days"/>
        <s v="1684 days"/>
        <s v="1382 days"/>
        <s v="401 days"/>
        <s v="3599 days"/>
        <s v="2477 days"/>
        <s v="3304 days"/>
        <s v="3802 days"/>
        <s v="1033 days"/>
        <s v="2020 days"/>
        <s v="2313 days"/>
        <s v="2161 days"/>
        <s v="2586 days"/>
        <s v="3271 days"/>
        <s v="712 days"/>
        <s v="3673 days"/>
        <s v="2689 days"/>
        <s v="1227 days"/>
        <s v="817 days"/>
        <s v="3313 days"/>
        <s v="1455 days"/>
        <s v="916 days"/>
        <s v="3490 days"/>
        <s v="3507 days"/>
        <s v="3870 days"/>
        <s v="1205 days"/>
        <s v="3860 days"/>
        <s v="2289 days"/>
        <s v="2136 days"/>
        <s v="1790 days"/>
        <s v="1161 days"/>
        <s v="657 days"/>
        <s v="1453 days"/>
        <s v="625 days"/>
        <s v="684 days"/>
        <s v="1716 days"/>
        <s v="3160 days"/>
        <s v="1376 days"/>
        <s v="2950 days"/>
        <s v="3663 days"/>
        <s v="1280 days"/>
        <s v="2632 days"/>
        <s v="2229 days"/>
        <s v="602 days"/>
        <s v="649 days"/>
        <s v="3964 days"/>
        <s v="1394 days"/>
        <s v="1499 days"/>
        <s v="470 days"/>
        <s v="3930 days"/>
        <s v="1065 days"/>
        <s v="719 days"/>
        <s v="3996 days"/>
        <s v="2875 days"/>
        <s v="1987 days"/>
        <s v="1072 days"/>
        <s v="3126 days"/>
        <s v="752 days"/>
        <s v="2458 days"/>
        <s v="530 days"/>
        <s v="1385 days"/>
        <s v="3960 days"/>
        <s v="1834 days"/>
        <s v="3952 days"/>
        <s v="706 days"/>
        <s v="540 days"/>
        <s v="3658 days"/>
        <s v="3197 days"/>
        <s v="2540 days"/>
        <s v="3235 days"/>
        <s v="709 days"/>
        <s v="3236 days"/>
        <s v="2464 days"/>
        <s v="1578 days"/>
        <s v="3842 days"/>
        <s v="1348 days"/>
        <s v="1444 days"/>
        <s v="1117 days"/>
        <s v="3273 days"/>
        <s v="1979 days"/>
        <s v="2486 days"/>
        <s v="2813 days"/>
        <s v="1552 days"/>
        <s v="2502 days"/>
        <s v="2767 days"/>
        <s v="1445 days"/>
        <s v="3933 days"/>
        <s v="3170 days"/>
        <s v="1977 days"/>
        <s v="2525 days"/>
        <s v="3414 days"/>
        <s v="3866 days"/>
        <s v="3174 days"/>
        <s v="857 days"/>
        <s v="3371 days"/>
        <s v="2909 days"/>
        <s v="2433 days"/>
        <s v="3192 days"/>
        <s v="1659 days"/>
        <s v="2133 days"/>
        <s v="2556 days"/>
        <s v="3131 days"/>
        <s v="1751 days"/>
        <s v="1166 days"/>
        <s v="3161 days"/>
        <s v="728 days"/>
        <s v="2415 days"/>
        <s v="2142 days"/>
        <s v="1807 days"/>
        <s v="2425 days"/>
        <s v="3094 days"/>
        <s v="2833 days"/>
        <s v="1193 days"/>
        <s v="2781 days"/>
        <s v="2354 days"/>
        <s v="1140 days"/>
        <s v="2236 days"/>
        <s v="2469 days"/>
        <s v="3939 days"/>
        <s v="1250 days"/>
        <s v="2928 days"/>
        <s v="2523 days"/>
        <s v="1744 days"/>
        <s v="2667 days"/>
        <s v="3858 days"/>
        <s v="2388 days"/>
        <s v="2484 days"/>
        <s v="1272 days"/>
        <s v="1192 days"/>
        <s v="3951 days"/>
        <s v="2898 days"/>
        <s v="1699 days"/>
        <s v="1087 days"/>
        <s v="3897 days"/>
        <s v="3222 days"/>
        <s v="1706 days"/>
        <s v="3090 days"/>
        <s v="3642 days"/>
        <s v="2517 days"/>
        <s v="872 days"/>
        <s v="1446 days"/>
        <s v="636 days"/>
        <s v="1326 days"/>
        <s v="1976 days"/>
        <s v="2249 days"/>
        <s v="2812 days"/>
        <s v="3919 days"/>
        <s v="2645 days"/>
        <s v="2627 days"/>
        <s v="758 days"/>
        <s v="1111 days"/>
        <s v="3828 days"/>
        <s v="3147 days"/>
        <s v="1899 days"/>
        <s v="3324 days"/>
        <s v="3290 days"/>
        <s v="963 days"/>
        <s v="2959 days"/>
        <s v="732 days"/>
        <s v="1887 days"/>
        <s v="1157 days"/>
        <s v="1921 days"/>
        <s v="1737 days"/>
        <s v="1783 days"/>
        <s v="2356 days"/>
        <s v="2750 days"/>
        <s v="2367 days"/>
        <s v="1942 days"/>
        <s v="2988 days"/>
        <s v="2326 days"/>
        <s v="2315 days"/>
        <s v="1150 days"/>
        <s v="1084 days"/>
        <s v="1721 days"/>
        <s v="1594 days"/>
        <s v="443 days"/>
        <s v="3738 days"/>
        <s v="749 days"/>
        <s v="3947 days"/>
        <s v="852 days"/>
        <s v="3571 days"/>
        <s v="647 days"/>
        <s v="1247 days"/>
        <s v="1351 days"/>
        <s v="2993 days"/>
        <s v="2122 days"/>
        <s v="2054 days"/>
        <s v="3664 days"/>
        <s v="2256 days"/>
        <s v="2691 days"/>
        <s v="768 days"/>
        <s v="1796 days"/>
        <s v="1207 days"/>
        <s v="2571 days"/>
        <s v="3142 days"/>
        <s v="3072 days"/>
        <s v="3441 days"/>
        <s v="3101 days"/>
        <s v="3383 days"/>
        <s v="1687 days"/>
        <s v="2759 days"/>
        <s v="798 days"/>
        <s v="3291 days"/>
        <s v="3879 days"/>
        <s v="805 days"/>
        <s v="1746 days"/>
        <s v="3949 days"/>
        <s v="2212 days"/>
        <s v="824 days"/>
        <s v="2745 days"/>
        <s v="665 days"/>
        <s v="3317 days"/>
        <s v="2918 days"/>
        <s v="2470 days"/>
        <s v="3863 days"/>
        <s v="3524 days"/>
        <s v="3312 days"/>
        <s v="3322 days"/>
        <s v="2068 days"/>
        <s v="2608 days"/>
        <s v="1538 days"/>
        <s v="2575 days"/>
        <s v="3198 days"/>
        <s v="1931 days"/>
        <s v="643 days"/>
        <s v="3513 days"/>
        <s v="425 days"/>
        <s v="1995 days"/>
        <s v="496 days"/>
        <s v="2707 days"/>
        <s v="2468 days"/>
        <s v="3474 days"/>
      </sharedItems>
    </cacheField>
    <cacheField name="Income" numFmtId="164">
      <sharedItems containsSemiMixedTypes="0" containsString="0" containsNumber="1" containsInteger="1" minValue="20281" maxValue="199436"/>
    </cacheField>
    <cacheField name="Income Segment" numFmtId="0">
      <sharedItems/>
    </cacheField>
    <cacheField name="Customer Segment" numFmtId="0">
      <sharedItems count="3">
        <s v="Corporate"/>
        <s v="Retail"/>
        <s v="Private"/>
      </sharedItems>
    </cacheField>
    <cacheField name="Account Type" numFmtId="0">
      <sharedItems count="4">
        <s v="Checking"/>
        <s v="Savings"/>
        <s v="CreditCard"/>
        <s v="Loan"/>
      </sharedItems>
    </cacheField>
    <cacheField name="Open Date" numFmtId="22">
      <sharedItems containsSemiMixedTypes="0" containsNonDate="0" containsDate="1" containsString="0" minDate="2015-09-04T00:00:00" maxDate="2025-08-22T00:00:00"/>
    </cacheField>
    <cacheField name="Balance" numFmtId="164">
      <sharedItems containsSemiMixedTypes="0" containsString="0" containsNumber="1" containsInteger="1" minValue="192" maxValue="498843"/>
    </cacheField>
    <cacheField name="Credit Score" numFmtId="0">
      <sharedItems containsSemiMixedTypes="0" containsString="0" containsNumber="1" containsInteger="1" minValue="300" maxValue="849"/>
    </cacheField>
    <cacheField name="Credit Score Bracket" numFmtId="0">
      <sharedItems count="6">
        <s v="Good"/>
        <s v="Poor"/>
        <s v="Fair"/>
        <s v="Very Good"/>
        <s v="Excellent"/>
        <b v="0" u="1"/>
      </sharedItems>
    </cacheField>
    <cacheField name="Loan Amount" numFmtId="164">
      <sharedItems containsSemiMixedTypes="0" containsString="0" containsNumber="1" containsInteger="1" minValue="0" maxValue="499927"/>
    </cacheField>
    <cacheField name="Loan Status" numFmtId="0">
      <sharedItems containsBlank="1" count="4">
        <m/>
        <s v="Approved"/>
        <s v="Default"/>
        <s v="Rejected"/>
      </sharedItems>
    </cacheField>
  </cacheFields>
  <extLst>
    <ext xmlns:x14="http://schemas.microsoft.com/office/spreadsheetml/2009/9/main" uri="{725AE2AE-9491-48be-B2B4-4EB974FC3084}">
      <x14:pivotCacheDefinition pivotCacheId="16932666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CUST0305"/>
    <s v="ACC00001"/>
    <s v="Erica Perez"/>
    <s v="Female"/>
    <n v="46"/>
    <x v="0"/>
    <x v="0"/>
    <s v="Trader"/>
    <d v="2017-11-02T00:00:00"/>
    <x v="0"/>
    <x v="0"/>
    <n v="29078"/>
    <s v="Low"/>
    <x v="0"/>
    <x v="0"/>
    <d v="2018-06-07T00:00:00"/>
    <n v="363265"/>
    <n v="698"/>
    <x v="0"/>
    <n v="0"/>
    <x v="0"/>
  </r>
  <r>
    <s v="CUST0305"/>
    <s v="ACC00185"/>
    <s v="Erica Perez"/>
    <s v="Female"/>
    <n v="46"/>
    <x v="0"/>
    <x v="0"/>
    <s v="Trader"/>
    <d v="2017-11-02T00:00:00"/>
    <x v="0"/>
    <x v="0"/>
    <n v="29078"/>
    <s v="Low"/>
    <x v="0"/>
    <x v="1"/>
    <d v="2020-09-20T00:00:00"/>
    <n v="398834"/>
    <n v="304"/>
    <x v="1"/>
    <n v="0"/>
    <x v="0"/>
  </r>
  <r>
    <s v="CUST0001"/>
    <s v="ACC00461"/>
    <s v="Mrs. Deborah Dominguez MD"/>
    <s v="Male"/>
    <n v="38"/>
    <x v="1"/>
    <x v="1"/>
    <s v="Doctor"/>
    <d v="2023-04-25T00:00:00"/>
    <x v="1"/>
    <x v="1"/>
    <n v="191672"/>
    <s v="High"/>
    <x v="1"/>
    <x v="1"/>
    <d v="2024-03-09T00:00:00"/>
    <n v="370180"/>
    <n v="344"/>
    <x v="1"/>
    <n v="0"/>
    <x v="0"/>
  </r>
  <r>
    <s v="CUST0319"/>
    <s v="ACC00002"/>
    <s v="Reginald Tapia"/>
    <s v="Male"/>
    <n v="57"/>
    <x v="0"/>
    <x v="2"/>
    <s v="Retired"/>
    <d v="2019-06-21T00:00:00"/>
    <x v="2"/>
    <x v="2"/>
    <n v="122215"/>
    <s v="Medium"/>
    <x v="2"/>
    <x v="1"/>
    <d v="2025-01-13T00:00:00"/>
    <n v="282169"/>
    <n v="405"/>
    <x v="1"/>
    <n v="0"/>
    <x v="0"/>
  </r>
  <r>
    <s v="CUST0319"/>
    <s v="ACC00026"/>
    <s v="Reginald Tapia"/>
    <s v="Male"/>
    <n v="57"/>
    <x v="0"/>
    <x v="2"/>
    <s v="Retired"/>
    <d v="2019-06-21T00:00:00"/>
    <x v="2"/>
    <x v="2"/>
    <n v="122215"/>
    <s v="Medium"/>
    <x v="2"/>
    <x v="1"/>
    <d v="2020-01-21T00:00:00"/>
    <n v="97493"/>
    <n v="528"/>
    <x v="1"/>
    <n v="0"/>
    <x v="0"/>
  </r>
  <r>
    <s v="CUST0319"/>
    <s v="ACC00249"/>
    <s v="Reginald Tapia"/>
    <s v="Male"/>
    <n v="57"/>
    <x v="0"/>
    <x v="2"/>
    <s v="Retired"/>
    <d v="2019-06-21T00:00:00"/>
    <x v="2"/>
    <x v="2"/>
    <n v="122215"/>
    <s v="Medium"/>
    <x v="2"/>
    <x v="1"/>
    <d v="2016-10-19T00:00:00"/>
    <n v="357574"/>
    <n v="546"/>
    <x v="1"/>
    <n v="0"/>
    <x v="1"/>
  </r>
  <r>
    <s v="CUST0002"/>
    <s v="ACC00225"/>
    <s v="Erin Martinez"/>
    <s v="Female"/>
    <n v="49"/>
    <x v="0"/>
    <x v="2"/>
    <s v="Trader"/>
    <d v="2021-05-15T00:00:00"/>
    <x v="3"/>
    <x v="3"/>
    <n v="186472"/>
    <s v="High"/>
    <x v="0"/>
    <x v="2"/>
    <d v="2022-06-27T00:00:00"/>
    <n v="40142"/>
    <n v="541"/>
    <x v="1"/>
    <n v="0"/>
    <x v="2"/>
  </r>
  <r>
    <s v="CUST0366"/>
    <s v="ACC00003"/>
    <s v="Gregory Lee"/>
    <s v="Male"/>
    <n v="45"/>
    <x v="0"/>
    <x v="2"/>
    <s v="Trader"/>
    <d v="2019-11-04T00:00:00"/>
    <x v="2"/>
    <x v="4"/>
    <n v="36309"/>
    <s v="Low"/>
    <x v="1"/>
    <x v="1"/>
    <d v="2020-01-22T00:00:00"/>
    <n v="397674"/>
    <n v="570"/>
    <x v="1"/>
    <n v="0"/>
    <x v="0"/>
  </r>
  <r>
    <s v="CUST0366"/>
    <s v="ACC00259"/>
    <s v="Gregory Lee"/>
    <s v="Male"/>
    <n v="45"/>
    <x v="0"/>
    <x v="2"/>
    <s v="Trader"/>
    <d v="2019-11-04T00:00:00"/>
    <x v="2"/>
    <x v="4"/>
    <n v="36309"/>
    <s v="Low"/>
    <x v="1"/>
    <x v="0"/>
    <d v="2024-11-01T00:00:00"/>
    <n v="266378"/>
    <n v="634"/>
    <x v="2"/>
    <n v="0"/>
    <x v="0"/>
  </r>
  <r>
    <s v="CUST0366"/>
    <s v="ACC00350"/>
    <s v="Gregory Lee"/>
    <s v="Male"/>
    <n v="45"/>
    <x v="0"/>
    <x v="2"/>
    <s v="Trader"/>
    <d v="2019-11-04T00:00:00"/>
    <x v="2"/>
    <x v="4"/>
    <n v="36309"/>
    <s v="Low"/>
    <x v="1"/>
    <x v="1"/>
    <d v="2019-12-01T00:00:00"/>
    <n v="282140"/>
    <n v="756"/>
    <x v="3"/>
    <n v="0"/>
    <x v="1"/>
  </r>
  <r>
    <s v="CUST0211"/>
    <s v="ACC00004"/>
    <s v="Ryan Mccormick"/>
    <s v="Male"/>
    <n v="34"/>
    <x v="1"/>
    <x v="1"/>
    <s v="Doctor"/>
    <d v="2020-02-20T00:00:00"/>
    <x v="4"/>
    <x v="5"/>
    <n v="148386"/>
    <s v="High"/>
    <x v="0"/>
    <x v="1"/>
    <d v="2022-10-03T00:00:00"/>
    <n v="63610"/>
    <n v="802"/>
    <x v="4"/>
    <n v="401875"/>
    <x v="3"/>
  </r>
  <r>
    <s v="CUST0211"/>
    <s v="ACC00396"/>
    <s v="Ryan Mccormick"/>
    <s v="Male"/>
    <n v="34"/>
    <x v="1"/>
    <x v="1"/>
    <s v="Doctor"/>
    <d v="2020-02-20T00:00:00"/>
    <x v="4"/>
    <x v="5"/>
    <n v="148386"/>
    <s v="High"/>
    <x v="0"/>
    <x v="2"/>
    <d v="2024-01-29T00:00:00"/>
    <n v="232654"/>
    <n v="633"/>
    <x v="2"/>
    <n v="0"/>
    <x v="0"/>
  </r>
  <r>
    <s v="CUST0004"/>
    <s v="ACC00468"/>
    <s v="Candice Palmer"/>
    <s v="Male"/>
    <n v="50"/>
    <x v="0"/>
    <x v="1"/>
    <s v="Banker"/>
    <d v="2021-10-25T00:00:00"/>
    <x v="3"/>
    <x v="6"/>
    <n v="142744"/>
    <s v="High"/>
    <x v="1"/>
    <x v="0"/>
    <d v="2017-05-12T00:00:00"/>
    <n v="128216"/>
    <n v="849"/>
    <x v="4"/>
    <n v="0"/>
    <x v="0"/>
  </r>
  <r>
    <s v="CUST0406"/>
    <s v="ACC00005"/>
    <s v="Katherine Freeman"/>
    <s v="Female"/>
    <n v="28"/>
    <x v="2"/>
    <x v="2"/>
    <s v="Retired"/>
    <d v="2022-12-07T00:00:00"/>
    <x v="5"/>
    <x v="7"/>
    <n v="39975"/>
    <s v="Low"/>
    <x v="0"/>
    <x v="1"/>
    <d v="2020-07-27T00:00:00"/>
    <n v="70843"/>
    <n v="824"/>
    <x v="4"/>
    <n v="458505"/>
    <x v="0"/>
  </r>
  <r>
    <s v="CUST0005"/>
    <s v="ACC00224"/>
    <s v="Sandra Davis"/>
    <s v="Male"/>
    <n v="20"/>
    <x v="2"/>
    <x v="0"/>
    <s v="Student"/>
    <d v="2018-07-28T00:00:00"/>
    <x v="6"/>
    <x v="8"/>
    <n v="109431"/>
    <s v="Medium"/>
    <x v="0"/>
    <x v="0"/>
    <d v="2016-05-13T00:00:00"/>
    <n v="163202"/>
    <n v="491"/>
    <x v="1"/>
    <n v="0"/>
    <x v="0"/>
  </r>
  <r>
    <s v="CUST0152"/>
    <s v="ACC00006"/>
    <s v="Eric Gomez"/>
    <s v="Male"/>
    <n v="38"/>
    <x v="1"/>
    <x v="2"/>
    <s v="Retired"/>
    <d v="2018-11-05T00:00:00"/>
    <x v="6"/>
    <x v="9"/>
    <n v="177732"/>
    <s v="High"/>
    <x v="0"/>
    <x v="0"/>
    <d v="2020-12-20T00:00:00"/>
    <n v="107237"/>
    <n v="331"/>
    <x v="1"/>
    <n v="163666"/>
    <x v="0"/>
  </r>
  <r>
    <s v="CUST0152"/>
    <s v="ACC00112"/>
    <s v="Eric Gomez"/>
    <s v="Male"/>
    <n v="38"/>
    <x v="1"/>
    <x v="2"/>
    <s v="Retired"/>
    <d v="2018-11-05T00:00:00"/>
    <x v="6"/>
    <x v="9"/>
    <n v="177732"/>
    <s v="High"/>
    <x v="0"/>
    <x v="2"/>
    <d v="2017-12-08T00:00:00"/>
    <n v="375197"/>
    <n v="567"/>
    <x v="1"/>
    <n v="0"/>
    <x v="0"/>
  </r>
  <r>
    <s v="CUST0152"/>
    <s v="ACC00204"/>
    <s v="Eric Gomez"/>
    <s v="Male"/>
    <n v="38"/>
    <x v="1"/>
    <x v="2"/>
    <s v="Retired"/>
    <d v="2018-11-05T00:00:00"/>
    <x v="6"/>
    <x v="9"/>
    <n v="177732"/>
    <s v="High"/>
    <x v="0"/>
    <x v="0"/>
    <d v="2024-11-06T00:00:00"/>
    <n v="333840"/>
    <n v="428"/>
    <x v="1"/>
    <n v="0"/>
    <x v="0"/>
  </r>
  <r>
    <s v="CUST0109"/>
    <s v="ACC00007"/>
    <s v="Emily Scott"/>
    <s v="Female"/>
    <n v="29"/>
    <x v="1"/>
    <x v="1"/>
    <s v="Engineer"/>
    <d v="2020-09-03T00:00:00"/>
    <x v="4"/>
    <x v="10"/>
    <n v="131785"/>
    <s v="Medium"/>
    <x v="0"/>
    <x v="2"/>
    <d v="2020-11-25T00:00:00"/>
    <n v="477177"/>
    <n v="692"/>
    <x v="0"/>
    <n v="120819"/>
    <x v="0"/>
  </r>
  <r>
    <s v="CUST0109"/>
    <s v="ACC00362"/>
    <s v="Emily Scott"/>
    <s v="Female"/>
    <n v="29"/>
    <x v="1"/>
    <x v="1"/>
    <s v="Engineer"/>
    <d v="2020-09-03T00:00:00"/>
    <x v="4"/>
    <x v="10"/>
    <n v="131785"/>
    <s v="Medium"/>
    <x v="0"/>
    <x v="2"/>
    <d v="2020-02-08T00:00:00"/>
    <n v="207574"/>
    <n v="803"/>
    <x v="4"/>
    <n v="0"/>
    <x v="0"/>
  </r>
  <r>
    <s v="CUST0007"/>
    <s v="ACC00154"/>
    <s v="Tyler Fischer"/>
    <s v="Male"/>
    <n v="42"/>
    <x v="1"/>
    <x v="1"/>
    <s v="Engineer"/>
    <d v="2017-10-18T00:00:00"/>
    <x v="0"/>
    <x v="11"/>
    <n v="87364"/>
    <s v="Medium"/>
    <x v="0"/>
    <x v="2"/>
    <d v="2022-11-30T00:00:00"/>
    <n v="439529"/>
    <n v="587"/>
    <x v="2"/>
    <n v="0"/>
    <x v="0"/>
  </r>
  <r>
    <s v="CUST0076"/>
    <s v="ACC00008"/>
    <s v="Pamela Johnson"/>
    <s v="Female"/>
    <n v="70"/>
    <x v="3"/>
    <x v="0"/>
    <s v="Trader"/>
    <d v="2017-07-01T00:00:00"/>
    <x v="0"/>
    <x v="12"/>
    <n v="172826"/>
    <s v="High"/>
    <x v="1"/>
    <x v="0"/>
    <d v="2024-07-14T00:00:00"/>
    <n v="180903"/>
    <n v="339"/>
    <x v="1"/>
    <n v="0"/>
    <x v="0"/>
  </r>
  <r>
    <s v="CUST0076"/>
    <s v="ACC00238"/>
    <s v="Pamela Johnson"/>
    <s v="Female"/>
    <n v="70"/>
    <x v="3"/>
    <x v="0"/>
    <s v="Trader"/>
    <d v="2017-07-01T00:00:00"/>
    <x v="0"/>
    <x v="12"/>
    <n v="172826"/>
    <s v="High"/>
    <x v="1"/>
    <x v="0"/>
    <d v="2015-12-15T00:00:00"/>
    <n v="249664"/>
    <n v="536"/>
    <x v="1"/>
    <n v="0"/>
    <x v="0"/>
  </r>
  <r>
    <s v="CUST0076"/>
    <s v="ACC00411"/>
    <s v="Pamela Johnson"/>
    <s v="Female"/>
    <n v="70"/>
    <x v="3"/>
    <x v="0"/>
    <s v="Trader"/>
    <d v="2017-07-01T00:00:00"/>
    <x v="0"/>
    <x v="12"/>
    <n v="172826"/>
    <s v="High"/>
    <x v="1"/>
    <x v="0"/>
    <d v="2021-03-12T00:00:00"/>
    <n v="112701"/>
    <n v="540"/>
    <x v="1"/>
    <n v="0"/>
    <x v="0"/>
  </r>
  <r>
    <s v="CUST0008"/>
    <s v="ACC00305"/>
    <s v="William Horton"/>
    <s v="Male"/>
    <n v="59"/>
    <x v="0"/>
    <x v="1"/>
    <s v="Engineer"/>
    <d v="2024-06-05T00:00:00"/>
    <x v="7"/>
    <x v="13"/>
    <n v="144988"/>
    <s v="High"/>
    <x v="1"/>
    <x v="2"/>
    <d v="2022-01-23T00:00:00"/>
    <n v="389763"/>
    <n v="444"/>
    <x v="1"/>
    <n v="0"/>
    <x v="2"/>
  </r>
  <r>
    <s v="CUST0008"/>
    <s v="ACC00340"/>
    <s v="William Horton"/>
    <s v="Male"/>
    <n v="59"/>
    <x v="0"/>
    <x v="1"/>
    <s v="Engineer"/>
    <d v="2024-06-05T00:00:00"/>
    <x v="7"/>
    <x v="13"/>
    <n v="144988"/>
    <s v="High"/>
    <x v="1"/>
    <x v="2"/>
    <d v="2022-11-22T00:00:00"/>
    <n v="101158"/>
    <n v="472"/>
    <x v="1"/>
    <n v="0"/>
    <x v="0"/>
  </r>
  <r>
    <s v="CUST0030"/>
    <s v="ACC00009"/>
    <s v="Angela Robinson"/>
    <s v="Female"/>
    <n v="71"/>
    <x v="3"/>
    <x v="3"/>
    <s v="Student"/>
    <d v="2020-10-05T00:00:00"/>
    <x v="4"/>
    <x v="14"/>
    <n v="165271"/>
    <s v="High"/>
    <x v="1"/>
    <x v="2"/>
    <d v="2015-12-02T00:00:00"/>
    <n v="174499"/>
    <n v="517"/>
    <x v="1"/>
    <n v="0"/>
    <x v="0"/>
  </r>
  <r>
    <s v="CUST0314"/>
    <s v="ACC00010"/>
    <s v="Kenneth Vasquez"/>
    <s v="Male"/>
    <n v="34"/>
    <x v="1"/>
    <x v="0"/>
    <s v="Doctor"/>
    <d v="2022-06-02T00:00:00"/>
    <x v="5"/>
    <x v="15"/>
    <n v="145150"/>
    <s v="High"/>
    <x v="1"/>
    <x v="3"/>
    <d v="2024-07-20T00:00:00"/>
    <n v="487025"/>
    <n v="381"/>
    <x v="1"/>
    <n v="0"/>
    <x v="0"/>
  </r>
  <r>
    <s v="CUST0314"/>
    <s v="ACC00176"/>
    <s v="Kenneth Vasquez"/>
    <s v="Male"/>
    <n v="34"/>
    <x v="1"/>
    <x v="0"/>
    <s v="Doctor"/>
    <d v="2022-06-02T00:00:00"/>
    <x v="5"/>
    <x v="15"/>
    <n v="145150"/>
    <s v="High"/>
    <x v="1"/>
    <x v="1"/>
    <d v="2021-07-06T00:00:00"/>
    <n v="36320"/>
    <n v="810"/>
    <x v="4"/>
    <n v="0"/>
    <x v="2"/>
  </r>
  <r>
    <s v="CUST0314"/>
    <s v="ACC00430"/>
    <s v="Kenneth Vasquez"/>
    <s v="Male"/>
    <n v="34"/>
    <x v="1"/>
    <x v="0"/>
    <s v="Doctor"/>
    <d v="2022-06-02T00:00:00"/>
    <x v="5"/>
    <x v="15"/>
    <n v="145150"/>
    <s v="High"/>
    <x v="1"/>
    <x v="0"/>
    <d v="2020-07-02T00:00:00"/>
    <n v="379747"/>
    <n v="316"/>
    <x v="1"/>
    <n v="0"/>
    <x v="0"/>
  </r>
  <r>
    <s v="CUST0486"/>
    <s v="ACC00011"/>
    <s v="Ronald Craig"/>
    <s v="Female"/>
    <n v="55"/>
    <x v="0"/>
    <x v="2"/>
    <s v="Retired"/>
    <d v="2024-11-25T00:00:00"/>
    <x v="7"/>
    <x v="16"/>
    <n v="166470"/>
    <s v="High"/>
    <x v="1"/>
    <x v="2"/>
    <d v="2024-02-29T00:00:00"/>
    <n v="130299"/>
    <n v="500"/>
    <x v="1"/>
    <n v="0"/>
    <x v="0"/>
  </r>
  <r>
    <s v="CUST0486"/>
    <s v="ACC00336"/>
    <s v="Ronald Craig"/>
    <s v="Female"/>
    <n v="55"/>
    <x v="0"/>
    <x v="2"/>
    <s v="Retired"/>
    <d v="2024-11-25T00:00:00"/>
    <x v="7"/>
    <x v="16"/>
    <n v="166470"/>
    <s v="High"/>
    <x v="1"/>
    <x v="2"/>
    <d v="2021-01-26T00:00:00"/>
    <n v="427876"/>
    <n v="496"/>
    <x v="1"/>
    <n v="0"/>
    <x v="0"/>
  </r>
  <r>
    <s v="CUST0486"/>
    <s v="ACC00393"/>
    <s v="Ronald Craig"/>
    <s v="Female"/>
    <n v="55"/>
    <x v="0"/>
    <x v="2"/>
    <s v="Retired"/>
    <d v="2024-11-25T00:00:00"/>
    <x v="7"/>
    <x v="16"/>
    <n v="166470"/>
    <s v="High"/>
    <x v="1"/>
    <x v="2"/>
    <d v="2018-04-30T00:00:00"/>
    <n v="434825"/>
    <n v="613"/>
    <x v="2"/>
    <n v="0"/>
    <x v="0"/>
  </r>
  <r>
    <s v="CUST0117"/>
    <s v="ACC00012"/>
    <s v="Heidi Sharp"/>
    <s v="Male"/>
    <n v="65"/>
    <x v="3"/>
    <x v="1"/>
    <s v="Student"/>
    <d v="2025-02-18T00:00:00"/>
    <x v="8"/>
    <x v="17"/>
    <n v="94553"/>
    <s v="Medium"/>
    <x v="1"/>
    <x v="0"/>
    <d v="2020-06-28T00:00:00"/>
    <n v="431722"/>
    <n v="746"/>
    <x v="3"/>
    <n v="278365"/>
    <x v="0"/>
  </r>
  <r>
    <s v="CUST0117"/>
    <s v="ACC00196"/>
    <s v="Heidi Sharp"/>
    <s v="Male"/>
    <n v="65"/>
    <x v="3"/>
    <x v="1"/>
    <s v="Student"/>
    <d v="2025-02-18T00:00:00"/>
    <x v="8"/>
    <x v="17"/>
    <n v="94553"/>
    <s v="Medium"/>
    <x v="1"/>
    <x v="1"/>
    <d v="2016-11-14T00:00:00"/>
    <n v="422132"/>
    <n v="650"/>
    <x v="2"/>
    <n v="0"/>
    <x v="0"/>
  </r>
  <r>
    <s v="CUST0117"/>
    <s v="ACC00478"/>
    <s v="Heidi Sharp"/>
    <s v="Male"/>
    <n v="65"/>
    <x v="3"/>
    <x v="1"/>
    <s v="Student"/>
    <d v="2025-02-18T00:00:00"/>
    <x v="8"/>
    <x v="17"/>
    <n v="94553"/>
    <s v="Medium"/>
    <x v="1"/>
    <x v="2"/>
    <d v="2017-08-21T00:00:00"/>
    <n v="102476"/>
    <n v="816"/>
    <x v="4"/>
    <n v="0"/>
    <x v="0"/>
  </r>
  <r>
    <s v="CUST0012"/>
    <s v="ACC00355"/>
    <s v="Michael Richard"/>
    <s v="Male"/>
    <n v="57"/>
    <x v="0"/>
    <x v="0"/>
    <s v="Trader"/>
    <d v="2023-12-20T00:00:00"/>
    <x v="1"/>
    <x v="18"/>
    <n v="144343"/>
    <s v="High"/>
    <x v="0"/>
    <x v="1"/>
    <d v="2019-10-03T00:00:00"/>
    <n v="166782"/>
    <n v="746"/>
    <x v="3"/>
    <n v="0"/>
    <x v="0"/>
  </r>
  <r>
    <s v="CUST0415"/>
    <s v="ACC00013"/>
    <s v="Kyle Rodriguez"/>
    <s v="Male"/>
    <n v="45"/>
    <x v="0"/>
    <x v="3"/>
    <s v="Retired"/>
    <d v="2025-08-15T00:00:00"/>
    <x v="8"/>
    <x v="19"/>
    <n v="145932"/>
    <s v="High"/>
    <x v="0"/>
    <x v="0"/>
    <d v="2025-07-22T00:00:00"/>
    <n v="5668"/>
    <n v="727"/>
    <x v="0"/>
    <n v="0"/>
    <x v="1"/>
  </r>
  <r>
    <s v="CUST0356"/>
    <s v="ACC00014"/>
    <s v="Tyler Harris"/>
    <s v="Male"/>
    <n v="67"/>
    <x v="3"/>
    <x v="0"/>
    <s v="Banker"/>
    <d v="2018-10-01T00:00:00"/>
    <x v="6"/>
    <x v="20"/>
    <n v="134994"/>
    <s v="Medium"/>
    <x v="0"/>
    <x v="0"/>
    <d v="2022-01-26T00:00:00"/>
    <n v="222542"/>
    <n v="337"/>
    <x v="1"/>
    <n v="18569"/>
    <x v="0"/>
  </r>
  <r>
    <s v="CUST0356"/>
    <s v="ACC00089"/>
    <s v="Tyler Harris"/>
    <s v="Male"/>
    <n v="67"/>
    <x v="3"/>
    <x v="0"/>
    <s v="Banker"/>
    <d v="2018-10-01T00:00:00"/>
    <x v="6"/>
    <x v="20"/>
    <n v="134994"/>
    <s v="Medium"/>
    <x v="0"/>
    <x v="2"/>
    <d v="2018-06-11T00:00:00"/>
    <n v="61753"/>
    <n v="393"/>
    <x v="1"/>
    <n v="146835"/>
    <x v="0"/>
  </r>
  <r>
    <s v="CUST0192"/>
    <s v="ACC00015"/>
    <s v="Kim Hubbard"/>
    <s v="Male"/>
    <n v="54"/>
    <x v="0"/>
    <x v="3"/>
    <s v="Engineer"/>
    <d v="2025-08-22T00:00:00"/>
    <x v="8"/>
    <x v="21"/>
    <n v="117768"/>
    <s v="Medium"/>
    <x v="1"/>
    <x v="1"/>
    <d v="2024-05-26T00:00:00"/>
    <n v="178267"/>
    <n v="510"/>
    <x v="1"/>
    <n v="0"/>
    <x v="0"/>
  </r>
  <r>
    <s v="CUST0192"/>
    <s v="ACC00087"/>
    <s v="Kim Hubbard"/>
    <s v="Male"/>
    <n v="54"/>
    <x v="0"/>
    <x v="3"/>
    <s v="Engineer"/>
    <d v="2025-08-22T00:00:00"/>
    <x v="8"/>
    <x v="21"/>
    <n v="117768"/>
    <s v="Medium"/>
    <x v="1"/>
    <x v="1"/>
    <d v="2018-05-18T00:00:00"/>
    <n v="459952"/>
    <n v="797"/>
    <x v="3"/>
    <n v="0"/>
    <x v="1"/>
  </r>
  <r>
    <s v="CUST0192"/>
    <s v="ACC00247"/>
    <s v="Kim Hubbard"/>
    <s v="Male"/>
    <n v="54"/>
    <x v="0"/>
    <x v="3"/>
    <s v="Engineer"/>
    <d v="2025-08-22T00:00:00"/>
    <x v="8"/>
    <x v="21"/>
    <n v="117768"/>
    <s v="Medium"/>
    <x v="1"/>
    <x v="2"/>
    <d v="2016-10-12T00:00:00"/>
    <n v="465525"/>
    <n v="756"/>
    <x v="3"/>
    <n v="0"/>
    <x v="1"/>
  </r>
  <r>
    <s v="CUST0019"/>
    <s v="ACC00016"/>
    <s v="Melissa Clark"/>
    <s v="Female"/>
    <n v="40"/>
    <x v="1"/>
    <x v="3"/>
    <s v="Teacher"/>
    <d v="2021-09-17T00:00:00"/>
    <x v="3"/>
    <x v="22"/>
    <n v="100435"/>
    <s v="Medium"/>
    <x v="0"/>
    <x v="1"/>
    <d v="2017-11-25T00:00:00"/>
    <n v="335377"/>
    <n v="743"/>
    <x v="3"/>
    <n v="0"/>
    <x v="0"/>
  </r>
  <r>
    <s v="CUST0016"/>
    <s v="ACC00359"/>
    <s v="Ashlee Baird"/>
    <s v="Male"/>
    <n v="49"/>
    <x v="0"/>
    <x v="3"/>
    <s v="Banker"/>
    <d v="2019-06-27T00:00:00"/>
    <x v="2"/>
    <x v="23"/>
    <n v="54636"/>
    <s v="Low"/>
    <x v="1"/>
    <x v="0"/>
    <d v="2021-07-11T00:00:00"/>
    <n v="470457"/>
    <n v="687"/>
    <x v="0"/>
    <n v="0"/>
    <x v="0"/>
  </r>
  <r>
    <s v="CUST0432"/>
    <s v="ACC00017"/>
    <s v="Zachary Vasquez"/>
    <s v="Female"/>
    <n v="50"/>
    <x v="0"/>
    <x v="2"/>
    <s v="Trader"/>
    <d v="2017-06-01T00:00:00"/>
    <x v="0"/>
    <x v="24"/>
    <n v="81367"/>
    <s v="Medium"/>
    <x v="0"/>
    <x v="3"/>
    <d v="2021-05-17T00:00:00"/>
    <n v="155489"/>
    <n v="626"/>
    <x v="2"/>
    <n v="207630"/>
    <x v="0"/>
  </r>
  <r>
    <s v="CUST0432"/>
    <s v="ACC00165"/>
    <s v="Zachary Vasquez"/>
    <s v="Female"/>
    <n v="50"/>
    <x v="0"/>
    <x v="2"/>
    <s v="Trader"/>
    <d v="2017-06-01T00:00:00"/>
    <x v="0"/>
    <x v="24"/>
    <n v="81367"/>
    <s v="Medium"/>
    <x v="0"/>
    <x v="3"/>
    <d v="2020-04-15T00:00:00"/>
    <n v="307086"/>
    <n v="759"/>
    <x v="3"/>
    <n v="0"/>
    <x v="0"/>
  </r>
  <r>
    <s v="CUST0432"/>
    <s v="ACC00317"/>
    <s v="Zachary Vasquez"/>
    <s v="Female"/>
    <n v="50"/>
    <x v="0"/>
    <x v="2"/>
    <s v="Trader"/>
    <d v="2017-06-01T00:00:00"/>
    <x v="0"/>
    <x v="24"/>
    <n v="81367"/>
    <s v="Medium"/>
    <x v="0"/>
    <x v="1"/>
    <d v="2017-09-28T00:00:00"/>
    <n v="295809"/>
    <n v="489"/>
    <x v="1"/>
    <n v="0"/>
    <x v="0"/>
  </r>
  <r>
    <s v="CUST0017"/>
    <s v="ACC00215"/>
    <s v="Michael Conner"/>
    <s v="Female"/>
    <n v="64"/>
    <x v="3"/>
    <x v="3"/>
    <s v="Banker"/>
    <d v="2021-06-28T00:00:00"/>
    <x v="3"/>
    <x v="25"/>
    <n v="199352"/>
    <s v="High"/>
    <x v="1"/>
    <x v="2"/>
    <d v="2019-09-24T00:00:00"/>
    <n v="353076"/>
    <n v="601"/>
    <x v="2"/>
    <n v="0"/>
    <x v="2"/>
  </r>
  <r>
    <s v="CUST0173"/>
    <s v="ACC00018"/>
    <s v="David Wilson"/>
    <s v="Male"/>
    <n v="21"/>
    <x v="2"/>
    <x v="3"/>
    <s v="Trader"/>
    <d v="2021-11-01T00:00:00"/>
    <x v="3"/>
    <x v="26"/>
    <n v="172499"/>
    <s v="High"/>
    <x v="0"/>
    <x v="2"/>
    <d v="2020-06-25T00:00:00"/>
    <n v="344126"/>
    <n v="526"/>
    <x v="1"/>
    <n v="0"/>
    <x v="0"/>
  </r>
  <r>
    <s v="CUST0228"/>
    <s v="ACC00019"/>
    <s v="Melinda Cunningham"/>
    <s v="Female"/>
    <n v="73"/>
    <x v="3"/>
    <x v="0"/>
    <s v="Trader"/>
    <d v="2019-01-14T00:00:00"/>
    <x v="2"/>
    <x v="27"/>
    <n v="135672"/>
    <s v="Medium"/>
    <x v="0"/>
    <x v="1"/>
    <d v="2022-05-13T00:00:00"/>
    <n v="106133"/>
    <n v="347"/>
    <x v="1"/>
    <n v="0"/>
    <x v="3"/>
  </r>
  <r>
    <s v="CUST0228"/>
    <s v="ACC00141"/>
    <s v="Melinda Cunningham"/>
    <s v="Female"/>
    <n v="73"/>
    <x v="3"/>
    <x v="0"/>
    <s v="Trader"/>
    <d v="2019-01-14T00:00:00"/>
    <x v="2"/>
    <x v="27"/>
    <n v="135672"/>
    <s v="Medium"/>
    <x v="0"/>
    <x v="0"/>
    <d v="2020-12-19T00:00:00"/>
    <n v="369360"/>
    <n v="483"/>
    <x v="1"/>
    <n v="8681"/>
    <x v="0"/>
  </r>
  <r>
    <s v="CUST0350"/>
    <s v="ACC00020"/>
    <s v="Brandon Fox DDS"/>
    <s v="Male"/>
    <n v="43"/>
    <x v="1"/>
    <x v="3"/>
    <s v="Teacher"/>
    <d v="2022-12-31T00:00:00"/>
    <x v="5"/>
    <x v="28"/>
    <n v="90316"/>
    <s v="Medium"/>
    <x v="0"/>
    <x v="0"/>
    <d v="2018-08-23T00:00:00"/>
    <n v="272895"/>
    <n v="317"/>
    <x v="1"/>
    <n v="0"/>
    <x v="0"/>
  </r>
  <r>
    <s v="CUST0350"/>
    <s v="ACC00064"/>
    <s v="Brandon Fox DDS"/>
    <s v="Male"/>
    <n v="43"/>
    <x v="1"/>
    <x v="3"/>
    <s v="Teacher"/>
    <d v="2022-12-31T00:00:00"/>
    <x v="5"/>
    <x v="28"/>
    <n v="90316"/>
    <s v="Medium"/>
    <x v="0"/>
    <x v="1"/>
    <d v="2019-09-06T00:00:00"/>
    <n v="128128"/>
    <n v="824"/>
    <x v="4"/>
    <n v="0"/>
    <x v="0"/>
  </r>
  <r>
    <s v="CUST0350"/>
    <s v="ACC00441"/>
    <s v="Brandon Fox DDS"/>
    <s v="Male"/>
    <n v="43"/>
    <x v="1"/>
    <x v="3"/>
    <s v="Teacher"/>
    <d v="2022-12-31T00:00:00"/>
    <x v="5"/>
    <x v="28"/>
    <n v="90316"/>
    <s v="Medium"/>
    <x v="0"/>
    <x v="0"/>
    <d v="2020-07-03T00:00:00"/>
    <n v="430917"/>
    <n v="479"/>
    <x v="1"/>
    <n v="0"/>
    <x v="0"/>
  </r>
  <r>
    <s v="CUST0020"/>
    <s v="ACC00255"/>
    <s v="Janice Scott"/>
    <s v="Male"/>
    <n v="19"/>
    <x v="2"/>
    <x v="3"/>
    <s v="Engineer"/>
    <d v="2023-05-12T00:00:00"/>
    <x v="1"/>
    <x v="29"/>
    <n v="148583"/>
    <s v="High"/>
    <x v="0"/>
    <x v="1"/>
    <d v="2024-08-07T00:00:00"/>
    <n v="118696"/>
    <n v="490"/>
    <x v="1"/>
    <n v="372508"/>
    <x v="0"/>
  </r>
  <r>
    <s v="CUST0183"/>
    <s v="ACC00021"/>
    <s v="Victor Thomas"/>
    <s v="Female"/>
    <n v="37"/>
    <x v="1"/>
    <x v="2"/>
    <s v="Student"/>
    <d v="2018-04-12T00:00:00"/>
    <x v="6"/>
    <x v="30"/>
    <n v="49241"/>
    <s v="Low"/>
    <x v="1"/>
    <x v="2"/>
    <d v="2020-05-29T00:00:00"/>
    <n v="308362"/>
    <n v="738"/>
    <x v="0"/>
    <n v="0"/>
    <x v="0"/>
  </r>
  <r>
    <s v="CUST0183"/>
    <s v="ACC00023"/>
    <s v="Victor Thomas"/>
    <s v="Female"/>
    <n v="37"/>
    <x v="1"/>
    <x v="2"/>
    <s v="Student"/>
    <d v="2018-04-12T00:00:00"/>
    <x v="6"/>
    <x v="30"/>
    <n v="49241"/>
    <s v="Low"/>
    <x v="1"/>
    <x v="1"/>
    <d v="2023-09-17T00:00:00"/>
    <n v="269496"/>
    <n v="644"/>
    <x v="2"/>
    <n v="0"/>
    <x v="2"/>
  </r>
  <r>
    <s v="CUST0021"/>
    <s v="ACC00149"/>
    <s v="Elizabeth Smith"/>
    <s v="Female"/>
    <n v="44"/>
    <x v="1"/>
    <x v="2"/>
    <s v="Trader"/>
    <d v="2024-05-02T00:00:00"/>
    <x v="7"/>
    <x v="31"/>
    <n v="189269"/>
    <s v="High"/>
    <x v="1"/>
    <x v="2"/>
    <d v="2015-10-25T00:00:00"/>
    <n v="99977"/>
    <n v="476"/>
    <x v="1"/>
    <n v="0"/>
    <x v="0"/>
  </r>
  <r>
    <s v="CUST0021"/>
    <s v="ACC00177"/>
    <s v="Elizabeth Smith"/>
    <s v="Female"/>
    <n v="44"/>
    <x v="1"/>
    <x v="2"/>
    <s v="Trader"/>
    <d v="2024-05-02T00:00:00"/>
    <x v="7"/>
    <x v="31"/>
    <n v="189269"/>
    <s v="High"/>
    <x v="1"/>
    <x v="2"/>
    <d v="2020-09-12T00:00:00"/>
    <n v="49170"/>
    <n v="549"/>
    <x v="1"/>
    <n v="85730"/>
    <x v="0"/>
  </r>
  <r>
    <s v="CUST0021"/>
    <s v="ACC00364"/>
    <s v="Elizabeth Smith"/>
    <s v="Female"/>
    <n v="44"/>
    <x v="1"/>
    <x v="2"/>
    <s v="Trader"/>
    <d v="2024-05-02T00:00:00"/>
    <x v="7"/>
    <x v="31"/>
    <n v="189269"/>
    <s v="High"/>
    <x v="1"/>
    <x v="0"/>
    <d v="2016-06-24T00:00:00"/>
    <n v="469890"/>
    <n v="590"/>
    <x v="2"/>
    <n v="222364"/>
    <x v="0"/>
  </r>
  <r>
    <s v="CUST0021"/>
    <s v="ACC00475"/>
    <s v="Elizabeth Smith"/>
    <s v="Female"/>
    <n v="44"/>
    <x v="1"/>
    <x v="2"/>
    <s v="Trader"/>
    <d v="2024-05-02T00:00:00"/>
    <x v="7"/>
    <x v="31"/>
    <n v="189269"/>
    <s v="High"/>
    <x v="1"/>
    <x v="2"/>
    <d v="2020-02-19T00:00:00"/>
    <n v="352156"/>
    <n v="587"/>
    <x v="2"/>
    <n v="0"/>
    <x v="3"/>
  </r>
  <r>
    <s v="CUST0113"/>
    <s v="ACC00022"/>
    <s v="Anthony Ramos"/>
    <s v="Female"/>
    <n v="64"/>
    <x v="3"/>
    <x v="2"/>
    <s v="Doctor"/>
    <d v="2016-03-16T00:00:00"/>
    <x v="9"/>
    <x v="32"/>
    <n v="73947"/>
    <s v="Low"/>
    <x v="2"/>
    <x v="1"/>
    <d v="2024-12-09T00:00:00"/>
    <n v="388793"/>
    <n v="486"/>
    <x v="1"/>
    <n v="258078"/>
    <x v="0"/>
  </r>
  <r>
    <s v="CUST0113"/>
    <s v="ACC00028"/>
    <s v="Anthony Ramos"/>
    <s v="Female"/>
    <n v="64"/>
    <x v="3"/>
    <x v="2"/>
    <s v="Doctor"/>
    <d v="2016-03-16T00:00:00"/>
    <x v="9"/>
    <x v="32"/>
    <n v="73947"/>
    <s v="Low"/>
    <x v="2"/>
    <x v="2"/>
    <d v="2018-03-30T00:00:00"/>
    <n v="172166"/>
    <n v="487"/>
    <x v="1"/>
    <n v="0"/>
    <x v="2"/>
  </r>
  <r>
    <s v="CUST0113"/>
    <s v="ACC00063"/>
    <s v="Anthony Ramos"/>
    <s v="Female"/>
    <n v="64"/>
    <x v="3"/>
    <x v="2"/>
    <s v="Doctor"/>
    <d v="2016-03-16T00:00:00"/>
    <x v="9"/>
    <x v="32"/>
    <n v="73947"/>
    <s v="Low"/>
    <x v="2"/>
    <x v="3"/>
    <d v="2019-09-13T00:00:00"/>
    <n v="12356"/>
    <n v="687"/>
    <x v="0"/>
    <n v="0"/>
    <x v="0"/>
  </r>
  <r>
    <s v="CUST0022"/>
    <s v="ACC00226"/>
    <s v="Jodi Burns"/>
    <s v="Male"/>
    <n v="59"/>
    <x v="0"/>
    <x v="2"/>
    <s v="Retired"/>
    <d v="2023-07-11T00:00:00"/>
    <x v="1"/>
    <x v="33"/>
    <n v="61844"/>
    <s v="Low"/>
    <x v="0"/>
    <x v="0"/>
    <d v="2016-10-02T00:00:00"/>
    <n v="36468"/>
    <n v="437"/>
    <x v="1"/>
    <n v="0"/>
    <x v="0"/>
  </r>
  <r>
    <s v="CUST0481"/>
    <s v="ACC00024"/>
    <s v="Carolyn Evans"/>
    <s v="Female"/>
    <n v="45"/>
    <x v="0"/>
    <x v="2"/>
    <s v="Retired"/>
    <d v="2016-02-11T00:00:00"/>
    <x v="9"/>
    <x v="34"/>
    <n v="152311"/>
    <s v="High"/>
    <x v="1"/>
    <x v="2"/>
    <d v="2018-02-15T00:00:00"/>
    <n v="210124"/>
    <n v="523"/>
    <x v="1"/>
    <n v="0"/>
    <x v="0"/>
  </r>
  <r>
    <s v="CUST0146"/>
    <s v="ACC00025"/>
    <s v="Veronica Mullins"/>
    <s v="Male"/>
    <n v="22"/>
    <x v="2"/>
    <x v="1"/>
    <s v="Teacher"/>
    <d v="2020-07-17T00:00:00"/>
    <x v="4"/>
    <x v="35"/>
    <n v="49257"/>
    <s v="Low"/>
    <x v="1"/>
    <x v="0"/>
    <d v="2016-06-14T00:00:00"/>
    <n v="88835"/>
    <n v="787"/>
    <x v="3"/>
    <n v="485443"/>
    <x v="0"/>
  </r>
  <r>
    <s v="CUST0025"/>
    <s v="ACC00377"/>
    <s v="Cindy Parks"/>
    <s v="Female"/>
    <n v="34"/>
    <x v="1"/>
    <x v="1"/>
    <s v="Student"/>
    <d v="2019-09-10T00:00:00"/>
    <x v="2"/>
    <x v="36"/>
    <n v="97129"/>
    <s v="Medium"/>
    <x v="1"/>
    <x v="2"/>
    <d v="2018-10-23T00:00:00"/>
    <n v="232892"/>
    <n v="532"/>
    <x v="1"/>
    <n v="0"/>
    <x v="0"/>
  </r>
  <r>
    <s v="CUST0026"/>
    <s v="ACC00277"/>
    <s v="Charles Fields"/>
    <s v="Female"/>
    <n v="57"/>
    <x v="0"/>
    <x v="3"/>
    <s v="Doctor"/>
    <d v="2021-09-30T00:00:00"/>
    <x v="3"/>
    <x v="37"/>
    <n v="60042"/>
    <s v="Low"/>
    <x v="0"/>
    <x v="0"/>
    <d v="2016-10-21T00:00:00"/>
    <n v="207139"/>
    <n v="544"/>
    <x v="1"/>
    <n v="382411"/>
    <x v="0"/>
  </r>
  <r>
    <s v="CUST0116"/>
    <s v="ACC00027"/>
    <s v="Guy Hughes"/>
    <s v="Female"/>
    <n v="71"/>
    <x v="3"/>
    <x v="3"/>
    <s v="Student"/>
    <d v="2025-05-20T00:00:00"/>
    <x v="8"/>
    <x v="38"/>
    <n v="69708"/>
    <s v="Low"/>
    <x v="0"/>
    <x v="0"/>
    <d v="2023-10-04T00:00:00"/>
    <n v="291071"/>
    <n v="689"/>
    <x v="0"/>
    <n v="196007"/>
    <x v="0"/>
  </r>
  <r>
    <s v="CUST0116"/>
    <s v="ACC00268"/>
    <s v="Guy Hughes"/>
    <s v="Female"/>
    <n v="71"/>
    <x v="3"/>
    <x v="3"/>
    <s v="Student"/>
    <d v="2025-05-20T00:00:00"/>
    <x v="8"/>
    <x v="38"/>
    <n v="69708"/>
    <s v="Low"/>
    <x v="0"/>
    <x v="1"/>
    <d v="2020-06-18T00:00:00"/>
    <n v="303297"/>
    <n v="462"/>
    <x v="1"/>
    <n v="0"/>
    <x v="0"/>
  </r>
  <r>
    <s v="CUST0028"/>
    <s v="ACC00208"/>
    <s v="Edward Haynes"/>
    <s v="Female"/>
    <n v="26"/>
    <x v="2"/>
    <x v="1"/>
    <s v="Student"/>
    <d v="2019-08-21T00:00:00"/>
    <x v="2"/>
    <x v="39"/>
    <n v="136953"/>
    <s v="Medium"/>
    <x v="1"/>
    <x v="2"/>
    <d v="2019-05-02T00:00:00"/>
    <n v="130841"/>
    <n v="732"/>
    <x v="0"/>
    <n v="0"/>
    <x v="0"/>
  </r>
  <r>
    <s v="CUST0251"/>
    <s v="ACC00029"/>
    <s v="Danny Scott"/>
    <s v="Female"/>
    <n v="29"/>
    <x v="1"/>
    <x v="1"/>
    <s v="Teacher"/>
    <d v="2024-05-10T00:00:00"/>
    <x v="7"/>
    <x v="40"/>
    <n v="124101"/>
    <s v="Medium"/>
    <x v="0"/>
    <x v="0"/>
    <d v="2020-05-04T00:00:00"/>
    <n v="101948"/>
    <n v="569"/>
    <x v="1"/>
    <n v="335724"/>
    <x v="0"/>
  </r>
  <r>
    <s v="CUST0251"/>
    <s v="ACC00031"/>
    <s v="Danny Scott"/>
    <s v="Female"/>
    <n v="29"/>
    <x v="1"/>
    <x v="1"/>
    <s v="Teacher"/>
    <d v="2024-05-10T00:00:00"/>
    <x v="7"/>
    <x v="40"/>
    <n v="124101"/>
    <s v="Medium"/>
    <x v="0"/>
    <x v="1"/>
    <d v="2020-09-18T00:00:00"/>
    <n v="29493"/>
    <n v="431"/>
    <x v="1"/>
    <n v="0"/>
    <x v="0"/>
  </r>
  <r>
    <s v="CUST0251"/>
    <s v="ACC00496"/>
    <s v="Danny Scott"/>
    <s v="Female"/>
    <n v="29"/>
    <x v="1"/>
    <x v="1"/>
    <s v="Teacher"/>
    <d v="2024-05-10T00:00:00"/>
    <x v="7"/>
    <x v="40"/>
    <n v="124101"/>
    <s v="Medium"/>
    <x v="0"/>
    <x v="1"/>
    <d v="2019-05-05T00:00:00"/>
    <n v="104927"/>
    <n v="429"/>
    <x v="1"/>
    <n v="0"/>
    <x v="0"/>
  </r>
  <r>
    <s v="CUST0476"/>
    <s v="ACC00030"/>
    <s v="William Brown"/>
    <s v="Female"/>
    <n v="18"/>
    <x v="2"/>
    <x v="0"/>
    <s v="Student"/>
    <d v="2019-01-23T00:00:00"/>
    <x v="2"/>
    <x v="41"/>
    <n v="53997"/>
    <s v="Low"/>
    <x v="1"/>
    <x v="1"/>
    <d v="2018-12-27T00:00:00"/>
    <n v="185194"/>
    <n v="609"/>
    <x v="2"/>
    <n v="0"/>
    <x v="0"/>
  </r>
  <r>
    <s v="CUST0476"/>
    <s v="ACC00307"/>
    <s v="William Brown"/>
    <s v="Female"/>
    <n v="18"/>
    <x v="2"/>
    <x v="0"/>
    <s v="Student"/>
    <d v="2019-01-23T00:00:00"/>
    <x v="2"/>
    <x v="41"/>
    <n v="53997"/>
    <s v="Low"/>
    <x v="1"/>
    <x v="0"/>
    <d v="2024-03-15T00:00:00"/>
    <n v="417339"/>
    <n v="662"/>
    <x v="2"/>
    <n v="0"/>
    <x v="0"/>
  </r>
  <r>
    <s v="CUST0476"/>
    <s v="ACC00389"/>
    <s v="William Brown"/>
    <s v="Female"/>
    <n v="18"/>
    <x v="2"/>
    <x v="0"/>
    <s v="Student"/>
    <d v="2019-01-23T00:00:00"/>
    <x v="2"/>
    <x v="41"/>
    <n v="53997"/>
    <s v="Low"/>
    <x v="1"/>
    <x v="0"/>
    <d v="2017-11-23T00:00:00"/>
    <n v="272769"/>
    <n v="794"/>
    <x v="3"/>
    <n v="0"/>
    <x v="0"/>
  </r>
  <r>
    <s v="CUST0476"/>
    <s v="ACC00412"/>
    <s v="William Brown"/>
    <s v="Female"/>
    <n v="18"/>
    <x v="2"/>
    <x v="0"/>
    <s v="Student"/>
    <d v="2019-01-23T00:00:00"/>
    <x v="2"/>
    <x v="41"/>
    <n v="53997"/>
    <s v="Low"/>
    <x v="1"/>
    <x v="3"/>
    <d v="2021-10-18T00:00:00"/>
    <n v="421669"/>
    <n v="829"/>
    <x v="4"/>
    <n v="0"/>
    <x v="0"/>
  </r>
  <r>
    <s v="CUST0031"/>
    <s v="ACC00110"/>
    <s v="Michelle Day"/>
    <s v="Male"/>
    <n v="65"/>
    <x v="3"/>
    <x v="2"/>
    <s v="Doctor"/>
    <d v="2017-01-07T00:00:00"/>
    <x v="0"/>
    <x v="42"/>
    <n v="138533"/>
    <s v="Medium"/>
    <x v="0"/>
    <x v="1"/>
    <d v="2020-12-27T00:00:00"/>
    <n v="221135"/>
    <n v="371"/>
    <x v="1"/>
    <n v="0"/>
    <x v="0"/>
  </r>
  <r>
    <s v="CUST0303"/>
    <s v="ACC00032"/>
    <s v="Steven Black"/>
    <s v="Male"/>
    <n v="52"/>
    <x v="0"/>
    <x v="0"/>
    <s v="Doctor"/>
    <d v="2023-01-31T00:00:00"/>
    <x v="1"/>
    <x v="43"/>
    <n v="147118"/>
    <s v="High"/>
    <x v="0"/>
    <x v="0"/>
    <d v="2023-09-22T00:00:00"/>
    <n v="485463"/>
    <n v="371"/>
    <x v="1"/>
    <n v="0"/>
    <x v="0"/>
  </r>
  <r>
    <s v="CUST0303"/>
    <s v="ACC00471"/>
    <s v="Steven Black"/>
    <s v="Male"/>
    <n v="52"/>
    <x v="0"/>
    <x v="0"/>
    <s v="Doctor"/>
    <d v="2023-01-31T00:00:00"/>
    <x v="1"/>
    <x v="43"/>
    <n v="147118"/>
    <s v="High"/>
    <x v="0"/>
    <x v="1"/>
    <d v="2018-08-06T00:00:00"/>
    <n v="243386"/>
    <n v="634"/>
    <x v="2"/>
    <n v="0"/>
    <x v="2"/>
  </r>
  <r>
    <s v="CUST0032"/>
    <s v="ACC00252"/>
    <s v="Steven Walker"/>
    <s v="Male"/>
    <n v="56"/>
    <x v="0"/>
    <x v="1"/>
    <s v="Retired"/>
    <d v="2016-07-14T00:00:00"/>
    <x v="9"/>
    <x v="44"/>
    <n v="93781"/>
    <s v="Medium"/>
    <x v="0"/>
    <x v="2"/>
    <d v="2015-11-08T00:00:00"/>
    <n v="397650"/>
    <n v="577"/>
    <x v="1"/>
    <n v="0"/>
    <x v="0"/>
  </r>
  <r>
    <s v="CUST0032"/>
    <s v="ACC00353"/>
    <s v="Steven Walker"/>
    <s v="Male"/>
    <n v="56"/>
    <x v="0"/>
    <x v="1"/>
    <s v="Retired"/>
    <d v="2016-07-14T00:00:00"/>
    <x v="9"/>
    <x v="44"/>
    <n v="93781"/>
    <s v="Medium"/>
    <x v="0"/>
    <x v="2"/>
    <d v="2016-10-24T00:00:00"/>
    <n v="35931"/>
    <n v="305"/>
    <x v="1"/>
    <n v="0"/>
    <x v="0"/>
  </r>
  <r>
    <s v="CUST0459"/>
    <s v="ACC00033"/>
    <s v="Raymond Holmes"/>
    <s v="Male"/>
    <n v="18"/>
    <x v="2"/>
    <x v="3"/>
    <s v="Teacher"/>
    <d v="2020-01-19T00:00:00"/>
    <x v="4"/>
    <x v="45"/>
    <n v="103310"/>
    <s v="Medium"/>
    <x v="0"/>
    <x v="0"/>
    <d v="2024-07-22T00:00:00"/>
    <n v="466755"/>
    <n v="486"/>
    <x v="1"/>
    <n v="0"/>
    <x v="2"/>
  </r>
  <r>
    <s v="CUST0313"/>
    <s v="ACC00034"/>
    <s v="Amy Thornton"/>
    <s v="Female"/>
    <n v="61"/>
    <x v="3"/>
    <x v="3"/>
    <s v="Engineer"/>
    <d v="2019-04-11T00:00:00"/>
    <x v="2"/>
    <x v="46"/>
    <n v="150406"/>
    <s v="High"/>
    <x v="1"/>
    <x v="2"/>
    <d v="2016-03-04T00:00:00"/>
    <n v="293851"/>
    <n v="785"/>
    <x v="3"/>
    <n v="0"/>
    <x v="0"/>
  </r>
  <r>
    <s v="CUST0313"/>
    <s v="ACC00100"/>
    <s v="Amy Thornton"/>
    <s v="Female"/>
    <n v="61"/>
    <x v="3"/>
    <x v="3"/>
    <s v="Engineer"/>
    <d v="2019-04-11T00:00:00"/>
    <x v="2"/>
    <x v="46"/>
    <n v="150406"/>
    <s v="High"/>
    <x v="1"/>
    <x v="0"/>
    <d v="2024-01-12T00:00:00"/>
    <n v="346658"/>
    <n v="716"/>
    <x v="0"/>
    <n v="0"/>
    <x v="0"/>
  </r>
  <r>
    <s v="CUST0313"/>
    <s v="ACC00174"/>
    <s v="Amy Thornton"/>
    <s v="Female"/>
    <n v="61"/>
    <x v="3"/>
    <x v="3"/>
    <s v="Engineer"/>
    <d v="2019-04-11T00:00:00"/>
    <x v="2"/>
    <x v="46"/>
    <n v="150406"/>
    <s v="High"/>
    <x v="1"/>
    <x v="0"/>
    <d v="2023-03-15T00:00:00"/>
    <n v="347424"/>
    <n v="674"/>
    <x v="0"/>
    <n v="0"/>
    <x v="3"/>
  </r>
  <r>
    <s v="CUST0313"/>
    <s v="ACC00477"/>
    <s v="Amy Thornton"/>
    <s v="Female"/>
    <n v="61"/>
    <x v="3"/>
    <x v="3"/>
    <s v="Engineer"/>
    <d v="2019-04-11T00:00:00"/>
    <x v="2"/>
    <x v="46"/>
    <n v="150406"/>
    <s v="High"/>
    <x v="1"/>
    <x v="0"/>
    <d v="2020-01-26T00:00:00"/>
    <n v="274535"/>
    <n v="349"/>
    <x v="1"/>
    <n v="246766"/>
    <x v="3"/>
  </r>
  <r>
    <s v="CUST0034"/>
    <s v="ACC00425"/>
    <s v="Brooke Carlson"/>
    <s v="Female"/>
    <n v="59"/>
    <x v="0"/>
    <x v="0"/>
    <s v="Student"/>
    <d v="2021-11-13T00:00:00"/>
    <x v="3"/>
    <x v="47"/>
    <n v="66600"/>
    <s v="Low"/>
    <x v="0"/>
    <x v="0"/>
    <d v="2024-08-17T00:00:00"/>
    <n v="438164"/>
    <n v="582"/>
    <x v="2"/>
    <n v="0"/>
    <x v="1"/>
  </r>
  <r>
    <s v="CUST0118"/>
    <s v="ACC00035"/>
    <s v="Shawn Randolph"/>
    <s v="Female"/>
    <n v="42"/>
    <x v="1"/>
    <x v="3"/>
    <s v="Banker"/>
    <d v="2025-03-04T00:00:00"/>
    <x v="8"/>
    <x v="48"/>
    <n v="88344"/>
    <s v="Medium"/>
    <x v="1"/>
    <x v="1"/>
    <d v="2019-01-30T00:00:00"/>
    <n v="199886"/>
    <n v="490"/>
    <x v="1"/>
    <n v="0"/>
    <x v="0"/>
  </r>
  <r>
    <s v="CUST0118"/>
    <s v="ACC00066"/>
    <s v="Shawn Randolph"/>
    <s v="Female"/>
    <n v="42"/>
    <x v="1"/>
    <x v="3"/>
    <s v="Banker"/>
    <d v="2025-03-04T00:00:00"/>
    <x v="8"/>
    <x v="48"/>
    <n v="88344"/>
    <s v="Medium"/>
    <x v="1"/>
    <x v="0"/>
    <d v="2025-07-08T00:00:00"/>
    <n v="2187"/>
    <n v="799"/>
    <x v="3"/>
    <n v="0"/>
    <x v="0"/>
  </r>
  <r>
    <s v="CUST0035"/>
    <s v="ACC00075"/>
    <s v="Kevin Marshall"/>
    <s v="Female"/>
    <n v="72"/>
    <x v="3"/>
    <x v="2"/>
    <s v="Banker"/>
    <d v="2016-06-12T00:00:00"/>
    <x v="9"/>
    <x v="49"/>
    <n v="96898"/>
    <s v="Medium"/>
    <x v="0"/>
    <x v="0"/>
    <d v="2019-10-03T00:00:00"/>
    <n v="419705"/>
    <n v="614"/>
    <x v="2"/>
    <n v="0"/>
    <x v="0"/>
  </r>
  <r>
    <s v="CUST0301"/>
    <s v="ACC00036"/>
    <s v="Regina Schultz"/>
    <s v="Male"/>
    <n v="48"/>
    <x v="0"/>
    <x v="3"/>
    <s v="Doctor"/>
    <d v="2024-02-12T00:00:00"/>
    <x v="7"/>
    <x v="50"/>
    <n v="70861"/>
    <s v="Low"/>
    <x v="1"/>
    <x v="2"/>
    <d v="2021-07-08T00:00:00"/>
    <n v="138368"/>
    <n v="721"/>
    <x v="0"/>
    <n v="0"/>
    <x v="0"/>
  </r>
  <r>
    <s v="CUST0301"/>
    <s v="ACC00140"/>
    <s v="Regina Schultz"/>
    <s v="Male"/>
    <n v="48"/>
    <x v="0"/>
    <x v="3"/>
    <s v="Doctor"/>
    <d v="2024-02-12T00:00:00"/>
    <x v="7"/>
    <x v="50"/>
    <n v="70861"/>
    <s v="Low"/>
    <x v="1"/>
    <x v="1"/>
    <d v="2022-04-09T00:00:00"/>
    <n v="64925"/>
    <n v="446"/>
    <x v="1"/>
    <n v="0"/>
    <x v="0"/>
  </r>
  <r>
    <s v="CUST0036"/>
    <s v="ACC00114"/>
    <s v="Bradley Moore"/>
    <s v="Male"/>
    <n v="43"/>
    <x v="1"/>
    <x v="2"/>
    <s v="Banker"/>
    <d v="2017-06-16T00:00:00"/>
    <x v="0"/>
    <x v="51"/>
    <n v="169369"/>
    <s v="High"/>
    <x v="1"/>
    <x v="1"/>
    <d v="2022-11-08T00:00:00"/>
    <n v="289662"/>
    <n v="406"/>
    <x v="1"/>
    <n v="0"/>
    <x v="0"/>
  </r>
  <r>
    <s v="CUST0161"/>
    <s v="ACC00037"/>
    <s v="David Sanders"/>
    <s v="Male"/>
    <n v="22"/>
    <x v="2"/>
    <x v="2"/>
    <s v="Doctor"/>
    <d v="2021-02-25T00:00:00"/>
    <x v="3"/>
    <x v="52"/>
    <n v="93609"/>
    <s v="Medium"/>
    <x v="1"/>
    <x v="1"/>
    <d v="2021-08-22T00:00:00"/>
    <n v="156470"/>
    <n v="419"/>
    <x v="1"/>
    <n v="0"/>
    <x v="0"/>
  </r>
  <r>
    <s v="CUST0161"/>
    <s v="ACC00194"/>
    <s v="David Sanders"/>
    <s v="Male"/>
    <n v="22"/>
    <x v="2"/>
    <x v="2"/>
    <s v="Doctor"/>
    <d v="2021-02-25T00:00:00"/>
    <x v="3"/>
    <x v="52"/>
    <n v="93609"/>
    <s v="Medium"/>
    <x v="1"/>
    <x v="2"/>
    <d v="2020-12-11T00:00:00"/>
    <n v="404015"/>
    <n v="581"/>
    <x v="2"/>
    <n v="0"/>
    <x v="0"/>
  </r>
  <r>
    <s v="CUST0401"/>
    <s v="ACC00038"/>
    <s v="Kelsey Rodriguez"/>
    <s v="Female"/>
    <n v="71"/>
    <x v="3"/>
    <x v="0"/>
    <s v="Retired"/>
    <d v="2020-09-26T00:00:00"/>
    <x v="4"/>
    <x v="53"/>
    <n v="199436"/>
    <s v="High"/>
    <x v="2"/>
    <x v="1"/>
    <d v="2019-06-03T00:00:00"/>
    <n v="297986"/>
    <n v="519"/>
    <x v="1"/>
    <n v="5654"/>
    <x v="0"/>
  </r>
  <r>
    <s v="CUST0401"/>
    <s v="ACC00485"/>
    <s v="Kelsey Rodriguez"/>
    <s v="Female"/>
    <n v="71"/>
    <x v="3"/>
    <x v="0"/>
    <s v="Retired"/>
    <d v="2020-09-26T00:00:00"/>
    <x v="4"/>
    <x v="53"/>
    <n v="199436"/>
    <s v="High"/>
    <x v="2"/>
    <x v="1"/>
    <d v="2022-06-07T00:00:00"/>
    <n v="181429"/>
    <n v="458"/>
    <x v="1"/>
    <n v="0"/>
    <x v="0"/>
  </r>
  <r>
    <s v="CUST0198"/>
    <s v="ACC00039"/>
    <s v="Sarah Santiago"/>
    <s v="Female"/>
    <n v="27"/>
    <x v="2"/>
    <x v="1"/>
    <s v="Trader"/>
    <d v="2020-04-24T00:00:00"/>
    <x v="4"/>
    <x v="54"/>
    <n v="72307"/>
    <s v="Low"/>
    <x v="1"/>
    <x v="1"/>
    <d v="2024-10-31T00:00:00"/>
    <n v="13261"/>
    <n v="352"/>
    <x v="1"/>
    <n v="59633"/>
    <x v="0"/>
  </r>
  <r>
    <s v="CUST0198"/>
    <s v="ACC00046"/>
    <s v="Sarah Santiago"/>
    <s v="Female"/>
    <n v="27"/>
    <x v="2"/>
    <x v="1"/>
    <s v="Trader"/>
    <d v="2020-04-24T00:00:00"/>
    <x v="4"/>
    <x v="54"/>
    <n v="72307"/>
    <s v="Low"/>
    <x v="1"/>
    <x v="2"/>
    <d v="2024-05-01T00:00:00"/>
    <n v="275796"/>
    <n v="371"/>
    <x v="1"/>
    <n v="0"/>
    <x v="0"/>
  </r>
  <r>
    <s v="CUST0198"/>
    <s v="ACC00068"/>
    <s v="Sarah Santiago"/>
    <s v="Female"/>
    <n v="27"/>
    <x v="2"/>
    <x v="1"/>
    <s v="Trader"/>
    <d v="2020-04-24T00:00:00"/>
    <x v="4"/>
    <x v="54"/>
    <n v="72307"/>
    <s v="Low"/>
    <x v="1"/>
    <x v="1"/>
    <d v="2016-08-23T00:00:00"/>
    <n v="297242"/>
    <n v="780"/>
    <x v="3"/>
    <n v="0"/>
    <x v="2"/>
  </r>
  <r>
    <s v="CUST0198"/>
    <s v="ACC00219"/>
    <s v="Sarah Santiago"/>
    <s v="Female"/>
    <n v="27"/>
    <x v="2"/>
    <x v="1"/>
    <s v="Trader"/>
    <d v="2020-04-24T00:00:00"/>
    <x v="4"/>
    <x v="54"/>
    <n v="72307"/>
    <s v="Low"/>
    <x v="1"/>
    <x v="0"/>
    <d v="2024-09-12T00:00:00"/>
    <n v="143888"/>
    <n v="663"/>
    <x v="2"/>
    <n v="0"/>
    <x v="0"/>
  </r>
  <r>
    <s v="CUST0039"/>
    <s v="ACC00486"/>
    <s v="Jorge James"/>
    <s v="Male"/>
    <n v="42"/>
    <x v="1"/>
    <x v="1"/>
    <s v="Trader"/>
    <d v="2020-08-31T00:00:00"/>
    <x v="4"/>
    <x v="55"/>
    <n v="193946"/>
    <s v="High"/>
    <x v="0"/>
    <x v="3"/>
    <d v="2022-12-04T00:00:00"/>
    <n v="217980"/>
    <n v="683"/>
    <x v="0"/>
    <n v="0"/>
    <x v="1"/>
  </r>
  <r>
    <s v="CUST0260"/>
    <s v="ACC00040"/>
    <s v="Nicholas Stone"/>
    <s v="Male"/>
    <n v="34"/>
    <x v="1"/>
    <x v="3"/>
    <s v="Teacher"/>
    <d v="2022-01-27T00:00:00"/>
    <x v="5"/>
    <x v="56"/>
    <n v="105708"/>
    <s v="Medium"/>
    <x v="1"/>
    <x v="1"/>
    <d v="2020-10-17T00:00:00"/>
    <n v="76709"/>
    <n v="750"/>
    <x v="3"/>
    <n v="0"/>
    <x v="3"/>
  </r>
  <r>
    <s v="CUST0260"/>
    <s v="ACC00092"/>
    <s v="Nicholas Stone"/>
    <s v="Male"/>
    <n v="34"/>
    <x v="1"/>
    <x v="3"/>
    <s v="Teacher"/>
    <d v="2022-01-27T00:00:00"/>
    <x v="5"/>
    <x v="56"/>
    <n v="105708"/>
    <s v="Medium"/>
    <x v="1"/>
    <x v="0"/>
    <d v="2019-10-11T00:00:00"/>
    <n v="424032"/>
    <n v="766"/>
    <x v="3"/>
    <n v="0"/>
    <x v="0"/>
  </r>
  <r>
    <s v="CUST0260"/>
    <s v="ACC00347"/>
    <s v="Nicholas Stone"/>
    <s v="Male"/>
    <n v="34"/>
    <x v="1"/>
    <x v="3"/>
    <s v="Teacher"/>
    <d v="2022-01-27T00:00:00"/>
    <x v="5"/>
    <x v="56"/>
    <n v="105708"/>
    <s v="Medium"/>
    <x v="1"/>
    <x v="1"/>
    <d v="2018-03-12T00:00:00"/>
    <n v="382162"/>
    <n v="587"/>
    <x v="2"/>
    <n v="277869"/>
    <x v="0"/>
  </r>
  <r>
    <s v="CUST0260"/>
    <s v="ACC00368"/>
    <s v="Nicholas Stone"/>
    <s v="Male"/>
    <n v="34"/>
    <x v="1"/>
    <x v="3"/>
    <s v="Teacher"/>
    <d v="2022-01-27T00:00:00"/>
    <x v="5"/>
    <x v="56"/>
    <n v="105708"/>
    <s v="Medium"/>
    <x v="1"/>
    <x v="0"/>
    <d v="2016-06-17T00:00:00"/>
    <n v="385827"/>
    <n v="814"/>
    <x v="4"/>
    <n v="0"/>
    <x v="3"/>
  </r>
  <r>
    <s v="CUST0040"/>
    <s v="ACC00335"/>
    <s v="Adam Montgomery"/>
    <s v="Male"/>
    <n v="41"/>
    <x v="1"/>
    <x v="1"/>
    <s v="Student"/>
    <d v="2015-10-19T00:00:00"/>
    <x v="10"/>
    <x v="57"/>
    <n v="27657"/>
    <s v="Low"/>
    <x v="0"/>
    <x v="3"/>
    <d v="2023-01-08T00:00:00"/>
    <n v="252217"/>
    <n v="529"/>
    <x v="1"/>
    <n v="0"/>
    <x v="0"/>
  </r>
  <r>
    <s v="CUST0148"/>
    <s v="ACC00041"/>
    <s v="Thomas Fowler"/>
    <s v="Male"/>
    <n v="33"/>
    <x v="1"/>
    <x v="2"/>
    <s v="Student"/>
    <d v="2018-08-25T00:00:00"/>
    <x v="6"/>
    <x v="58"/>
    <n v="164353"/>
    <s v="High"/>
    <x v="1"/>
    <x v="0"/>
    <d v="2025-03-24T00:00:00"/>
    <n v="95985"/>
    <n v="711"/>
    <x v="0"/>
    <n v="0"/>
    <x v="0"/>
  </r>
  <r>
    <s v="CUST0148"/>
    <s v="ACC00162"/>
    <s v="Thomas Fowler"/>
    <s v="Male"/>
    <n v="33"/>
    <x v="1"/>
    <x v="2"/>
    <s v="Student"/>
    <d v="2018-08-25T00:00:00"/>
    <x v="6"/>
    <x v="58"/>
    <n v="164353"/>
    <s v="High"/>
    <x v="1"/>
    <x v="1"/>
    <d v="2020-12-28T00:00:00"/>
    <n v="97406"/>
    <n v="654"/>
    <x v="2"/>
    <n v="0"/>
    <x v="0"/>
  </r>
  <r>
    <s v="CUST0148"/>
    <s v="ACC00459"/>
    <s v="Thomas Fowler"/>
    <s v="Male"/>
    <n v="33"/>
    <x v="1"/>
    <x v="2"/>
    <s v="Student"/>
    <d v="2018-08-25T00:00:00"/>
    <x v="6"/>
    <x v="58"/>
    <n v="164353"/>
    <s v="High"/>
    <x v="1"/>
    <x v="2"/>
    <d v="2023-01-22T00:00:00"/>
    <n v="474786"/>
    <n v="445"/>
    <x v="1"/>
    <n v="0"/>
    <x v="0"/>
  </r>
  <r>
    <s v="CUST0041"/>
    <s v="ACC00426"/>
    <s v="Dr. Nicole Mendez"/>
    <s v="Male"/>
    <n v="30"/>
    <x v="1"/>
    <x v="3"/>
    <s v="Retired"/>
    <d v="2017-04-28T00:00:00"/>
    <x v="0"/>
    <x v="59"/>
    <n v="176497"/>
    <s v="High"/>
    <x v="0"/>
    <x v="1"/>
    <d v="2021-06-01T00:00:00"/>
    <n v="261497"/>
    <n v="371"/>
    <x v="1"/>
    <n v="0"/>
    <x v="0"/>
  </r>
  <r>
    <s v="CUST0240"/>
    <s v="ACC00042"/>
    <s v="James Park"/>
    <s v="Female"/>
    <n v="52"/>
    <x v="0"/>
    <x v="3"/>
    <s v="Engineer"/>
    <d v="2021-12-14T00:00:00"/>
    <x v="3"/>
    <x v="60"/>
    <n v="72098"/>
    <s v="Low"/>
    <x v="1"/>
    <x v="0"/>
    <d v="2020-12-06T00:00:00"/>
    <n v="368760"/>
    <n v="536"/>
    <x v="1"/>
    <n v="0"/>
    <x v="0"/>
  </r>
  <r>
    <s v="CUST0042"/>
    <s v="ACC00288"/>
    <s v="Joseph Owens"/>
    <s v="Male"/>
    <n v="24"/>
    <x v="2"/>
    <x v="3"/>
    <s v="Engineer"/>
    <d v="2016-07-25T00:00:00"/>
    <x v="9"/>
    <x v="61"/>
    <n v="177757"/>
    <s v="High"/>
    <x v="1"/>
    <x v="1"/>
    <d v="2019-06-02T00:00:00"/>
    <n v="352245"/>
    <n v="687"/>
    <x v="0"/>
    <n v="0"/>
    <x v="0"/>
  </r>
  <r>
    <s v="CUST0042"/>
    <s v="ACC00321"/>
    <s v="Joseph Owens"/>
    <s v="Male"/>
    <n v="24"/>
    <x v="2"/>
    <x v="3"/>
    <s v="Engineer"/>
    <d v="2016-07-25T00:00:00"/>
    <x v="9"/>
    <x v="61"/>
    <n v="177757"/>
    <s v="High"/>
    <x v="1"/>
    <x v="3"/>
    <d v="2020-02-01T00:00:00"/>
    <n v="310152"/>
    <n v="536"/>
    <x v="1"/>
    <n v="0"/>
    <x v="0"/>
  </r>
  <r>
    <s v="CUST0047"/>
    <s v="ACC00043"/>
    <s v="Patricia Schneider"/>
    <s v="Female"/>
    <n v="18"/>
    <x v="2"/>
    <x v="0"/>
    <s v="Doctor"/>
    <d v="2017-04-06T00:00:00"/>
    <x v="0"/>
    <x v="62"/>
    <n v="81413"/>
    <s v="Medium"/>
    <x v="1"/>
    <x v="1"/>
    <d v="2023-10-01T00:00:00"/>
    <n v="449920"/>
    <n v="705"/>
    <x v="0"/>
    <n v="0"/>
    <x v="0"/>
  </r>
  <r>
    <s v="CUST0047"/>
    <s v="ACC00047"/>
    <s v="Patricia Schneider"/>
    <s v="Female"/>
    <n v="18"/>
    <x v="2"/>
    <x v="0"/>
    <s v="Doctor"/>
    <d v="2017-04-06T00:00:00"/>
    <x v="0"/>
    <x v="62"/>
    <n v="81413"/>
    <s v="Medium"/>
    <x v="1"/>
    <x v="3"/>
    <d v="2022-08-09T00:00:00"/>
    <n v="267247"/>
    <n v="484"/>
    <x v="1"/>
    <n v="0"/>
    <x v="0"/>
  </r>
  <r>
    <s v="CUST0047"/>
    <s v="ACC00315"/>
    <s v="Patricia Schneider"/>
    <s v="Female"/>
    <n v="18"/>
    <x v="2"/>
    <x v="0"/>
    <s v="Doctor"/>
    <d v="2017-04-06T00:00:00"/>
    <x v="0"/>
    <x v="62"/>
    <n v="81413"/>
    <s v="Medium"/>
    <x v="1"/>
    <x v="2"/>
    <d v="2022-09-17T00:00:00"/>
    <n v="327069"/>
    <n v="762"/>
    <x v="3"/>
    <n v="0"/>
    <x v="0"/>
  </r>
  <r>
    <s v="CUST0047"/>
    <s v="ACC00455"/>
    <s v="Patricia Schneider"/>
    <s v="Female"/>
    <n v="18"/>
    <x v="2"/>
    <x v="0"/>
    <s v="Doctor"/>
    <d v="2017-04-06T00:00:00"/>
    <x v="0"/>
    <x v="62"/>
    <n v="81413"/>
    <s v="Medium"/>
    <x v="1"/>
    <x v="1"/>
    <d v="2017-04-16T00:00:00"/>
    <n v="459845"/>
    <n v="584"/>
    <x v="2"/>
    <n v="0"/>
    <x v="3"/>
  </r>
  <r>
    <s v="CUST0043"/>
    <s v="ACC00210"/>
    <s v="Stephanie Ashley"/>
    <s v="Female"/>
    <n v="74"/>
    <x v="3"/>
    <x v="2"/>
    <s v="Engineer"/>
    <d v="2022-07-10T00:00:00"/>
    <x v="5"/>
    <x v="63"/>
    <n v="132855"/>
    <s v="Medium"/>
    <x v="0"/>
    <x v="1"/>
    <d v="2020-05-11T00:00:00"/>
    <n v="277954"/>
    <n v="745"/>
    <x v="3"/>
    <n v="0"/>
    <x v="0"/>
  </r>
  <r>
    <s v="CUST0475"/>
    <s v="ACC00044"/>
    <s v="Frank Le"/>
    <s v="Male"/>
    <n v="52"/>
    <x v="0"/>
    <x v="0"/>
    <s v="Banker"/>
    <d v="2020-10-19T00:00:00"/>
    <x v="4"/>
    <x v="64"/>
    <n v="84178"/>
    <s v="Medium"/>
    <x v="2"/>
    <x v="0"/>
    <d v="2016-03-31T00:00:00"/>
    <n v="329317"/>
    <n v="721"/>
    <x v="0"/>
    <n v="0"/>
    <x v="0"/>
  </r>
  <r>
    <s v="CUST0475"/>
    <s v="ACC00153"/>
    <s v="Frank Le"/>
    <s v="Male"/>
    <n v="52"/>
    <x v="0"/>
    <x v="0"/>
    <s v="Banker"/>
    <d v="2020-10-19T00:00:00"/>
    <x v="4"/>
    <x v="64"/>
    <n v="84178"/>
    <s v="Medium"/>
    <x v="2"/>
    <x v="0"/>
    <d v="2022-09-16T00:00:00"/>
    <n v="255688"/>
    <n v="607"/>
    <x v="2"/>
    <n v="0"/>
    <x v="0"/>
  </r>
  <r>
    <s v="CUST0044"/>
    <s v="ACC00138"/>
    <s v="Regina Harris"/>
    <s v="Female"/>
    <n v="53"/>
    <x v="0"/>
    <x v="2"/>
    <s v="Retired"/>
    <d v="2021-08-19T00:00:00"/>
    <x v="3"/>
    <x v="65"/>
    <n v="175650"/>
    <s v="High"/>
    <x v="1"/>
    <x v="2"/>
    <d v="2023-03-05T00:00:00"/>
    <n v="471797"/>
    <n v="572"/>
    <x v="1"/>
    <n v="0"/>
    <x v="0"/>
  </r>
  <r>
    <s v="CUST0044"/>
    <s v="ACC00286"/>
    <s v="Regina Harris"/>
    <s v="Female"/>
    <n v="53"/>
    <x v="0"/>
    <x v="2"/>
    <s v="Retired"/>
    <d v="2021-08-19T00:00:00"/>
    <x v="3"/>
    <x v="65"/>
    <n v="175650"/>
    <s v="High"/>
    <x v="1"/>
    <x v="2"/>
    <d v="2024-04-13T00:00:00"/>
    <n v="268620"/>
    <n v="747"/>
    <x v="3"/>
    <n v="0"/>
    <x v="0"/>
  </r>
  <r>
    <s v="CUST0399"/>
    <s v="ACC00045"/>
    <s v="Kevin Hughes"/>
    <s v="Female"/>
    <n v="70"/>
    <x v="3"/>
    <x v="0"/>
    <s v="Retired"/>
    <d v="2025-02-14T00:00:00"/>
    <x v="8"/>
    <x v="66"/>
    <n v="106652"/>
    <s v="Medium"/>
    <x v="1"/>
    <x v="1"/>
    <d v="2023-12-30T00:00:00"/>
    <n v="293925"/>
    <n v="546"/>
    <x v="1"/>
    <n v="0"/>
    <x v="0"/>
  </r>
  <r>
    <s v="CUST0399"/>
    <s v="ACC00157"/>
    <s v="Kevin Hughes"/>
    <s v="Female"/>
    <n v="70"/>
    <x v="3"/>
    <x v="0"/>
    <s v="Retired"/>
    <d v="2025-02-14T00:00:00"/>
    <x v="8"/>
    <x v="66"/>
    <n v="106652"/>
    <s v="Medium"/>
    <x v="1"/>
    <x v="1"/>
    <d v="2018-09-11T00:00:00"/>
    <n v="485581"/>
    <n v="546"/>
    <x v="1"/>
    <n v="0"/>
    <x v="0"/>
  </r>
  <r>
    <s v="CUST0399"/>
    <s v="ACC00316"/>
    <s v="Kevin Hughes"/>
    <s v="Female"/>
    <n v="70"/>
    <x v="3"/>
    <x v="0"/>
    <s v="Retired"/>
    <d v="2025-02-14T00:00:00"/>
    <x v="8"/>
    <x v="66"/>
    <n v="106652"/>
    <s v="Medium"/>
    <x v="1"/>
    <x v="1"/>
    <d v="2017-04-28T00:00:00"/>
    <n v="68842"/>
    <n v="486"/>
    <x v="1"/>
    <n v="127026"/>
    <x v="0"/>
  </r>
  <r>
    <s v="CUST0078"/>
    <s v="ACC00048"/>
    <s v="Jenna Butler"/>
    <s v="Female"/>
    <n v="61"/>
    <x v="3"/>
    <x v="3"/>
    <s v="Doctor"/>
    <d v="2018-07-21T00:00:00"/>
    <x v="6"/>
    <x v="67"/>
    <n v="90831"/>
    <s v="Medium"/>
    <x v="1"/>
    <x v="1"/>
    <d v="2024-10-18T00:00:00"/>
    <n v="287644"/>
    <n v="305"/>
    <x v="1"/>
    <n v="485398"/>
    <x v="0"/>
  </r>
  <r>
    <s v="CUST0124"/>
    <s v="ACC00049"/>
    <s v="David Smith"/>
    <s v="Male"/>
    <n v="56"/>
    <x v="0"/>
    <x v="0"/>
    <s v="Teacher"/>
    <d v="2022-07-10T00:00:00"/>
    <x v="5"/>
    <x v="63"/>
    <n v="173962"/>
    <s v="High"/>
    <x v="1"/>
    <x v="0"/>
    <d v="2020-01-05T00:00:00"/>
    <n v="246404"/>
    <n v="505"/>
    <x v="1"/>
    <n v="0"/>
    <x v="0"/>
  </r>
  <r>
    <s v="CUST0124"/>
    <s v="ACC00460"/>
    <s v="David Smith"/>
    <s v="Male"/>
    <n v="56"/>
    <x v="0"/>
    <x v="0"/>
    <s v="Teacher"/>
    <d v="2022-07-10T00:00:00"/>
    <x v="5"/>
    <x v="63"/>
    <n v="173962"/>
    <s v="High"/>
    <x v="1"/>
    <x v="2"/>
    <d v="2025-04-19T00:00:00"/>
    <n v="464462"/>
    <n v="329"/>
    <x v="1"/>
    <n v="0"/>
    <x v="0"/>
  </r>
  <r>
    <s v="CUST0049"/>
    <s v="ACC00084"/>
    <s v="Samantha Davis"/>
    <s v="Female"/>
    <n v="63"/>
    <x v="3"/>
    <x v="3"/>
    <s v="Banker"/>
    <d v="2017-01-15T00:00:00"/>
    <x v="0"/>
    <x v="68"/>
    <n v="27287"/>
    <s v="Low"/>
    <x v="1"/>
    <x v="1"/>
    <d v="2018-03-17T00:00:00"/>
    <n v="353827"/>
    <n v="810"/>
    <x v="4"/>
    <n v="0"/>
    <x v="0"/>
  </r>
  <r>
    <s v="CUST0049"/>
    <s v="ACC00250"/>
    <s v="Samantha Davis"/>
    <s v="Female"/>
    <n v="63"/>
    <x v="3"/>
    <x v="3"/>
    <s v="Banker"/>
    <d v="2017-01-15T00:00:00"/>
    <x v="0"/>
    <x v="68"/>
    <n v="27287"/>
    <s v="Low"/>
    <x v="1"/>
    <x v="2"/>
    <d v="2022-08-12T00:00:00"/>
    <n v="717"/>
    <n v="842"/>
    <x v="4"/>
    <n v="197718"/>
    <x v="0"/>
  </r>
  <r>
    <s v="CUST0075"/>
    <s v="ACC00050"/>
    <s v="Stephen Jacobs"/>
    <s v="Male"/>
    <n v="25"/>
    <x v="2"/>
    <x v="3"/>
    <s v="Doctor"/>
    <d v="2018-07-28T00:00:00"/>
    <x v="6"/>
    <x v="8"/>
    <n v="89669"/>
    <s v="Medium"/>
    <x v="2"/>
    <x v="1"/>
    <d v="2024-05-02T00:00:00"/>
    <n v="100336"/>
    <n v="843"/>
    <x v="4"/>
    <n v="316011"/>
    <x v="3"/>
  </r>
  <r>
    <s v="CUST0075"/>
    <s v="ACC00431"/>
    <s v="Stephen Jacobs"/>
    <s v="Male"/>
    <n v="25"/>
    <x v="2"/>
    <x v="3"/>
    <s v="Doctor"/>
    <d v="2018-07-28T00:00:00"/>
    <x v="6"/>
    <x v="8"/>
    <n v="89669"/>
    <s v="Medium"/>
    <x v="2"/>
    <x v="2"/>
    <d v="2023-08-28T00:00:00"/>
    <n v="158598"/>
    <n v="362"/>
    <x v="1"/>
    <n v="0"/>
    <x v="3"/>
  </r>
  <r>
    <s v="CUST0050"/>
    <s v="ACC00059"/>
    <s v="Michele Kim"/>
    <s v="Female"/>
    <n v="33"/>
    <x v="1"/>
    <x v="3"/>
    <s v="Retired"/>
    <d v="2023-03-07T00:00:00"/>
    <x v="1"/>
    <x v="69"/>
    <n v="53660"/>
    <s v="Low"/>
    <x v="0"/>
    <x v="0"/>
    <d v="2019-10-06T00:00:00"/>
    <n v="325203"/>
    <n v="586"/>
    <x v="2"/>
    <n v="0"/>
    <x v="0"/>
  </r>
  <r>
    <s v="CUST0359"/>
    <s v="ACC00051"/>
    <s v="Zachary Knapp"/>
    <s v="Male"/>
    <n v="45"/>
    <x v="0"/>
    <x v="1"/>
    <s v="Doctor"/>
    <d v="2023-01-28T00:00:00"/>
    <x v="1"/>
    <x v="70"/>
    <n v="36082"/>
    <s v="Low"/>
    <x v="0"/>
    <x v="1"/>
    <d v="2019-12-11T00:00:00"/>
    <n v="428745"/>
    <n v="686"/>
    <x v="0"/>
    <n v="449244"/>
    <x v="0"/>
  </r>
  <r>
    <s v="CUST0051"/>
    <s v="ACC00071"/>
    <s v="Daniel Logan"/>
    <s v="Male"/>
    <n v="31"/>
    <x v="1"/>
    <x v="3"/>
    <s v="Engineer"/>
    <d v="2016-09-09T00:00:00"/>
    <x v="9"/>
    <x v="71"/>
    <n v="80504"/>
    <s v="Medium"/>
    <x v="1"/>
    <x v="0"/>
    <d v="2016-11-28T00:00:00"/>
    <n v="134678"/>
    <n v="627"/>
    <x v="2"/>
    <n v="0"/>
    <x v="0"/>
  </r>
  <r>
    <s v="CUST0137"/>
    <s v="ACC00052"/>
    <s v="Jamie Perry"/>
    <s v="Male"/>
    <n v="46"/>
    <x v="0"/>
    <x v="1"/>
    <s v="Doctor"/>
    <d v="2019-05-09T00:00:00"/>
    <x v="2"/>
    <x v="72"/>
    <n v="185904"/>
    <s v="High"/>
    <x v="1"/>
    <x v="1"/>
    <d v="2016-02-25T00:00:00"/>
    <n v="113499"/>
    <n v="375"/>
    <x v="1"/>
    <n v="0"/>
    <x v="3"/>
  </r>
  <r>
    <s v="CUST0137"/>
    <s v="ACC00354"/>
    <s v="Jamie Perry"/>
    <s v="Male"/>
    <n v="46"/>
    <x v="0"/>
    <x v="1"/>
    <s v="Doctor"/>
    <d v="2019-05-09T00:00:00"/>
    <x v="2"/>
    <x v="72"/>
    <n v="185904"/>
    <s v="High"/>
    <x v="1"/>
    <x v="0"/>
    <d v="2019-07-22T00:00:00"/>
    <n v="124168"/>
    <n v="675"/>
    <x v="0"/>
    <n v="478006"/>
    <x v="0"/>
  </r>
  <r>
    <s v="CUST0090"/>
    <s v="ACC00053"/>
    <s v="Edward Ramirez"/>
    <s v="Female"/>
    <n v="57"/>
    <x v="0"/>
    <x v="2"/>
    <s v="Student"/>
    <d v="2015-08-23T00:00:00"/>
    <x v="10"/>
    <x v="73"/>
    <n v="160588"/>
    <s v="High"/>
    <x v="1"/>
    <x v="2"/>
    <d v="2017-10-20T00:00:00"/>
    <n v="149524"/>
    <n v="476"/>
    <x v="1"/>
    <n v="0"/>
    <x v="0"/>
  </r>
  <r>
    <s v="CUST0090"/>
    <s v="ACC00091"/>
    <s v="Edward Ramirez"/>
    <s v="Female"/>
    <n v="57"/>
    <x v="0"/>
    <x v="2"/>
    <s v="Student"/>
    <d v="2015-08-23T00:00:00"/>
    <x v="10"/>
    <x v="73"/>
    <n v="160588"/>
    <s v="High"/>
    <x v="1"/>
    <x v="0"/>
    <d v="2022-04-30T00:00:00"/>
    <n v="404303"/>
    <n v="470"/>
    <x v="1"/>
    <n v="98109"/>
    <x v="0"/>
  </r>
  <r>
    <s v="CUST0400"/>
    <s v="ACC00054"/>
    <s v="Timothy Brewer MD"/>
    <s v="Male"/>
    <n v="71"/>
    <x v="3"/>
    <x v="3"/>
    <s v="Engineer"/>
    <d v="2017-02-23T00:00:00"/>
    <x v="0"/>
    <x v="74"/>
    <n v="148267"/>
    <s v="High"/>
    <x v="1"/>
    <x v="0"/>
    <d v="2016-09-13T00:00:00"/>
    <n v="311537"/>
    <n v="648"/>
    <x v="2"/>
    <n v="0"/>
    <x v="0"/>
  </r>
  <r>
    <s v="CUST0400"/>
    <s v="ACC00131"/>
    <s v="Timothy Brewer MD"/>
    <s v="Male"/>
    <n v="71"/>
    <x v="3"/>
    <x v="3"/>
    <s v="Engineer"/>
    <d v="2017-02-23T00:00:00"/>
    <x v="0"/>
    <x v="74"/>
    <n v="148267"/>
    <s v="High"/>
    <x v="1"/>
    <x v="0"/>
    <d v="2023-10-09T00:00:00"/>
    <n v="479681"/>
    <n v="670"/>
    <x v="0"/>
    <n v="0"/>
    <x v="0"/>
  </r>
  <r>
    <s v="CUST0325"/>
    <s v="ACC00055"/>
    <s v="Gregg Harris"/>
    <s v="Female"/>
    <n v="22"/>
    <x v="2"/>
    <x v="3"/>
    <s v="Teacher"/>
    <d v="2022-03-20T00:00:00"/>
    <x v="5"/>
    <x v="75"/>
    <n v="44826"/>
    <s v="Low"/>
    <x v="1"/>
    <x v="1"/>
    <d v="2023-08-07T00:00:00"/>
    <n v="424390"/>
    <n v="554"/>
    <x v="1"/>
    <n v="0"/>
    <x v="0"/>
  </r>
  <r>
    <s v="CUST0325"/>
    <s v="ACC00376"/>
    <s v="Gregg Harris"/>
    <s v="Female"/>
    <n v="22"/>
    <x v="2"/>
    <x v="3"/>
    <s v="Teacher"/>
    <d v="2022-03-20T00:00:00"/>
    <x v="5"/>
    <x v="75"/>
    <n v="44826"/>
    <s v="Low"/>
    <x v="1"/>
    <x v="1"/>
    <d v="2020-09-01T00:00:00"/>
    <n v="190121"/>
    <n v="550"/>
    <x v="1"/>
    <n v="0"/>
    <x v="0"/>
  </r>
  <r>
    <s v="CUST0325"/>
    <s v="ACC00438"/>
    <s v="Gregg Harris"/>
    <s v="Female"/>
    <n v="22"/>
    <x v="2"/>
    <x v="3"/>
    <s v="Teacher"/>
    <d v="2022-03-20T00:00:00"/>
    <x v="5"/>
    <x v="75"/>
    <n v="44826"/>
    <s v="Low"/>
    <x v="1"/>
    <x v="1"/>
    <d v="2024-11-20T00:00:00"/>
    <n v="417247"/>
    <n v="375"/>
    <x v="1"/>
    <n v="0"/>
    <x v="2"/>
  </r>
  <r>
    <s v="CUST0055"/>
    <s v="ACC00313"/>
    <s v="Darius Garcia"/>
    <s v="Male"/>
    <n v="32"/>
    <x v="1"/>
    <x v="2"/>
    <s v="Trader"/>
    <d v="2022-12-21T00:00:00"/>
    <x v="5"/>
    <x v="76"/>
    <n v="168746"/>
    <s v="High"/>
    <x v="1"/>
    <x v="0"/>
    <d v="2017-01-05T00:00:00"/>
    <n v="383071"/>
    <n v="427"/>
    <x v="1"/>
    <n v="0"/>
    <x v="0"/>
  </r>
  <r>
    <s v="CUST0500"/>
    <s v="ACC00056"/>
    <s v="Olivia Barton"/>
    <s v="Female"/>
    <n v="63"/>
    <x v="3"/>
    <x v="3"/>
    <s v="Student"/>
    <d v="2024-07-15T00:00:00"/>
    <x v="7"/>
    <x v="77"/>
    <n v="21969"/>
    <s v="Low"/>
    <x v="0"/>
    <x v="2"/>
    <d v="2021-05-02T00:00:00"/>
    <n v="457666"/>
    <n v="607"/>
    <x v="2"/>
    <n v="0"/>
    <x v="0"/>
  </r>
  <r>
    <s v="CUST0500"/>
    <s v="ACC00289"/>
    <s v="Olivia Barton"/>
    <s v="Female"/>
    <n v="63"/>
    <x v="3"/>
    <x v="3"/>
    <s v="Student"/>
    <d v="2024-07-15T00:00:00"/>
    <x v="7"/>
    <x v="77"/>
    <n v="21969"/>
    <s v="Low"/>
    <x v="0"/>
    <x v="1"/>
    <d v="2025-02-01T00:00:00"/>
    <n v="2382"/>
    <n v="548"/>
    <x v="1"/>
    <n v="0"/>
    <x v="2"/>
  </r>
  <r>
    <s v="CUST0500"/>
    <s v="ACC00481"/>
    <s v="Olivia Barton"/>
    <s v="Female"/>
    <n v="63"/>
    <x v="3"/>
    <x v="3"/>
    <s v="Student"/>
    <d v="2024-07-15T00:00:00"/>
    <x v="7"/>
    <x v="77"/>
    <n v="21969"/>
    <s v="Low"/>
    <x v="0"/>
    <x v="0"/>
    <d v="2018-12-19T00:00:00"/>
    <n v="97537"/>
    <n v="434"/>
    <x v="1"/>
    <n v="0"/>
    <x v="0"/>
  </r>
  <r>
    <s v="CUST0061"/>
    <s v="ACC00057"/>
    <s v="Ricky Fisher"/>
    <s v="Male"/>
    <n v="39"/>
    <x v="1"/>
    <x v="1"/>
    <s v="Retired"/>
    <d v="2022-11-13T00:00:00"/>
    <x v="5"/>
    <x v="78"/>
    <n v="123320"/>
    <s v="Medium"/>
    <x v="1"/>
    <x v="0"/>
    <d v="2025-04-03T00:00:00"/>
    <n v="166508"/>
    <n v="644"/>
    <x v="2"/>
    <n v="222508"/>
    <x v="0"/>
  </r>
  <r>
    <s v="CUST0061"/>
    <s v="ACC00205"/>
    <s v="Ricky Fisher"/>
    <s v="Male"/>
    <n v="39"/>
    <x v="1"/>
    <x v="1"/>
    <s v="Retired"/>
    <d v="2022-11-13T00:00:00"/>
    <x v="5"/>
    <x v="78"/>
    <n v="123320"/>
    <s v="Medium"/>
    <x v="1"/>
    <x v="0"/>
    <d v="2021-12-14T00:00:00"/>
    <n v="323654"/>
    <n v="545"/>
    <x v="1"/>
    <n v="0"/>
    <x v="0"/>
  </r>
  <r>
    <s v="CUST0061"/>
    <s v="ACC00206"/>
    <s v="Ricky Fisher"/>
    <s v="Male"/>
    <n v="39"/>
    <x v="1"/>
    <x v="1"/>
    <s v="Retired"/>
    <d v="2022-11-13T00:00:00"/>
    <x v="5"/>
    <x v="78"/>
    <n v="123320"/>
    <s v="Medium"/>
    <x v="1"/>
    <x v="1"/>
    <d v="2019-02-17T00:00:00"/>
    <n v="120076"/>
    <n v="677"/>
    <x v="0"/>
    <n v="0"/>
    <x v="0"/>
  </r>
  <r>
    <s v="CUST0057"/>
    <s v="ACC00109"/>
    <s v="Brandy Murphy"/>
    <s v="Female"/>
    <n v="51"/>
    <x v="0"/>
    <x v="2"/>
    <s v="Banker"/>
    <d v="2019-07-25T00:00:00"/>
    <x v="2"/>
    <x v="79"/>
    <n v="174946"/>
    <s v="High"/>
    <x v="0"/>
    <x v="2"/>
    <d v="2023-09-25T00:00:00"/>
    <n v="235595"/>
    <n v="536"/>
    <x v="1"/>
    <n v="0"/>
    <x v="3"/>
  </r>
  <r>
    <s v="CUST0057"/>
    <s v="ACC00228"/>
    <s v="Brandy Murphy"/>
    <s v="Female"/>
    <n v="51"/>
    <x v="0"/>
    <x v="2"/>
    <s v="Banker"/>
    <d v="2019-07-25T00:00:00"/>
    <x v="2"/>
    <x v="79"/>
    <n v="174946"/>
    <s v="High"/>
    <x v="0"/>
    <x v="1"/>
    <d v="2024-11-22T00:00:00"/>
    <n v="141727"/>
    <n v="479"/>
    <x v="1"/>
    <n v="0"/>
    <x v="0"/>
  </r>
  <r>
    <s v="CUST0138"/>
    <s v="ACC00058"/>
    <s v="Jacqueline Murphy"/>
    <s v="Male"/>
    <n v="31"/>
    <x v="1"/>
    <x v="3"/>
    <s v="Retired"/>
    <d v="2017-03-23T00:00:00"/>
    <x v="0"/>
    <x v="80"/>
    <n v="183038"/>
    <s v="High"/>
    <x v="1"/>
    <x v="2"/>
    <d v="2020-04-21T00:00:00"/>
    <n v="309550"/>
    <n v="426"/>
    <x v="1"/>
    <n v="0"/>
    <x v="3"/>
  </r>
  <r>
    <s v="CUST0138"/>
    <s v="ACC00245"/>
    <s v="Jacqueline Murphy"/>
    <s v="Male"/>
    <n v="31"/>
    <x v="1"/>
    <x v="3"/>
    <s v="Retired"/>
    <d v="2017-03-23T00:00:00"/>
    <x v="0"/>
    <x v="80"/>
    <n v="183038"/>
    <s v="High"/>
    <x v="1"/>
    <x v="1"/>
    <d v="2018-04-28T00:00:00"/>
    <n v="288107"/>
    <n v="744"/>
    <x v="3"/>
    <n v="0"/>
    <x v="0"/>
  </r>
  <r>
    <s v="CUST0058"/>
    <s v="ACC00275"/>
    <s v="Rhonda Charles"/>
    <s v="Male"/>
    <n v="19"/>
    <x v="2"/>
    <x v="2"/>
    <s v="Teacher"/>
    <d v="2019-06-06T00:00:00"/>
    <x v="2"/>
    <x v="81"/>
    <n v="63642"/>
    <s v="Low"/>
    <x v="0"/>
    <x v="1"/>
    <d v="2023-07-17T00:00:00"/>
    <n v="55480"/>
    <n v="568"/>
    <x v="1"/>
    <n v="0"/>
    <x v="2"/>
  </r>
  <r>
    <s v="CUST0059"/>
    <s v="ACC00244"/>
    <s v="Matthew Sanchez"/>
    <s v="Male"/>
    <n v="49"/>
    <x v="0"/>
    <x v="3"/>
    <s v="Engineer"/>
    <d v="2024-03-09T00:00:00"/>
    <x v="7"/>
    <x v="82"/>
    <n v="85160"/>
    <s v="Medium"/>
    <x v="0"/>
    <x v="0"/>
    <d v="2018-08-08T00:00:00"/>
    <n v="469490"/>
    <n v="407"/>
    <x v="1"/>
    <n v="69926"/>
    <x v="3"/>
  </r>
  <r>
    <s v="CUST0059"/>
    <s v="ACC00372"/>
    <s v="Matthew Sanchez"/>
    <s v="Male"/>
    <n v="49"/>
    <x v="0"/>
    <x v="3"/>
    <s v="Engineer"/>
    <d v="2024-03-09T00:00:00"/>
    <x v="7"/>
    <x v="82"/>
    <n v="85160"/>
    <s v="Medium"/>
    <x v="0"/>
    <x v="2"/>
    <d v="2024-10-11T00:00:00"/>
    <n v="288213"/>
    <n v="569"/>
    <x v="1"/>
    <n v="0"/>
    <x v="0"/>
  </r>
  <r>
    <s v="CUST0259"/>
    <s v="ACC00060"/>
    <s v="Jennifer Bell"/>
    <s v="Female"/>
    <n v="47"/>
    <x v="0"/>
    <x v="3"/>
    <s v="Student"/>
    <d v="2020-10-11T00:00:00"/>
    <x v="4"/>
    <x v="83"/>
    <n v="180831"/>
    <s v="High"/>
    <x v="1"/>
    <x v="0"/>
    <d v="2022-07-26T00:00:00"/>
    <n v="147026"/>
    <n v="786"/>
    <x v="3"/>
    <n v="0"/>
    <x v="0"/>
  </r>
  <r>
    <s v="CUST0259"/>
    <s v="ACC00331"/>
    <s v="Jennifer Bell"/>
    <s v="Female"/>
    <n v="47"/>
    <x v="0"/>
    <x v="3"/>
    <s v="Student"/>
    <d v="2020-10-11T00:00:00"/>
    <x v="4"/>
    <x v="83"/>
    <n v="180831"/>
    <s v="High"/>
    <x v="1"/>
    <x v="0"/>
    <d v="2016-02-06T00:00:00"/>
    <n v="354211"/>
    <n v="402"/>
    <x v="1"/>
    <n v="0"/>
    <x v="0"/>
  </r>
  <r>
    <s v="CUST0060"/>
    <s v="ACC00397"/>
    <s v="Meghan Le"/>
    <s v="Male"/>
    <n v="40"/>
    <x v="1"/>
    <x v="0"/>
    <s v="Doctor"/>
    <d v="2018-11-11T00:00:00"/>
    <x v="6"/>
    <x v="84"/>
    <n v="37602"/>
    <s v="Low"/>
    <x v="1"/>
    <x v="1"/>
    <d v="2024-08-04T00:00:00"/>
    <n v="283983"/>
    <n v="654"/>
    <x v="2"/>
    <n v="0"/>
    <x v="0"/>
  </r>
  <r>
    <s v="CUST0461"/>
    <s v="ACC00061"/>
    <s v="Tiffany Lam"/>
    <s v="Female"/>
    <n v="49"/>
    <x v="0"/>
    <x v="1"/>
    <s v="Student"/>
    <d v="2018-10-28T00:00:00"/>
    <x v="6"/>
    <x v="85"/>
    <n v="151691"/>
    <s v="High"/>
    <x v="1"/>
    <x v="1"/>
    <d v="2018-10-02T00:00:00"/>
    <n v="344866"/>
    <n v="682"/>
    <x v="0"/>
    <n v="0"/>
    <x v="0"/>
  </r>
  <r>
    <s v="CUST0107"/>
    <s v="ACC00062"/>
    <s v="Andrew Flynn"/>
    <s v="Female"/>
    <n v="40"/>
    <x v="1"/>
    <x v="0"/>
    <s v="Engineer"/>
    <d v="2025-03-04T00:00:00"/>
    <x v="8"/>
    <x v="48"/>
    <n v="117624"/>
    <s v="Medium"/>
    <x v="2"/>
    <x v="1"/>
    <d v="2021-07-30T00:00:00"/>
    <n v="250819"/>
    <n v="705"/>
    <x v="0"/>
    <n v="0"/>
    <x v="0"/>
  </r>
  <r>
    <s v="CUST0107"/>
    <s v="ACC00143"/>
    <s v="Andrew Flynn"/>
    <s v="Female"/>
    <n v="40"/>
    <x v="1"/>
    <x v="0"/>
    <s v="Engineer"/>
    <d v="2025-03-04T00:00:00"/>
    <x v="8"/>
    <x v="48"/>
    <n v="117624"/>
    <s v="Medium"/>
    <x v="2"/>
    <x v="0"/>
    <d v="2018-05-04T00:00:00"/>
    <n v="424170"/>
    <n v="849"/>
    <x v="4"/>
    <n v="0"/>
    <x v="0"/>
  </r>
  <r>
    <s v="CUST0107"/>
    <s v="ACC00345"/>
    <s v="Andrew Flynn"/>
    <s v="Female"/>
    <n v="40"/>
    <x v="1"/>
    <x v="0"/>
    <s v="Engineer"/>
    <d v="2025-03-04T00:00:00"/>
    <x v="8"/>
    <x v="48"/>
    <n v="117624"/>
    <s v="Medium"/>
    <x v="2"/>
    <x v="2"/>
    <d v="2024-08-26T00:00:00"/>
    <n v="437602"/>
    <n v="392"/>
    <x v="1"/>
    <n v="0"/>
    <x v="0"/>
  </r>
  <r>
    <s v="CUST0063"/>
    <s v="ACC00361"/>
    <s v="Matthew Ruiz"/>
    <s v="Male"/>
    <n v="42"/>
    <x v="1"/>
    <x v="1"/>
    <s v="Engineer"/>
    <d v="2023-04-26T00:00:00"/>
    <x v="1"/>
    <x v="86"/>
    <n v="45931"/>
    <s v="Low"/>
    <x v="1"/>
    <x v="1"/>
    <d v="2021-09-23T00:00:00"/>
    <n v="224655"/>
    <n v="715"/>
    <x v="0"/>
    <n v="0"/>
    <x v="0"/>
  </r>
  <r>
    <s v="CUST0254"/>
    <s v="ACC00065"/>
    <s v="James Wilkinson"/>
    <s v="Male"/>
    <n v="30"/>
    <x v="1"/>
    <x v="2"/>
    <s v="Banker"/>
    <d v="2017-07-14T00:00:00"/>
    <x v="0"/>
    <x v="87"/>
    <n v="149749"/>
    <s v="High"/>
    <x v="1"/>
    <x v="3"/>
    <d v="2016-12-03T00:00:00"/>
    <n v="491715"/>
    <n v="575"/>
    <x v="1"/>
    <n v="0"/>
    <x v="0"/>
  </r>
  <r>
    <s v="CUST0254"/>
    <s v="ACC00283"/>
    <s v="James Wilkinson"/>
    <s v="Male"/>
    <n v="30"/>
    <x v="1"/>
    <x v="2"/>
    <s v="Banker"/>
    <d v="2017-07-14T00:00:00"/>
    <x v="0"/>
    <x v="87"/>
    <n v="149749"/>
    <s v="High"/>
    <x v="1"/>
    <x v="0"/>
    <d v="2020-03-18T00:00:00"/>
    <n v="37548"/>
    <n v="304"/>
    <x v="1"/>
    <n v="0"/>
    <x v="0"/>
  </r>
  <r>
    <s v="CUST0065"/>
    <s v="ACC00221"/>
    <s v="Crystal Smith"/>
    <s v="Male"/>
    <n v="39"/>
    <x v="1"/>
    <x v="2"/>
    <s v="Doctor"/>
    <d v="2020-10-15T00:00:00"/>
    <x v="4"/>
    <x v="88"/>
    <n v="49192"/>
    <s v="Low"/>
    <x v="1"/>
    <x v="1"/>
    <d v="2015-11-29T00:00:00"/>
    <n v="327192"/>
    <n v="770"/>
    <x v="3"/>
    <n v="0"/>
    <x v="0"/>
  </r>
  <r>
    <s v="CUST0066"/>
    <s v="ACC00229"/>
    <s v="Felicia Nelson"/>
    <s v="Female"/>
    <n v="66"/>
    <x v="3"/>
    <x v="0"/>
    <s v="Student"/>
    <d v="2017-12-22T00:00:00"/>
    <x v="0"/>
    <x v="89"/>
    <n v="66542"/>
    <s v="Low"/>
    <x v="1"/>
    <x v="1"/>
    <d v="2023-03-11T00:00:00"/>
    <n v="178969"/>
    <n v="802"/>
    <x v="4"/>
    <n v="102493"/>
    <x v="0"/>
  </r>
  <r>
    <s v="CUST0066"/>
    <s v="ACC00280"/>
    <s v="Felicia Nelson"/>
    <s v="Female"/>
    <n v="66"/>
    <x v="3"/>
    <x v="0"/>
    <s v="Student"/>
    <d v="2017-12-22T00:00:00"/>
    <x v="0"/>
    <x v="89"/>
    <n v="66542"/>
    <s v="Low"/>
    <x v="1"/>
    <x v="0"/>
    <d v="2024-10-26T00:00:00"/>
    <n v="227443"/>
    <n v="706"/>
    <x v="0"/>
    <n v="44236"/>
    <x v="0"/>
  </r>
  <r>
    <s v="CUST0066"/>
    <s v="ACC00450"/>
    <s v="Felicia Nelson"/>
    <s v="Female"/>
    <n v="66"/>
    <x v="3"/>
    <x v="0"/>
    <s v="Student"/>
    <d v="2017-12-22T00:00:00"/>
    <x v="0"/>
    <x v="89"/>
    <n v="66542"/>
    <s v="Low"/>
    <x v="1"/>
    <x v="1"/>
    <d v="2018-10-27T00:00:00"/>
    <n v="291207"/>
    <n v="320"/>
    <x v="1"/>
    <n v="0"/>
    <x v="0"/>
  </r>
  <r>
    <s v="CUST0493"/>
    <s v="ACC00067"/>
    <s v="Joseph Dean"/>
    <s v="Male"/>
    <n v="27"/>
    <x v="2"/>
    <x v="0"/>
    <s v="Doctor"/>
    <d v="2024-04-11T00:00:00"/>
    <x v="7"/>
    <x v="90"/>
    <n v="99141"/>
    <s v="Medium"/>
    <x v="1"/>
    <x v="1"/>
    <d v="2016-04-22T00:00:00"/>
    <n v="339387"/>
    <n v="636"/>
    <x v="2"/>
    <n v="0"/>
    <x v="3"/>
  </r>
  <r>
    <s v="CUST0067"/>
    <s v="ACC00467"/>
    <s v="Jessica Williams"/>
    <s v="Female"/>
    <n v="69"/>
    <x v="3"/>
    <x v="3"/>
    <s v="Teacher"/>
    <d v="2023-03-11T00:00:00"/>
    <x v="1"/>
    <x v="91"/>
    <n v="147015"/>
    <s v="High"/>
    <x v="1"/>
    <x v="2"/>
    <d v="2016-12-28T00:00:00"/>
    <n v="125829"/>
    <n v="666"/>
    <x v="2"/>
    <n v="0"/>
    <x v="2"/>
  </r>
  <r>
    <s v="CUST0068"/>
    <s v="ACC00258"/>
    <s v="Barbara Gonzalez"/>
    <s v="Male"/>
    <n v="59"/>
    <x v="0"/>
    <x v="2"/>
    <s v="Retired"/>
    <d v="2017-11-30T00:00:00"/>
    <x v="0"/>
    <x v="92"/>
    <n v="62520"/>
    <s v="Low"/>
    <x v="1"/>
    <x v="2"/>
    <d v="2019-06-04T00:00:00"/>
    <n v="4994"/>
    <n v="704"/>
    <x v="0"/>
    <n v="204665"/>
    <x v="1"/>
  </r>
  <r>
    <s v="CUST0337"/>
    <s v="ACC00069"/>
    <s v="Debbie Riley"/>
    <s v="Male"/>
    <n v="24"/>
    <x v="2"/>
    <x v="0"/>
    <s v="Doctor"/>
    <d v="2025-08-08T00:00:00"/>
    <x v="8"/>
    <x v="93"/>
    <n v="56877"/>
    <s v="Low"/>
    <x v="0"/>
    <x v="1"/>
    <d v="2020-05-13T00:00:00"/>
    <n v="485687"/>
    <n v="572"/>
    <x v="1"/>
    <n v="0"/>
    <x v="0"/>
  </r>
  <r>
    <s v="CUST0069"/>
    <s v="ACC00079"/>
    <s v="Amanda Beck"/>
    <s v="Female"/>
    <n v="23"/>
    <x v="2"/>
    <x v="3"/>
    <s v="Teacher"/>
    <d v="2018-08-29T00:00:00"/>
    <x v="6"/>
    <x v="94"/>
    <n v="84772"/>
    <s v="Medium"/>
    <x v="1"/>
    <x v="1"/>
    <d v="2025-03-17T00:00:00"/>
    <n v="489196"/>
    <n v="796"/>
    <x v="3"/>
    <n v="149233"/>
    <x v="0"/>
  </r>
  <r>
    <s v="CUST0069"/>
    <s v="ACC00179"/>
    <s v="Amanda Beck"/>
    <s v="Female"/>
    <n v="23"/>
    <x v="2"/>
    <x v="3"/>
    <s v="Teacher"/>
    <d v="2018-08-29T00:00:00"/>
    <x v="6"/>
    <x v="94"/>
    <n v="84772"/>
    <s v="Medium"/>
    <x v="1"/>
    <x v="2"/>
    <d v="2024-03-27T00:00:00"/>
    <n v="80201"/>
    <n v="372"/>
    <x v="1"/>
    <n v="242474"/>
    <x v="0"/>
  </r>
  <r>
    <s v="CUST0365"/>
    <s v="ACC00070"/>
    <s v="Andrea Turner"/>
    <s v="Male"/>
    <n v="30"/>
    <x v="1"/>
    <x v="2"/>
    <s v="Banker"/>
    <d v="2024-11-11T00:00:00"/>
    <x v="7"/>
    <x v="95"/>
    <n v="196572"/>
    <s v="High"/>
    <x v="1"/>
    <x v="3"/>
    <d v="2022-10-09T00:00:00"/>
    <n v="152297"/>
    <n v="357"/>
    <x v="1"/>
    <n v="0"/>
    <x v="0"/>
  </r>
  <r>
    <s v="CUST0365"/>
    <s v="ACC00330"/>
    <s v="Andrea Turner"/>
    <s v="Male"/>
    <n v="30"/>
    <x v="1"/>
    <x v="2"/>
    <s v="Banker"/>
    <d v="2024-11-11T00:00:00"/>
    <x v="7"/>
    <x v="95"/>
    <n v="196572"/>
    <s v="High"/>
    <x v="1"/>
    <x v="2"/>
    <d v="2019-01-04T00:00:00"/>
    <n v="245144"/>
    <n v="670"/>
    <x v="0"/>
    <n v="0"/>
    <x v="0"/>
  </r>
  <r>
    <s v="CUST0070"/>
    <s v="ACC00090"/>
    <s v="Bob Stout"/>
    <s v="Female"/>
    <n v="32"/>
    <x v="1"/>
    <x v="2"/>
    <s v="Doctor"/>
    <d v="2024-07-04T00:00:00"/>
    <x v="7"/>
    <x v="96"/>
    <n v="70106"/>
    <s v="Low"/>
    <x v="1"/>
    <x v="3"/>
    <d v="2021-08-21T00:00:00"/>
    <n v="346918"/>
    <n v="637"/>
    <x v="2"/>
    <n v="0"/>
    <x v="0"/>
  </r>
  <r>
    <s v="CUST0070"/>
    <s v="ACC00137"/>
    <s v="Bob Stout"/>
    <s v="Female"/>
    <n v="32"/>
    <x v="1"/>
    <x v="2"/>
    <s v="Doctor"/>
    <d v="2024-07-04T00:00:00"/>
    <x v="7"/>
    <x v="96"/>
    <n v="70106"/>
    <s v="Low"/>
    <x v="1"/>
    <x v="1"/>
    <d v="2024-03-14T00:00:00"/>
    <n v="463509"/>
    <n v="403"/>
    <x v="1"/>
    <n v="111471"/>
    <x v="0"/>
  </r>
  <r>
    <s v="CUST0070"/>
    <s v="ACC00155"/>
    <s v="Bob Stout"/>
    <s v="Female"/>
    <n v="32"/>
    <x v="1"/>
    <x v="2"/>
    <s v="Doctor"/>
    <d v="2024-07-04T00:00:00"/>
    <x v="7"/>
    <x v="96"/>
    <n v="70106"/>
    <s v="Low"/>
    <x v="1"/>
    <x v="0"/>
    <d v="2020-10-30T00:00:00"/>
    <n v="372251"/>
    <n v="404"/>
    <x v="1"/>
    <n v="170837"/>
    <x v="3"/>
  </r>
  <r>
    <s v="CUST0245"/>
    <s v="ACC00072"/>
    <s v="Kenneth Garza"/>
    <s v="Male"/>
    <n v="56"/>
    <x v="0"/>
    <x v="3"/>
    <s v="Engineer"/>
    <d v="2018-10-22T00:00:00"/>
    <x v="6"/>
    <x v="97"/>
    <n v="67837"/>
    <s v="Low"/>
    <x v="0"/>
    <x v="1"/>
    <d v="2021-12-28T00:00:00"/>
    <n v="319764"/>
    <n v="408"/>
    <x v="1"/>
    <n v="0"/>
    <x v="1"/>
  </r>
  <r>
    <s v="CUST0072"/>
    <s v="ACC00312"/>
    <s v="Billy Hendrix Jr."/>
    <s v="Female"/>
    <n v="60"/>
    <x v="0"/>
    <x v="1"/>
    <s v="Doctor"/>
    <d v="2016-03-28T00:00:00"/>
    <x v="9"/>
    <x v="98"/>
    <n v="45559"/>
    <s v="Low"/>
    <x v="0"/>
    <x v="2"/>
    <d v="2020-04-15T00:00:00"/>
    <n v="109162"/>
    <n v="440"/>
    <x v="1"/>
    <n v="0"/>
    <x v="0"/>
  </r>
  <r>
    <s v="CUST0403"/>
    <s v="ACC00073"/>
    <s v="Amy Moreno"/>
    <s v="Male"/>
    <n v="33"/>
    <x v="1"/>
    <x v="1"/>
    <s v="Banker"/>
    <d v="2019-02-27T00:00:00"/>
    <x v="2"/>
    <x v="99"/>
    <n v="104878"/>
    <s v="Medium"/>
    <x v="1"/>
    <x v="1"/>
    <d v="2018-06-16T00:00:00"/>
    <n v="426044"/>
    <n v="578"/>
    <x v="1"/>
    <n v="373894"/>
    <x v="0"/>
  </r>
  <r>
    <s v="CUST0403"/>
    <s v="ACC00186"/>
    <s v="Amy Moreno"/>
    <s v="Male"/>
    <n v="33"/>
    <x v="1"/>
    <x v="1"/>
    <s v="Banker"/>
    <d v="2019-02-27T00:00:00"/>
    <x v="2"/>
    <x v="99"/>
    <n v="104878"/>
    <s v="Medium"/>
    <x v="1"/>
    <x v="1"/>
    <d v="2017-08-01T00:00:00"/>
    <n v="233612"/>
    <n v="494"/>
    <x v="1"/>
    <n v="338245"/>
    <x v="2"/>
  </r>
  <r>
    <s v="CUST0403"/>
    <s v="ACC00299"/>
    <s v="Amy Moreno"/>
    <s v="Male"/>
    <n v="33"/>
    <x v="1"/>
    <x v="1"/>
    <s v="Banker"/>
    <d v="2019-02-27T00:00:00"/>
    <x v="2"/>
    <x v="99"/>
    <n v="104878"/>
    <s v="Medium"/>
    <x v="1"/>
    <x v="2"/>
    <d v="2019-09-23T00:00:00"/>
    <n v="467149"/>
    <n v="718"/>
    <x v="0"/>
    <n v="0"/>
    <x v="0"/>
  </r>
  <r>
    <s v="CUST0426"/>
    <s v="ACC00074"/>
    <s v="Michele Wood"/>
    <s v="Male"/>
    <n v="58"/>
    <x v="0"/>
    <x v="2"/>
    <s v="Retired"/>
    <d v="2017-01-12T00:00:00"/>
    <x v="0"/>
    <x v="100"/>
    <n v="81272"/>
    <s v="Medium"/>
    <x v="1"/>
    <x v="1"/>
    <d v="2024-04-24T00:00:00"/>
    <n v="126270"/>
    <n v="627"/>
    <x v="2"/>
    <n v="394187"/>
    <x v="0"/>
  </r>
  <r>
    <s v="CUST0426"/>
    <s v="ACC00168"/>
    <s v="Michele Wood"/>
    <s v="Male"/>
    <n v="58"/>
    <x v="0"/>
    <x v="2"/>
    <s v="Retired"/>
    <d v="2017-01-12T00:00:00"/>
    <x v="0"/>
    <x v="100"/>
    <n v="81272"/>
    <s v="Medium"/>
    <x v="1"/>
    <x v="2"/>
    <d v="2022-01-04T00:00:00"/>
    <n v="54935"/>
    <n v="791"/>
    <x v="3"/>
    <n v="0"/>
    <x v="2"/>
  </r>
  <r>
    <s v="CUST0074"/>
    <s v="ACC00086"/>
    <s v="Christopher Chapman"/>
    <s v="Female"/>
    <n v="50"/>
    <x v="0"/>
    <x v="0"/>
    <s v="Doctor"/>
    <d v="2025-01-20T00:00:00"/>
    <x v="8"/>
    <x v="101"/>
    <n v="53742"/>
    <s v="Low"/>
    <x v="0"/>
    <x v="1"/>
    <d v="2021-09-05T00:00:00"/>
    <n v="235497"/>
    <n v="312"/>
    <x v="1"/>
    <n v="0"/>
    <x v="2"/>
  </r>
  <r>
    <s v="CUST0074"/>
    <s v="ACC00304"/>
    <s v="Christopher Chapman"/>
    <s v="Female"/>
    <n v="50"/>
    <x v="0"/>
    <x v="0"/>
    <s v="Doctor"/>
    <d v="2025-01-20T00:00:00"/>
    <x v="8"/>
    <x v="101"/>
    <n v="53742"/>
    <s v="Low"/>
    <x v="0"/>
    <x v="1"/>
    <d v="2016-08-26T00:00:00"/>
    <n v="289341"/>
    <n v="680"/>
    <x v="0"/>
    <n v="242268"/>
    <x v="3"/>
  </r>
  <r>
    <s v="CUST0302"/>
    <s v="ACC00076"/>
    <s v="Austin James"/>
    <s v="Male"/>
    <n v="22"/>
    <x v="2"/>
    <x v="3"/>
    <s v="Engineer"/>
    <d v="2021-10-04T00:00:00"/>
    <x v="3"/>
    <x v="102"/>
    <n v="95897"/>
    <s v="Medium"/>
    <x v="1"/>
    <x v="1"/>
    <d v="2018-03-11T00:00:00"/>
    <n v="276531"/>
    <n v="773"/>
    <x v="3"/>
    <n v="0"/>
    <x v="0"/>
  </r>
  <r>
    <s v="CUST0302"/>
    <s v="ACC00357"/>
    <s v="Austin James"/>
    <s v="Male"/>
    <n v="22"/>
    <x v="2"/>
    <x v="3"/>
    <s v="Engineer"/>
    <d v="2021-10-04T00:00:00"/>
    <x v="3"/>
    <x v="102"/>
    <n v="95897"/>
    <s v="Medium"/>
    <x v="1"/>
    <x v="1"/>
    <d v="2023-01-02T00:00:00"/>
    <n v="34693"/>
    <n v="700"/>
    <x v="0"/>
    <n v="0"/>
    <x v="2"/>
  </r>
  <r>
    <s v="CUST0302"/>
    <s v="ACC00480"/>
    <s v="Austin James"/>
    <s v="Male"/>
    <n v="22"/>
    <x v="2"/>
    <x v="3"/>
    <s v="Engineer"/>
    <d v="2021-10-04T00:00:00"/>
    <x v="3"/>
    <x v="102"/>
    <n v="95897"/>
    <s v="Medium"/>
    <x v="1"/>
    <x v="1"/>
    <d v="2022-12-25T00:00:00"/>
    <n v="382865"/>
    <n v="599"/>
    <x v="2"/>
    <n v="362521"/>
    <x v="0"/>
  </r>
  <r>
    <s v="CUST0410"/>
    <s v="ACC00077"/>
    <s v="Shelley Moss"/>
    <s v="Female"/>
    <n v="33"/>
    <x v="1"/>
    <x v="1"/>
    <s v="Retired"/>
    <d v="2016-08-05T00:00:00"/>
    <x v="9"/>
    <x v="103"/>
    <n v="108397"/>
    <s v="Medium"/>
    <x v="1"/>
    <x v="2"/>
    <d v="2024-12-16T00:00:00"/>
    <n v="331607"/>
    <n v="410"/>
    <x v="1"/>
    <n v="429606"/>
    <x v="1"/>
  </r>
  <r>
    <s v="CUST0499"/>
    <s v="ACC00078"/>
    <s v="Kayla Kelley"/>
    <s v="Male"/>
    <n v="26"/>
    <x v="2"/>
    <x v="3"/>
    <s v="Teacher"/>
    <d v="2024-05-31T00:00:00"/>
    <x v="7"/>
    <x v="104"/>
    <n v="148335"/>
    <s v="High"/>
    <x v="1"/>
    <x v="1"/>
    <d v="2019-12-04T00:00:00"/>
    <n v="465048"/>
    <n v="528"/>
    <x v="1"/>
    <n v="0"/>
    <x v="0"/>
  </r>
  <r>
    <s v="CUST0079"/>
    <s v="ACC00266"/>
    <s v="Richard Bennett"/>
    <s v="Male"/>
    <n v="22"/>
    <x v="2"/>
    <x v="1"/>
    <s v="Student"/>
    <d v="2022-01-04T00:00:00"/>
    <x v="5"/>
    <x v="105"/>
    <n v="132217"/>
    <s v="Medium"/>
    <x v="0"/>
    <x v="3"/>
    <d v="2021-05-06T00:00:00"/>
    <n v="174514"/>
    <n v="795"/>
    <x v="3"/>
    <n v="0"/>
    <x v="0"/>
  </r>
  <r>
    <s v="CUST0349"/>
    <s v="ACC00080"/>
    <s v="Christopher Spencer"/>
    <s v="Female"/>
    <n v="27"/>
    <x v="2"/>
    <x v="2"/>
    <s v="Doctor"/>
    <d v="2025-08-19T00:00:00"/>
    <x v="8"/>
    <x v="106"/>
    <n v="143629"/>
    <s v="High"/>
    <x v="0"/>
    <x v="0"/>
    <d v="2015-12-27T00:00:00"/>
    <n v="242998"/>
    <n v="455"/>
    <x v="1"/>
    <n v="0"/>
    <x v="3"/>
  </r>
  <r>
    <s v="CUST0320"/>
    <s v="ACC00081"/>
    <s v="Erica Collins"/>
    <s v="Female"/>
    <n v="59"/>
    <x v="0"/>
    <x v="0"/>
    <s v="Retired"/>
    <d v="2023-09-16T00:00:00"/>
    <x v="1"/>
    <x v="107"/>
    <n v="177361"/>
    <s v="High"/>
    <x v="1"/>
    <x v="0"/>
    <d v="2020-01-04T00:00:00"/>
    <n v="395807"/>
    <n v="772"/>
    <x v="3"/>
    <n v="0"/>
    <x v="1"/>
  </r>
  <r>
    <s v="CUST0081"/>
    <s v="ACC00203"/>
    <s v="Taylor Perkins"/>
    <s v="Male"/>
    <n v="21"/>
    <x v="2"/>
    <x v="0"/>
    <s v="Retired"/>
    <d v="2023-03-26T00:00:00"/>
    <x v="1"/>
    <x v="108"/>
    <n v="126532"/>
    <s v="Medium"/>
    <x v="1"/>
    <x v="0"/>
    <d v="2017-04-16T00:00:00"/>
    <n v="245017"/>
    <n v="667"/>
    <x v="2"/>
    <n v="0"/>
    <x v="0"/>
  </r>
  <r>
    <s v="CUST0421"/>
    <s v="ACC00082"/>
    <s v="Jon Russell"/>
    <s v="Female"/>
    <n v="25"/>
    <x v="2"/>
    <x v="2"/>
    <s v="Retired"/>
    <d v="2016-07-14T00:00:00"/>
    <x v="9"/>
    <x v="44"/>
    <n v="198136"/>
    <s v="High"/>
    <x v="0"/>
    <x v="3"/>
    <d v="2016-09-13T00:00:00"/>
    <n v="241503"/>
    <n v="571"/>
    <x v="1"/>
    <n v="111379"/>
    <x v="1"/>
  </r>
  <r>
    <s v="CUST0421"/>
    <s v="ACC00183"/>
    <s v="Jon Russell"/>
    <s v="Female"/>
    <n v="25"/>
    <x v="2"/>
    <x v="2"/>
    <s v="Retired"/>
    <d v="2016-07-14T00:00:00"/>
    <x v="9"/>
    <x v="44"/>
    <n v="198136"/>
    <s v="High"/>
    <x v="0"/>
    <x v="1"/>
    <d v="2019-05-12T00:00:00"/>
    <n v="484273"/>
    <n v="510"/>
    <x v="1"/>
    <n v="45870"/>
    <x v="0"/>
  </r>
  <r>
    <s v="CUST0082"/>
    <s v="ACC00178"/>
    <s v="Marcus Miller"/>
    <s v="Female"/>
    <n v="23"/>
    <x v="2"/>
    <x v="0"/>
    <s v="Trader"/>
    <d v="2025-05-14T00:00:00"/>
    <x v="8"/>
    <x v="109"/>
    <n v="146267"/>
    <s v="High"/>
    <x v="2"/>
    <x v="0"/>
    <d v="2020-06-10T00:00:00"/>
    <n v="100546"/>
    <n v="809"/>
    <x v="4"/>
    <n v="0"/>
    <x v="0"/>
  </r>
  <r>
    <s v="CUST0468"/>
    <s v="ACC00083"/>
    <s v="Matthew Kane"/>
    <s v="Male"/>
    <n v="39"/>
    <x v="1"/>
    <x v="0"/>
    <s v="Doctor"/>
    <d v="2024-01-28T00:00:00"/>
    <x v="7"/>
    <x v="110"/>
    <n v="178492"/>
    <s v="High"/>
    <x v="1"/>
    <x v="0"/>
    <d v="2018-02-16T00:00:00"/>
    <n v="441732"/>
    <n v="301"/>
    <x v="1"/>
    <n v="231905"/>
    <x v="1"/>
  </r>
  <r>
    <s v="CUST0468"/>
    <s v="ACC00323"/>
    <s v="Matthew Kane"/>
    <s v="Male"/>
    <n v="39"/>
    <x v="1"/>
    <x v="0"/>
    <s v="Doctor"/>
    <d v="2024-01-28T00:00:00"/>
    <x v="7"/>
    <x v="110"/>
    <n v="178492"/>
    <s v="High"/>
    <x v="1"/>
    <x v="0"/>
    <d v="2025-05-09T00:00:00"/>
    <n v="131742"/>
    <n v="586"/>
    <x v="2"/>
    <n v="0"/>
    <x v="0"/>
  </r>
  <r>
    <s v="CUST0084"/>
    <s v="ACC00111"/>
    <s v="Carlos Watson"/>
    <s v="Female"/>
    <n v="49"/>
    <x v="0"/>
    <x v="3"/>
    <s v="Banker"/>
    <d v="2021-04-02T00:00:00"/>
    <x v="3"/>
    <x v="111"/>
    <n v="154092"/>
    <s v="High"/>
    <x v="2"/>
    <x v="2"/>
    <d v="2022-03-19T00:00:00"/>
    <n v="278466"/>
    <n v="489"/>
    <x v="1"/>
    <n v="0"/>
    <x v="0"/>
  </r>
  <r>
    <s v="CUST0084"/>
    <s v="ACC00144"/>
    <s v="Carlos Watson"/>
    <s v="Female"/>
    <n v="49"/>
    <x v="0"/>
    <x v="3"/>
    <s v="Banker"/>
    <d v="2021-04-02T00:00:00"/>
    <x v="3"/>
    <x v="111"/>
    <n v="154092"/>
    <s v="High"/>
    <x v="2"/>
    <x v="0"/>
    <d v="2023-05-13T00:00:00"/>
    <n v="489887"/>
    <n v="418"/>
    <x v="1"/>
    <n v="0"/>
    <x v="0"/>
  </r>
  <r>
    <s v="CUST0405"/>
    <s v="ACC00085"/>
    <s v="Morgan Douglas"/>
    <s v="Female"/>
    <n v="74"/>
    <x v="3"/>
    <x v="1"/>
    <s v="Teacher"/>
    <d v="2023-11-16T00:00:00"/>
    <x v="1"/>
    <x v="112"/>
    <n v="178562"/>
    <s v="High"/>
    <x v="1"/>
    <x v="0"/>
    <d v="2019-06-26T00:00:00"/>
    <n v="62061"/>
    <n v="585"/>
    <x v="2"/>
    <n v="0"/>
    <x v="0"/>
  </r>
  <r>
    <s v="CUST0405"/>
    <s v="ACC00167"/>
    <s v="Morgan Douglas"/>
    <s v="Female"/>
    <n v="74"/>
    <x v="3"/>
    <x v="1"/>
    <s v="Teacher"/>
    <d v="2023-11-16T00:00:00"/>
    <x v="1"/>
    <x v="112"/>
    <n v="178562"/>
    <s v="High"/>
    <x v="1"/>
    <x v="2"/>
    <d v="2024-10-07T00:00:00"/>
    <n v="102811"/>
    <n v="669"/>
    <x v="2"/>
    <n v="0"/>
    <x v="3"/>
  </r>
  <r>
    <s v="CUST0085"/>
    <s v="ACC00311"/>
    <s v="John Ruiz"/>
    <s v="Male"/>
    <n v="69"/>
    <x v="3"/>
    <x v="3"/>
    <s v="Engineer"/>
    <d v="2020-01-08T00:00:00"/>
    <x v="4"/>
    <x v="113"/>
    <n v="61755"/>
    <s v="Low"/>
    <x v="1"/>
    <x v="2"/>
    <d v="2021-12-07T00:00:00"/>
    <n v="392670"/>
    <n v="463"/>
    <x v="1"/>
    <n v="0"/>
    <x v="0"/>
  </r>
  <r>
    <s v="CUST0086"/>
    <s v="ACC00201"/>
    <s v="Ashley Lewis"/>
    <s v="Male"/>
    <n v="47"/>
    <x v="0"/>
    <x v="1"/>
    <s v="Engineer"/>
    <d v="2021-03-30T00:00:00"/>
    <x v="3"/>
    <x v="114"/>
    <n v="105956"/>
    <s v="Medium"/>
    <x v="1"/>
    <x v="1"/>
    <d v="2019-05-18T00:00:00"/>
    <n v="84607"/>
    <n v="386"/>
    <x v="1"/>
    <n v="138501"/>
    <x v="0"/>
  </r>
  <r>
    <s v="CUST0086"/>
    <s v="ACC00213"/>
    <s v="Ashley Lewis"/>
    <s v="Male"/>
    <n v="47"/>
    <x v="0"/>
    <x v="1"/>
    <s v="Engineer"/>
    <d v="2021-03-30T00:00:00"/>
    <x v="3"/>
    <x v="114"/>
    <n v="105956"/>
    <s v="Medium"/>
    <x v="1"/>
    <x v="0"/>
    <d v="2025-01-04T00:00:00"/>
    <n v="492336"/>
    <n v="442"/>
    <x v="1"/>
    <n v="0"/>
    <x v="0"/>
  </r>
  <r>
    <s v="CUST0086"/>
    <s v="ACC00237"/>
    <s v="Ashley Lewis"/>
    <s v="Male"/>
    <n v="47"/>
    <x v="0"/>
    <x v="1"/>
    <s v="Engineer"/>
    <d v="2021-03-30T00:00:00"/>
    <x v="3"/>
    <x v="114"/>
    <n v="105956"/>
    <s v="Medium"/>
    <x v="1"/>
    <x v="0"/>
    <d v="2022-05-11T00:00:00"/>
    <n v="321335"/>
    <n v="742"/>
    <x v="3"/>
    <n v="292307"/>
    <x v="0"/>
  </r>
  <r>
    <s v="CUST0087"/>
    <s v="ACC00181"/>
    <s v="Jack Coleman"/>
    <s v="Female"/>
    <n v="64"/>
    <x v="3"/>
    <x v="3"/>
    <s v="Banker"/>
    <d v="2025-06-03T00:00:00"/>
    <x v="8"/>
    <x v="115"/>
    <n v="106988"/>
    <s v="Medium"/>
    <x v="1"/>
    <x v="1"/>
    <d v="2019-01-28T00:00:00"/>
    <n v="270784"/>
    <n v="659"/>
    <x v="2"/>
    <n v="0"/>
    <x v="0"/>
  </r>
  <r>
    <s v="CUST0261"/>
    <s v="ACC00088"/>
    <s v="John Craig"/>
    <s v="Male"/>
    <n v="66"/>
    <x v="3"/>
    <x v="3"/>
    <s v="Banker"/>
    <d v="2019-10-06T00:00:00"/>
    <x v="2"/>
    <x v="116"/>
    <n v="122471"/>
    <s v="Medium"/>
    <x v="2"/>
    <x v="3"/>
    <d v="2016-11-19T00:00:00"/>
    <n v="81257"/>
    <n v="537"/>
    <x v="1"/>
    <n v="0"/>
    <x v="0"/>
  </r>
  <r>
    <s v="CUST0089"/>
    <s v="ACC00295"/>
    <s v="Elizabeth Brown"/>
    <s v="Female"/>
    <n v="72"/>
    <x v="3"/>
    <x v="3"/>
    <s v="Doctor"/>
    <d v="2021-01-09T00:00:00"/>
    <x v="3"/>
    <x v="117"/>
    <n v="145991"/>
    <s v="High"/>
    <x v="1"/>
    <x v="3"/>
    <d v="2019-01-28T00:00:00"/>
    <n v="420162"/>
    <n v="318"/>
    <x v="1"/>
    <n v="0"/>
    <x v="0"/>
  </r>
  <r>
    <s v="CUST0091"/>
    <s v="ACC00500"/>
    <s v="Christopher Smith"/>
    <s v="Female"/>
    <n v="69"/>
    <x v="3"/>
    <x v="2"/>
    <s v="Teacher"/>
    <d v="2022-08-02T00:00:00"/>
    <x v="5"/>
    <x v="118"/>
    <n v="135005"/>
    <s v="Medium"/>
    <x v="0"/>
    <x v="0"/>
    <d v="2017-03-02T00:00:00"/>
    <n v="299372"/>
    <n v="315"/>
    <x v="1"/>
    <n v="0"/>
    <x v="0"/>
  </r>
  <r>
    <s v="CUST0092"/>
    <s v="ACC00269"/>
    <s v="Amanda Nelson"/>
    <s v="Female"/>
    <n v="33"/>
    <x v="1"/>
    <x v="0"/>
    <s v="Trader"/>
    <d v="2016-06-10T00:00:00"/>
    <x v="9"/>
    <x v="119"/>
    <n v="22396"/>
    <s v="Low"/>
    <x v="1"/>
    <x v="0"/>
    <d v="2018-11-09T00:00:00"/>
    <n v="339679"/>
    <n v="665"/>
    <x v="2"/>
    <n v="215387"/>
    <x v="0"/>
  </r>
  <r>
    <s v="CUST0126"/>
    <s v="ACC00093"/>
    <s v="Jessica Walker"/>
    <s v="Female"/>
    <n v="39"/>
    <x v="1"/>
    <x v="1"/>
    <s v="Student"/>
    <d v="2020-03-01T00:00:00"/>
    <x v="4"/>
    <x v="120"/>
    <n v="62534"/>
    <s v="Low"/>
    <x v="1"/>
    <x v="1"/>
    <d v="2023-05-23T00:00:00"/>
    <n v="23408"/>
    <n v="442"/>
    <x v="1"/>
    <n v="0"/>
    <x v="0"/>
  </r>
  <r>
    <s v="CUST0231"/>
    <s v="ACC00094"/>
    <s v="Andrew Payne"/>
    <s v="Female"/>
    <n v="38"/>
    <x v="1"/>
    <x v="0"/>
    <s v="Student"/>
    <d v="2023-01-11T00:00:00"/>
    <x v="1"/>
    <x v="121"/>
    <n v="159783"/>
    <s v="High"/>
    <x v="1"/>
    <x v="1"/>
    <d v="2023-12-27T00:00:00"/>
    <n v="124116"/>
    <n v="500"/>
    <x v="1"/>
    <n v="0"/>
    <x v="3"/>
  </r>
  <r>
    <s v="CUST0295"/>
    <s v="ACC00095"/>
    <s v="Donna Clark"/>
    <s v="Female"/>
    <n v="56"/>
    <x v="0"/>
    <x v="3"/>
    <s v="Student"/>
    <d v="2016-05-20T00:00:00"/>
    <x v="9"/>
    <x v="122"/>
    <n v="132755"/>
    <s v="Medium"/>
    <x v="1"/>
    <x v="2"/>
    <d v="2018-01-28T00:00:00"/>
    <n v="498492"/>
    <n v="479"/>
    <x v="1"/>
    <n v="426175"/>
    <x v="0"/>
  </r>
  <r>
    <s v="CUST0498"/>
    <s v="ACC00096"/>
    <s v="Yolanda Olson PhD"/>
    <s v="Female"/>
    <n v="31"/>
    <x v="1"/>
    <x v="2"/>
    <s v="Trader"/>
    <d v="2016-07-10T00:00:00"/>
    <x v="9"/>
    <x v="123"/>
    <n v="52556"/>
    <s v="Low"/>
    <x v="0"/>
    <x v="1"/>
    <d v="2024-07-19T00:00:00"/>
    <n v="131208"/>
    <n v="663"/>
    <x v="2"/>
    <n v="0"/>
    <x v="0"/>
  </r>
  <r>
    <s v="CUST0419"/>
    <s v="ACC00097"/>
    <s v="Kimberly Lopez"/>
    <s v="Female"/>
    <n v="53"/>
    <x v="0"/>
    <x v="0"/>
    <s v="Student"/>
    <d v="2017-03-08T00:00:00"/>
    <x v="0"/>
    <x v="124"/>
    <n v="118317"/>
    <s v="Medium"/>
    <x v="0"/>
    <x v="2"/>
    <d v="2021-10-03T00:00:00"/>
    <n v="17413"/>
    <n v="778"/>
    <x v="3"/>
    <n v="128076"/>
    <x v="0"/>
  </r>
  <r>
    <s v="CUST0419"/>
    <s v="ACC00444"/>
    <s v="Kimberly Lopez"/>
    <s v="Female"/>
    <n v="53"/>
    <x v="0"/>
    <x v="0"/>
    <s v="Student"/>
    <d v="2017-03-08T00:00:00"/>
    <x v="0"/>
    <x v="124"/>
    <n v="118317"/>
    <s v="Medium"/>
    <x v="0"/>
    <x v="1"/>
    <d v="2016-12-16T00:00:00"/>
    <n v="442361"/>
    <n v="592"/>
    <x v="2"/>
    <n v="173733"/>
    <x v="0"/>
  </r>
  <r>
    <s v="CUST0097"/>
    <s v="ACC00287"/>
    <s v="Danielle Newman"/>
    <s v="Female"/>
    <n v="36"/>
    <x v="1"/>
    <x v="2"/>
    <s v="Engineer"/>
    <d v="2017-12-22T00:00:00"/>
    <x v="0"/>
    <x v="89"/>
    <n v="31303"/>
    <s v="Low"/>
    <x v="1"/>
    <x v="1"/>
    <d v="2025-01-28T00:00:00"/>
    <n v="444972"/>
    <n v="445"/>
    <x v="1"/>
    <n v="0"/>
    <x v="0"/>
  </r>
  <r>
    <s v="CUST0129"/>
    <s v="ACC00098"/>
    <s v="Jeanette Greene"/>
    <s v="Female"/>
    <n v="20"/>
    <x v="2"/>
    <x v="3"/>
    <s v="Teacher"/>
    <d v="2019-02-21T00:00:00"/>
    <x v="2"/>
    <x v="125"/>
    <n v="146209"/>
    <s v="High"/>
    <x v="0"/>
    <x v="2"/>
    <d v="2016-08-05T00:00:00"/>
    <n v="113650"/>
    <n v="770"/>
    <x v="3"/>
    <n v="163177"/>
    <x v="0"/>
  </r>
  <r>
    <s v="CUST0129"/>
    <s v="ACC00339"/>
    <s v="Jeanette Greene"/>
    <s v="Female"/>
    <n v="20"/>
    <x v="2"/>
    <x v="3"/>
    <s v="Teacher"/>
    <d v="2019-02-21T00:00:00"/>
    <x v="2"/>
    <x v="125"/>
    <n v="146209"/>
    <s v="High"/>
    <x v="0"/>
    <x v="1"/>
    <d v="2024-04-24T00:00:00"/>
    <n v="452413"/>
    <n v="681"/>
    <x v="0"/>
    <n v="0"/>
    <x v="0"/>
  </r>
  <r>
    <s v="CUST0129"/>
    <s v="ACC00360"/>
    <s v="Jeanette Greene"/>
    <s v="Female"/>
    <n v="20"/>
    <x v="2"/>
    <x v="3"/>
    <s v="Teacher"/>
    <d v="2019-02-21T00:00:00"/>
    <x v="2"/>
    <x v="125"/>
    <n v="146209"/>
    <s v="High"/>
    <x v="0"/>
    <x v="1"/>
    <d v="2019-02-01T00:00:00"/>
    <n v="108944"/>
    <n v="751"/>
    <x v="3"/>
    <n v="63560"/>
    <x v="0"/>
  </r>
  <r>
    <s v="CUST0098"/>
    <s v="ACC00216"/>
    <s v="Jeremy Jones"/>
    <s v="Female"/>
    <n v="34"/>
    <x v="1"/>
    <x v="2"/>
    <s v="Trader"/>
    <d v="2023-06-22T00:00:00"/>
    <x v="1"/>
    <x v="126"/>
    <n v="181633"/>
    <s v="High"/>
    <x v="1"/>
    <x v="0"/>
    <d v="2022-04-02T00:00:00"/>
    <n v="192"/>
    <n v="324"/>
    <x v="1"/>
    <n v="0"/>
    <x v="0"/>
  </r>
  <r>
    <s v="CUST0098"/>
    <s v="ACC00220"/>
    <s v="Jeremy Jones"/>
    <s v="Female"/>
    <n v="34"/>
    <x v="1"/>
    <x v="2"/>
    <s v="Trader"/>
    <d v="2023-06-22T00:00:00"/>
    <x v="1"/>
    <x v="126"/>
    <n v="181633"/>
    <s v="High"/>
    <x v="1"/>
    <x v="1"/>
    <d v="2024-11-18T00:00:00"/>
    <n v="39082"/>
    <n v="602"/>
    <x v="2"/>
    <n v="0"/>
    <x v="0"/>
  </r>
  <r>
    <s v="CUST0098"/>
    <s v="ACC00231"/>
    <s v="Jeremy Jones"/>
    <s v="Female"/>
    <n v="34"/>
    <x v="1"/>
    <x v="2"/>
    <s v="Trader"/>
    <d v="2023-06-22T00:00:00"/>
    <x v="1"/>
    <x v="126"/>
    <n v="181633"/>
    <s v="High"/>
    <x v="1"/>
    <x v="2"/>
    <d v="2023-06-28T00:00:00"/>
    <n v="402575"/>
    <n v="491"/>
    <x v="1"/>
    <n v="0"/>
    <x v="3"/>
  </r>
  <r>
    <s v="CUST0280"/>
    <s v="ACC00099"/>
    <s v="Kristy Washington"/>
    <s v="Female"/>
    <n v="36"/>
    <x v="1"/>
    <x v="0"/>
    <s v="Retired"/>
    <d v="2017-05-27T00:00:00"/>
    <x v="0"/>
    <x v="127"/>
    <n v="59499"/>
    <s v="Low"/>
    <x v="0"/>
    <x v="1"/>
    <d v="2019-05-23T00:00:00"/>
    <n v="59500"/>
    <n v="683"/>
    <x v="0"/>
    <n v="0"/>
    <x v="0"/>
  </r>
  <r>
    <s v="CUST0099"/>
    <s v="ACC00246"/>
    <s v="Alexis Avila"/>
    <s v="Female"/>
    <n v="73"/>
    <x v="3"/>
    <x v="0"/>
    <s v="Engineer"/>
    <d v="2020-11-19T00:00:00"/>
    <x v="4"/>
    <x v="128"/>
    <n v="91719"/>
    <s v="Medium"/>
    <x v="1"/>
    <x v="3"/>
    <d v="2020-09-30T00:00:00"/>
    <n v="43954"/>
    <n v="737"/>
    <x v="0"/>
    <n v="0"/>
    <x v="0"/>
  </r>
  <r>
    <s v="CUST0100"/>
    <s v="ACC00101"/>
    <s v="Leslie Buchanan"/>
    <s v="Male"/>
    <n v="36"/>
    <x v="1"/>
    <x v="2"/>
    <s v="Engineer"/>
    <d v="2023-01-16T00:00:00"/>
    <x v="1"/>
    <x v="129"/>
    <n v="119616"/>
    <s v="Medium"/>
    <x v="0"/>
    <x v="0"/>
    <d v="2021-12-14T00:00:00"/>
    <n v="56358"/>
    <n v="607"/>
    <x v="2"/>
    <n v="0"/>
    <x v="0"/>
  </r>
  <r>
    <s v="CUST0101"/>
    <s v="ACC00341"/>
    <s v="Robert Wright"/>
    <s v="Male"/>
    <n v="45"/>
    <x v="0"/>
    <x v="2"/>
    <s v="Trader"/>
    <d v="2020-07-06T00:00:00"/>
    <x v="4"/>
    <x v="130"/>
    <n v="144165"/>
    <s v="High"/>
    <x v="1"/>
    <x v="1"/>
    <d v="2019-05-14T00:00:00"/>
    <n v="452063"/>
    <n v="752"/>
    <x v="3"/>
    <n v="467927"/>
    <x v="2"/>
  </r>
  <r>
    <s v="CUST0101"/>
    <s v="ACC00346"/>
    <s v="Robert Wright"/>
    <s v="Male"/>
    <n v="45"/>
    <x v="0"/>
    <x v="2"/>
    <s v="Trader"/>
    <d v="2020-07-06T00:00:00"/>
    <x v="4"/>
    <x v="130"/>
    <n v="144165"/>
    <s v="High"/>
    <x v="1"/>
    <x v="1"/>
    <d v="2023-02-05T00:00:00"/>
    <n v="63972"/>
    <n v="305"/>
    <x v="1"/>
    <n v="0"/>
    <x v="0"/>
  </r>
  <r>
    <s v="CUST0326"/>
    <s v="ACC00102"/>
    <s v="William Singleton"/>
    <s v="Female"/>
    <n v="46"/>
    <x v="0"/>
    <x v="3"/>
    <s v="Trader"/>
    <d v="2020-01-17T00:00:00"/>
    <x v="4"/>
    <x v="131"/>
    <n v="120734"/>
    <s v="Medium"/>
    <x v="1"/>
    <x v="1"/>
    <d v="2019-12-05T00:00:00"/>
    <n v="66197"/>
    <n v="666"/>
    <x v="2"/>
    <n v="364014"/>
    <x v="3"/>
  </r>
  <r>
    <s v="CUST0102"/>
    <s v="ACC00370"/>
    <s v="Patrick Moore"/>
    <s v="Female"/>
    <n v="72"/>
    <x v="3"/>
    <x v="3"/>
    <s v="Student"/>
    <d v="2021-12-30T00:00:00"/>
    <x v="3"/>
    <x v="132"/>
    <n v="106231"/>
    <s v="Medium"/>
    <x v="1"/>
    <x v="0"/>
    <d v="2018-11-26T00:00:00"/>
    <n v="306660"/>
    <n v="615"/>
    <x v="2"/>
    <n v="0"/>
    <x v="2"/>
  </r>
  <r>
    <s v="CUST0297"/>
    <s v="ACC00103"/>
    <s v="Jeffery James"/>
    <s v="Female"/>
    <n v="70"/>
    <x v="3"/>
    <x v="1"/>
    <s v="Student"/>
    <d v="2022-10-28T00:00:00"/>
    <x v="5"/>
    <x v="133"/>
    <n v="70069"/>
    <s v="Low"/>
    <x v="1"/>
    <x v="2"/>
    <d v="2017-12-11T00:00:00"/>
    <n v="493992"/>
    <n v="300"/>
    <x v="1"/>
    <n v="0"/>
    <x v="1"/>
  </r>
  <r>
    <s v="CUST0297"/>
    <s v="ACC00308"/>
    <s v="Jeffery James"/>
    <s v="Female"/>
    <n v="70"/>
    <x v="3"/>
    <x v="1"/>
    <s v="Student"/>
    <d v="2022-10-28T00:00:00"/>
    <x v="5"/>
    <x v="133"/>
    <n v="70069"/>
    <s v="Low"/>
    <x v="1"/>
    <x v="0"/>
    <d v="2018-12-27T00:00:00"/>
    <n v="350067"/>
    <n v="349"/>
    <x v="1"/>
    <n v="0"/>
    <x v="0"/>
  </r>
  <r>
    <s v="CUST0182"/>
    <s v="ACC00104"/>
    <s v="Katie Padilla"/>
    <s v="Male"/>
    <n v="44"/>
    <x v="1"/>
    <x v="2"/>
    <s v="Banker"/>
    <d v="2025-07-05T00:00:00"/>
    <x v="8"/>
    <x v="134"/>
    <n v="47082"/>
    <s v="Low"/>
    <x v="0"/>
    <x v="0"/>
    <d v="2022-09-30T00:00:00"/>
    <n v="223861"/>
    <n v="343"/>
    <x v="1"/>
    <n v="0"/>
    <x v="0"/>
  </r>
  <r>
    <s v="CUST0182"/>
    <s v="ACC00132"/>
    <s v="Katie Padilla"/>
    <s v="Male"/>
    <n v="44"/>
    <x v="1"/>
    <x v="2"/>
    <s v="Banker"/>
    <d v="2025-07-05T00:00:00"/>
    <x v="8"/>
    <x v="134"/>
    <n v="47082"/>
    <s v="Low"/>
    <x v="0"/>
    <x v="0"/>
    <d v="2018-10-30T00:00:00"/>
    <n v="123364"/>
    <n v="438"/>
    <x v="1"/>
    <n v="0"/>
    <x v="3"/>
  </r>
  <r>
    <s v="CUST0104"/>
    <s v="ACC00319"/>
    <s v="Matthew Palmer"/>
    <s v="Female"/>
    <n v="54"/>
    <x v="0"/>
    <x v="0"/>
    <s v="Trader"/>
    <d v="2016-10-02T00:00:00"/>
    <x v="9"/>
    <x v="135"/>
    <n v="39623"/>
    <s v="Low"/>
    <x v="1"/>
    <x v="1"/>
    <d v="2019-10-15T00:00:00"/>
    <n v="173311"/>
    <n v="728"/>
    <x v="0"/>
    <n v="0"/>
    <x v="0"/>
  </r>
  <r>
    <s v="CUST0174"/>
    <s v="ACC00105"/>
    <s v="Evan Holt"/>
    <s v="Female"/>
    <n v="33"/>
    <x v="1"/>
    <x v="0"/>
    <s v="Retired"/>
    <d v="2019-10-29T00:00:00"/>
    <x v="2"/>
    <x v="136"/>
    <n v="120732"/>
    <s v="Medium"/>
    <x v="0"/>
    <x v="1"/>
    <d v="2025-06-21T00:00:00"/>
    <n v="223492"/>
    <n v="397"/>
    <x v="1"/>
    <n v="0"/>
    <x v="0"/>
  </r>
  <r>
    <s v="CUST0316"/>
    <s v="ACC00106"/>
    <s v="Heather Carter"/>
    <s v="Female"/>
    <n v="24"/>
    <x v="2"/>
    <x v="1"/>
    <s v="Doctor"/>
    <d v="2023-05-12T00:00:00"/>
    <x v="1"/>
    <x v="29"/>
    <n v="53320"/>
    <s v="Low"/>
    <x v="1"/>
    <x v="0"/>
    <d v="2015-11-24T00:00:00"/>
    <n v="261545"/>
    <n v="564"/>
    <x v="1"/>
    <n v="0"/>
    <x v="0"/>
  </r>
  <r>
    <s v="CUST0316"/>
    <s v="ACC00322"/>
    <s v="Heather Carter"/>
    <s v="Female"/>
    <n v="24"/>
    <x v="2"/>
    <x v="1"/>
    <s v="Doctor"/>
    <d v="2023-05-12T00:00:00"/>
    <x v="1"/>
    <x v="29"/>
    <n v="53320"/>
    <s v="Low"/>
    <x v="1"/>
    <x v="1"/>
    <d v="2023-08-22T00:00:00"/>
    <n v="276827"/>
    <n v="493"/>
    <x v="1"/>
    <n v="0"/>
    <x v="0"/>
  </r>
  <r>
    <s v="CUST0106"/>
    <s v="ACC00119"/>
    <s v="Linda Lopez"/>
    <s v="Female"/>
    <n v="70"/>
    <x v="3"/>
    <x v="0"/>
    <s v="Banker"/>
    <d v="2017-07-24T00:00:00"/>
    <x v="0"/>
    <x v="137"/>
    <n v="184202"/>
    <s v="High"/>
    <x v="1"/>
    <x v="2"/>
    <d v="2021-04-11T00:00:00"/>
    <n v="263844"/>
    <n v="780"/>
    <x v="3"/>
    <n v="0"/>
    <x v="0"/>
  </r>
  <r>
    <s v="CUST0106"/>
    <s v="ACC00134"/>
    <s v="Linda Lopez"/>
    <s v="Female"/>
    <n v="70"/>
    <x v="3"/>
    <x v="0"/>
    <s v="Banker"/>
    <d v="2017-07-24T00:00:00"/>
    <x v="0"/>
    <x v="137"/>
    <n v="184202"/>
    <s v="High"/>
    <x v="1"/>
    <x v="3"/>
    <d v="2020-04-04T00:00:00"/>
    <n v="14955"/>
    <n v="414"/>
    <x v="1"/>
    <n v="0"/>
    <x v="0"/>
  </r>
  <r>
    <s v="CUST0364"/>
    <s v="ACC00107"/>
    <s v="Jeffrey Long"/>
    <s v="Female"/>
    <n v="20"/>
    <x v="2"/>
    <x v="0"/>
    <s v="Doctor"/>
    <d v="2016-03-13T00:00:00"/>
    <x v="9"/>
    <x v="138"/>
    <n v="28946"/>
    <s v="Low"/>
    <x v="0"/>
    <x v="3"/>
    <d v="2018-01-31T00:00:00"/>
    <n v="426070"/>
    <n v="439"/>
    <x v="1"/>
    <n v="0"/>
    <x v="0"/>
  </r>
  <r>
    <s v="CUST0364"/>
    <s v="ACC00118"/>
    <s v="Jeffrey Long"/>
    <s v="Female"/>
    <n v="20"/>
    <x v="2"/>
    <x v="0"/>
    <s v="Doctor"/>
    <d v="2016-03-13T00:00:00"/>
    <x v="9"/>
    <x v="138"/>
    <n v="28946"/>
    <s v="Low"/>
    <x v="0"/>
    <x v="1"/>
    <d v="2022-01-04T00:00:00"/>
    <n v="355566"/>
    <n v="572"/>
    <x v="1"/>
    <n v="352236"/>
    <x v="0"/>
  </r>
  <r>
    <s v="CUST0364"/>
    <s v="ACC00403"/>
    <s v="Jeffrey Long"/>
    <s v="Female"/>
    <n v="20"/>
    <x v="2"/>
    <x v="0"/>
    <s v="Doctor"/>
    <d v="2016-03-13T00:00:00"/>
    <x v="9"/>
    <x v="138"/>
    <n v="28946"/>
    <s v="Low"/>
    <x v="0"/>
    <x v="0"/>
    <d v="2021-12-31T00:00:00"/>
    <n v="49522"/>
    <n v="704"/>
    <x v="0"/>
    <n v="0"/>
    <x v="0"/>
  </r>
  <r>
    <s v="CUST0364"/>
    <s v="ACC00404"/>
    <s v="Jeffrey Long"/>
    <s v="Female"/>
    <n v="20"/>
    <x v="2"/>
    <x v="0"/>
    <s v="Doctor"/>
    <d v="2016-03-13T00:00:00"/>
    <x v="9"/>
    <x v="138"/>
    <n v="28946"/>
    <s v="Low"/>
    <x v="0"/>
    <x v="2"/>
    <d v="2022-12-11T00:00:00"/>
    <n v="230233"/>
    <n v="513"/>
    <x v="1"/>
    <n v="0"/>
    <x v="0"/>
  </r>
  <r>
    <s v="CUST0188"/>
    <s v="ACC00108"/>
    <s v="Kristopher Fletcher"/>
    <s v="Male"/>
    <n v="50"/>
    <x v="0"/>
    <x v="2"/>
    <s v="Teacher"/>
    <d v="2023-10-12T00:00:00"/>
    <x v="1"/>
    <x v="139"/>
    <n v="143395"/>
    <s v="High"/>
    <x v="0"/>
    <x v="1"/>
    <d v="2023-04-07T00:00:00"/>
    <n v="76240"/>
    <n v="780"/>
    <x v="3"/>
    <n v="0"/>
    <x v="3"/>
  </r>
  <r>
    <s v="CUST0108"/>
    <s v="ACC00439"/>
    <s v="Carmen Graham"/>
    <s v="Female"/>
    <n v="26"/>
    <x v="2"/>
    <x v="0"/>
    <s v="Retired"/>
    <d v="2021-01-28T00:00:00"/>
    <x v="3"/>
    <x v="140"/>
    <n v="177364"/>
    <s v="High"/>
    <x v="1"/>
    <x v="0"/>
    <d v="2021-09-02T00:00:00"/>
    <n v="468758"/>
    <n v="699"/>
    <x v="0"/>
    <n v="0"/>
    <x v="0"/>
  </r>
  <r>
    <s v="CUST0112"/>
    <s v="ACC00227"/>
    <s v="Daniel Adams"/>
    <s v="Male"/>
    <n v="18"/>
    <x v="2"/>
    <x v="2"/>
    <s v="Retired"/>
    <d v="2020-04-10T00:00:00"/>
    <x v="4"/>
    <x v="141"/>
    <n v="153541"/>
    <s v="High"/>
    <x v="0"/>
    <x v="1"/>
    <d v="2016-06-05T00:00:00"/>
    <n v="423914"/>
    <n v="644"/>
    <x v="2"/>
    <n v="0"/>
    <x v="0"/>
  </r>
  <r>
    <s v="CUST0473"/>
    <s v="ACC00113"/>
    <s v="Tina Lowery"/>
    <s v="Male"/>
    <n v="51"/>
    <x v="0"/>
    <x v="1"/>
    <s v="Student"/>
    <d v="2020-09-09T00:00:00"/>
    <x v="4"/>
    <x v="142"/>
    <n v="180928"/>
    <s v="High"/>
    <x v="1"/>
    <x v="1"/>
    <d v="2017-11-03T00:00:00"/>
    <n v="6968"/>
    <n v="620"/>
    <x v="2"/>
    <n v="0"/>
    <x v="0"/>
  </r>
  <r>
    <s v="CUST0114"/>
    <s v="ACC00333"/>
    <s v="Megan Proctor"/>
    <s v="Female"/>
    <n v="51"/>
    <x v="0"/>
    <x v="1"/>
    <s v="Doctor"/>
    <d v="2019-07-12T00:00:00"/>
    <x v="2"/>
    <x v="143"/>
    <n v="173606"/>
    <s v="High"/>
    <x v="0"/>
    <x v="0"/>
    <d v="2018-11-25T00:00:00"/>
    <n v="195784"/>
    <n v="612"/>
    <x v="2"/>
    <n v="0"/>
    <x v="0"/>
  </r>
  <r>
    <s v="CUST0213"/>
    <s v="ACC00115"/>
    <s v="Nathan Blackburn"/>
    <s v="Male"/>
    <n v="25"/>
    <x v="2"/>
    <x v="1"/>
    <s v="Retired"/>
    <d v="2017-08-26T00:00:00"/>
    <x v="0"/>
    <x v="144"/>
    <n v="158496"/>
    <s v="High"/>
    <x v="1"/>
    <x v="2"/>
    <d v="2024-07-25T00:00:00"/>
    <n v="314069"/>
    <n v="531"/>
    <x v="1"/>
    <n v="0"/>
    <x v="0"/>
  </r>
  <r>
    <s v="CUST0213"/>
    <s v="ACC00265"/>
    <s v="Nathan Blackburn"/>
    <s v="Male"/>
    <n v="25"/>
    <x v="2"/>
    <x v="1"/>
    <s v="Retired"/>
    <d v="2017-08-26T00:00:00"/>
    <x v="0"/>
    <x v="144"/>
    <n v="158496"/>
    <s v="High"/>
    <x v="1"/>
    <x v="1"/>
    <d v="2016-04-27T00:00:00"/>
    <n v="23185"/>
    <n v="465"/>
    <x v="1"/>
    <n v="0"/>
    <x v="0"/>
  </r>
  <r>
    <s v="CUST0213"/>
    <s v="ACC00406"/>
    <s v="Nathan Blackburn"/>
    <s v="Male"/>
    <n v="25"/>
    <x v="2"/>
    <x v="1"/>
    <s v="Retired"/>
    <d v="2017-08-26T00:00:00"/>
    <x v="0"/>
    <x v="144"/>
    <n v="158496"/>
    <s v="High"/>
    <x v="1"/>
    <x v="1"/>
    <d v="2015-10-10T00:00:00"/>
    <n v="373393"/>
    <n v="747"/>
    <x v="3"/>
    <n v="0"/>
    <x v="0"/>
  </r>
  <r>
    <s v="CUST0115"/>
    <s v="ACC00493"/>
    <s v="Sarah Guzman"/>
    <s v="Male"/>
    <n v="49"/>
    <x v="0"/>
    <x v="0"/>
    <s v="Doctor"/>
    <d v="2024-08-28T00:00:00"/>
    <x v="7"/>
    <x v="145"/>
    <n v="68874"/>
    <s v="Low"/>
    <x v="0"/>
    <x v="1"/>
    <d v="2016-01-10T00:00:00"/>
    <n v="426940"/>
    <n v="587"/>
    <x v="2"/>
    <n v="0"/>
    <x v="0"/>
  </r>
  <r>
    <s v="CUST0414"/>
    <s v="ACC00116"/>
    <s v="Jennifer Mercado"/>
    <s v="Male"/>
    <n v="41"/>
    <x v="1"/>
    <x v="2"/>
    <s v="Doctor"/>
    <d v="2016-03-28T00:00:00"/>
    <x v="9"/>
    <x v="98"/>
    <n v="196037"/>
    <s v="High"/>
    <x v="0"/>
    <x v="0"/>
    <d v="2023-07-07T00:00:00"/>
    <n v="190920"/>
    <n v="341"/>
    <x v="1"/>
    <n v="0"/>
    <x v="3"/>
  </r>
  <r>
    <s v="CUST0414"/>
    <s v="ACC00120"/>
    <s v="Jennifer Mercado"/>
    <s v="Male"/>
    <n v="41"/>
    <x v="1"/>
    <x v="2"/>
    <s v="Doctor"/>
    <d v="2016-03-28T00:00:00"/>
    <x v="9"/>
    <x v="98"/>
    <n v="196037"/>
    <s v="High"/>
    <x v="0"/>
    <x v="2"/>
    <d v="2016-05-22T00:00:00"/>
    <n v="355926"/>
    <n v="715"/>
    <x v="0"/>
    <n v="0"/>
    <x v="0"/>
  </r>
  <r>
    <s v="CUST0408"/>
    <s v="ACC00117"/>
    <s v="Roger Koch"/>
    <s v="Female"/>
    <n v="27"/>
    <x v="2"/>
    <x v="2"/>
    <s v="Retired"/>
    <d v="2016-07-20T00:00:00"/>
    <x v="9"/>
    <x v="146"/>
    <n v="174351"/>
    <s v="High"/>
    <x v="1"/>
    <x v="2"/>
    <d v="2016-10-28T00:00:00"/>
    <n v="374044"/>
    <n v="438"/>
    <x v="1"/>
    <n v="251983"/>
    <x v="0"/>
  </r>
  <r>
    <s v="CUST0408"/>
    <s v="ACC00306"/>
    <s v="Roger Koch"/>
    <s v="Female"/>
    <n v="27"/>
    <x v="2"/>
    <x v="2"/>
    <s v="Retired"/>
    <d v="2016-07-20T00:00:00"/>
    <x v="9"/>
    <x v="146"/>
    <n v="174351"/>
    <s v="High"/>
    <x v="1"/>
    <x v="1"/>
    <d v="2019-06-18T00:00:00"/>
    <n v="22010"/>
    <n v="626"/>
    <x v="2"/>
    <n v="268312"/>
    <x v="2"/>
  </r>
  <r>
    <s v="CUST0120"/>
    <s v="ACC00128"/>
    <s v="Sherri Webb"/>
    <s v="Male"/>
    <n v="62"/>
    <x v="3"/>
    <x v="2"/>
    <s v="Banker"/>
    <d v="2019-03-31T00:00:00"/>
    <x v="2"/>
    <x v="147"/>
    <n v="67638"/>
    <s v="Low"/>
    <x v="1"/>
    <x v="2"/>
    <d v="2021-09-17T00:00:00"/>
    <n v="109814"/>
    <n v="798"/>
    <x v="3"/>
    <n v="0"/>
    <x v="0"/>
  </r>
  <r>
    <s v="CUST0342"/>
    <s v="ACC00121"/>
    <s v="Perry Alvarez"/>
    <s v="Female"/>
    <n v="23"/>
    <x v="2"/>
    <x v="1"/>
    <s v="Banker"/>
    <d v="2023-04-01T00:00:00"/>
    <x v="1"/>
    <x v="148"/>
    <n v="130091"/>
    <s v="Medium"/>
    <x v="0"/>
    <x v="3"/>
    <d v="2022-08-02T00:00:00"/>
    <n v="232076"/>
    <n v="805"/>
    <x v="4"/>
    <n v="0"/>
    <x v="0"/>
  </r>
  <r>
    <s v="CUST0220"/>
    <s v="ACC00122"/>
    <s v="Maria Herman"/>
    <s v="Male"/>
    <n v="58"/>
    <x v="0"/>
    <x v="1"/>
    <s v="Engineer"/>
    <d v="2024-05-15T00:00:00"/>
    <x v="7"/>
    <x v="149"/>
    <n v="102711"/>
    <s v="Medium"/>
    <x v="1"/>
    <x v="1"/>
    <d v="2019-02-19T00:00:00"/>
    <n v="23199"/>
    <n v="723"/>
    <x v="0"/>
    <n v="0"/>
    <x v="0"/>
  </r>
  <r>
    <s v="CUST0220"/>
    <s v="ACC00126"/>
    <s v="Maria Herman"/>
    <s v="Male"/>
    <n v="58"/>
    <x v="0"/>
    <x v="1"/>
    <s v="Engineer"/>
    <d v="2024-05-15T00:00:00"/>
    <x v="7"/>
    <x v="149"/>
    <n v="102711"/>
    <s v="Medium"/>
    <x v="1"/>
    <x v="0"/>
    <d v="2016-08-05T00:00:00"/>
    <n v="185388"/>
    <n v="792"/>
    <x v="3"/>
    <n v="0"/>
    <x v="0"/>
  </r>
  <r>
    <s v="CUST0220"/>
    <s v="ACC00338"/>
    <s v="Maria Herman"/>
    <s v="Male"/>
    <n v="58"/>
    <x v="0"/>
    <x v="1"/>
    <s v="Engineer"/>
    <d v="2024-05-15T00:00:00"/>
    <x v="7"/>
    <x v="149"/>
    <n v="102711"/>
    <s v="Medium"/>
    <x v="1"/>
    <x v="3"/>
    <d v="2017-02-01T00:00:00"/>
    <n v="163244"/>
    <n v="470"/>
    <x v="1"/>
    <n v="0"/>
    <x v="0"/>
  </r>
  <r>
    <s v="CUST0391"/>
    <s v="ACC00123"/>
    <s v="Alexis Becker"/>
    <s v="Male"/>
    <n v="35"/>
    <x v="1"/>
    <x v="1"/>
    <s v="Retired"/>
    <d v="2017-07-15T00:00:00"/>
    <x v="0"/>
    <x v="150"/>
    <n v="46017"/>
    <s v="Low"/>
    <x v="0"/>
    <x v="0"/>
    <d v="2023-10-08T00:00:00"/>
    <n v="437805"/>
    <n v="706"/>
    <x v="0"/>
    <n v="0"/>
    <x v="1"/>
  </r>
  <r>
    <s v="CUST0391"/>
    <s v="ACC00253"/>
    <s v="Alexis Becker"/>
    <s v="Male"/>
    <n v="35"/>
    <x v="1"/>
    <x v="1"/>
    <s v="Retired"/>
    <d v="2017-07-15T00:00:00"/>
    <x v="0"/>
    <x v="150"/>
    <n v="46017"/>
    <s v="Low"/>
    <x v="0"/>
    <x v="1"/>
    <d v="2018-12-07T00:00:00"/>
    <n v="180882"/>
    <n v="410"/>
    <x v="1"/>
    <n v="0"/>
    <x v="1"/>
  </r>
  <r>
    <s v="CUST0163"/>
    <s v="ACC00124"/>
    <s v="Nathan Taylor"/>
    <s v="Female"/>
    <n v="51"/>
    <x v="0"/>
    <x v="0"/>
    <s v="Doctor"/>
    <d v="2022-08-16T00:00:00"/>
    <x v="5"/>
    <x v="151"/>
    <n v="40953"/>
    <s v="Low"/>
    <x v="1"/>
    <x v="0"/>
    <d v="2024-02-21T00:00:00"/>
    <n v="163187"/>
    <n v="689"/>
    <x v="0"/>
    <n v="497174"/>
    <x v="0"/>
  </r>
  <r>
    <s v="CUST0163"/>
    <s v="ACC00423"/>
    <s v="Nathan Taylor"/>
    <s v="Female"/>
    <n v="51"/>
    <x v="0"/>
    <x v="0"/>
    <s v="Doctor"/>
    <d v="2022-08-16T00:00:00"/>
    <x v="5"/>
    <x v="151"/>
    <n v="40953"/>
    <s v="Low"/>
    <x v="1"/>
    <x v="3"/>
    <d v="2020-03-24T00:00:00"/>
    <n v="481247"/>
    <n v="632"/>
    <x v="2"/>
    <n v="0"/>
    <x v="0"/>
  </r>
  <r>
    <s v="CUST0439"/>
    <s v="ACC00125"/>
    <s v="Mallory Miller"/>
    <s v="Male"/>
    <n v="30"/>
    <x v="1"/>
    <x v="2"/>
    <s v="Retired"/>
    <d v="2024-02-06T00:00:00"/>
    <x v="7"/>
    <x v="152"/>
    <n v="96367"/>
    <s v="Medium"/>
    <x v="1"/>
    <x v="1"/>
    <d v="2025-02-20T00:00:00"/>
    <n v="455150"/>
    <n v="641"/>
    <x v="2"/>
    <n v="93741"/>
    <x v="3"/>
  </r>
  <r>
    <s v="CUST0125"/>
    <s v="ACC00235"/>
    <s v="Juan Rodriguez"/>
    <s v="Male"/>
    <n v="22"/>
    <x v="2"/>
    <x v="3"/>
    <s v="Engineer"/>
    <d v="2017-01-19T00:00:00"/>
    <x v="0"/>
    <x v="153"/>
    <n v="187581"/>
    <s v="High"/>
    <x v="0"/>
    <x v="0"/>
    <d v="2023-07-01T00:00:00"/>
    <n v="42056"/>
    <n v="848"/>
    <x v="4"/>
    <n v="436739"/>
    <x v="0"/>
  </r>
  <r>
    <s v="CUST0270"/>
    <s v="ACC00127"/>
    <s v="Sarah Taylor"/>
    <s v="Male"/>
    <n v="29"/>
    <x v="1"/>
    <x v="0"/>
    <s v="Student"/>
    <d v="2017-01-02T00:00:00"/>
    <x v="0"/>
    <x v="154"/>
    <n v="172876"/>
    <s v="High"/>
    <x v="1"/>
    <x v="1"/>
    <d v="2022-01-20T00:00:00"/>
    <n v="5520"/>
    <n v="491"/>
    <x v="1"/>
    <n v="0"/>
    <x v="2"/>
  </r>
  <r>
    <s v="CUST0270"/>
    <s v="ACC00270"/>
    <s v="Sarah Taylor"/>
    <s v="Male"/>
    <n v="29"/>
    <x v="1"/>
    <x v="0"/>
    <s v="Student"/>
    <d v="2017-01-02T00:00:00"/>
    <x v="0"/>
    <x v="154"/>
    <n v="172876"/>
    <s v="High"/>
    <x v="1"/>
    <x v="2"/>
    <d v="2018-06-24T00:00:00"/>
    <n v="495239"/>
    <n v="825"/>
    <x v="4"/>
    <n v="0"/>
    <x v="0"/>
  </r>
  <r>
    <s v="CUST0127"/>
    <s v="ACC00156"/>
    <s v="Jennifer Watkins DDS"/>
    <s v="Female"/>
    <n v="46"/>
    <x v="0"/>
    <x v="3"/>
    <s v="Doctor"/>
    <d v="2016-01-05T00:00:00"/>
    <x v="9"/>
    <x v="155"/>
    <n v="112241"/>
    <s v="Medium"/>
    <x v="0"/>
    <x v="3"/>
    <d v="2020-03-16T00:00:00"/>
    <n v="384010"/>
    <n v="527"/>
    <x v="1"/>
    <n v="0"/>
    <x v="0"/>
  </r>
  <r>
    <s v="CUST0128"/>
    <s v="ACC00374"/>
    <s v="Jessica Ward"/>
    <s v="Male"/>
    <n v="72"/>
    <x v="3"/>
    <x v="1"/>
    <s v="Retired"/>
    <d v="2023-04-23T00:00:00"/>
    <x v="1"/>
    <x v="156"/>
    <n v="169859"/>
    <s v="High"/>
    <x v="1"/>
    <x v="1"/>
    <d v="2020-11-29T00:00:00"/>
    <n v="449449"/>
    <n v="829"/>
    <x v="4"/>
    <n v="0"/>
    <x v="0"/>
  </r>
  <r>
    <s v="CUST0128"/>
    <s v="ACC00465"/>
    <s v="Jessica Ward"/>
    <s v="Male"/>
    <n v="72"/>
    <x v="3"/>
    <x v="1"/>
    <s v="Retired"/>
    <d v="2023-04-23T00:00:00"/>
    <x v="1"/>
    <x v="156"/>
    <n v="169859"/>
    <s v="High"/>
    <x v="1"/>
    <x v="3"/>
    <d v="2021-03-17T00:00:00"/>
    <n v="426673"/>
    <n v="520"/>
    <x v="1"/>
    <n v="0"/>
    <x v="0"/>
  </r>
  <r>
    <s v="CUST0394"/>
    <s v="ACC00129"/>
    <s v="Daniel Moore"/>
    <s v="Female"/>
    <n v="66"/>
    <x v="3"/>
    <x v="1"/>
    <s v="Engineer"/>
    <d v="2016-01-15T00:00:00"/>
    <x v="9"/>
    <x v="157"/>
    <n v="163273"/>
    <s v="High"/>
    <x v="0"/>
    <x v="0"/>
    <d v="2018-04-26T00:00:00"/>
    <n v="167527"/>
    <n v="532"/>
    <x v="1"/>
    <n v="0"/>
    <x v="0"/>
  </r>
  <r>
    <s v="CUST0336"/>
    <s v="ACC00130"/>
    <s v="Kimberly Estes"/>
    <s v="Female"/>
    <n v="34"/>
    <x v="1"/>
    <x v="3"/>
    <s v="Banker"/>
    <d v="2017-03-23T00:00:00"/>
    <x v="0"/>
    <x v="80"/>
    <n v="115081"/>
    <s v="Medium"/>
    <x v="2"/>
    <x v="1"/>
    <d v="2021-06-30T00:00:00"/>
    <n v="246356"/>
    <n v="526"/>
    <x v="1"/>
    <n v="0"/>
    <x v="0"/>
  </r>
  <r>
    <s v="CUST0336"/>
    <s v="ACC00328"/>
    <s v="Kimberly Estes"/>
    <s v="Female"/>
    <n v="34"/>
    <x v="1"/>
    <x v="3"/>
    <s v="Banker"/>
    <d v="2017-03-23T00:00:00"/>
    <x v="0"/>
    <x v="80"/>
    <n v="115081"/>
    <s v="Medium"/>
    <x v="2"/>
    <x v="0"/>
    <d v="2020-12-23T00:00:00"/>
    <n v="340686"/>
    <n v="786"/>
    <x v="3"/>
    <n v="0"/>
    <x v="0"/>
  </r>
  <r>
    <s v="CUST0131"/>
    <s v="ACC00180"/>
    <s v="Michael Velasquez"/>
    <s v="Female"/>
    <n v="43"/>
    <x v="1"/>
    <x v="1"/>
    <s v="Student"/>
    <d v="2020-05-04T00:00:00"/>
    <x v="4"/>
    <x v="158"/>
    <n v="112124"/>
    <s v="Medium"/>
    <x v="0"/>
    <x v="3"/>
    <d v="2016-05-04T00:00:00"/>
    <n v="234473"/>
    <n v="581"/>
    <x v="2"/>
    <n v="295477"/>
    <x v="0"/>
  </r>
  <r>
    <s v="CUST0131"/>
    <s v="ACC00378"/>
    <s v="Michael Velasquez"/>
    <s v="Female"/>
    <n v="43"/>
    <x v="1"/>
    <x v="1"/>
    <s v="Student"/>
    <d v="2020-05-04T00:00:00"/>
    <x v="4"/>
    <x v="158"/>
    <n v="112124"/>
    <s v="Medium"/>
    <x v="0"/>
    <x v="2"/>
    <d v="2023-08-16T00:00:00"/>
    <n v="380172"/>
    <n v="382"/>
    <x v="1"/>
    <n v="0"/>
    <x v="1"/>
  </r>
  <r>
    <s v="CUST0131"/>
    <s v="ACC00410"/>
    <s v="Michael Velasquez"/>
    <s v="Female"/>
    <n v="43"/>
    <x v="1"/>
    <x v="1"/>
    <s v="Student"/>
    <d v="2020-05-04T00:00:00"/>
    <x v="4"/>
    <x v="158"/>
    <n v="112124"/>
    <s v="Medium"/>
    <x v="0"/>
    <x v="0"/>
    <d v="2023-05-05T00:00:00"/>
    <n v="409983"/>
    <n v="630"/>
    <x v="2"/>
    <n v="0"/>
    <x v="0"/>
  </r>
  <r>
    <s v="CUST0479"/>
    <s v="ACC00133"/>
    <s v="David Watson"/>
    <s v="Male"/>
    <n v="72"/>
    <x v="3"/>
    <x v="2"/>
    <s v="Engineer"/>
    <d v="2020-10-04T00:00:00"/>
    <x v="4"/>
    <x v="159"/>
    <n v="192307"/>
    <s v="High"/>
    <x v="0"/>
    <x v="1"/>
    <d v="2018-08-23T00:00:00"/>
    <n v="434821"/>
    <n v="448"/>
    <x v="1"/>
    <n v="374653"/>
    <x v="0"/>
  </r>
  <r>
    <s v="CUST0133"/>
    <s v="ACC00386"/>
    <s v="Lydia Ford"/>
    <s v="Male"/>
    <n v="68"/>
    <x v="3"/>
    <x v="0"/>
    <s v="Engineer"/>
    <d v="2021-09-15T00:00:00"/>
    <x v="3"/>
    <x v="160"/>
    <n v="184134"/>
    <s v="High"/>
    <x v="1"/>
    <x v="1"/>
    <d v="2020-10-17T00:00:00"/>
    <n v="195623"/>
    <n v="536"/>
    <x v="1"/>
    <n v="0"/>
    <x v="0"/>
  </r>
  <r>
    <s v="CUST0134"/>
    <s v="ACC00395"/>
    <s v="Sherry Guerrero"/>
    <s v="Male"/>
    <n v="54"/>
    <x v="0"/>
    <x v="3"/>
    <s v="Teacher"/>
    <d v="2018-07-21T00:00:00"/>
    <x v="6"/>
    <x v="67"/>
    <n v="95713"/>
    <s v="Medium"/>
    <x v="1"/>
    <x v="2"/>
    <d v="2024-01-05T00:00:00"/>
    <n v="110986"/>
    <n v="324"/>
    <x v="1"/>
    <n v="79231"/>
    <x v="3"/>
  </r>
  <r>
    <s v="CUST0134"/>
    <s v="ACC00495"/>
    <s v="Sherry Guerrero"/>
    <s v="Male"/>
    <n v="54"/>
    <x v="0"/>
    <x v="3"/>
    <s v="Teacher"/>
    <d v="2018-07-21T00:00:00"/>
    <x v="6"/>
    <x v="67"/>
    <n v="95713"/>
    <s v="Medium"/>
    <x v="1"/>
    <x v="0"/>
    <d v="2019-11-15T00:00:00"/>
    <n v="336986"/>
    <n v="437"/>
    <x v="1"/>
    <n v="0"/>
    <x v="0"/>
  </r>
  <r>
    <s v="CUST0217"/>
    <s v="ACC00135"/>
    <s v="Jeremy Brown"/>
    <s v="Female"/>
    <n v="43"/>
    <x v="1"/>
    <x v="3"/>
    <s v="Banker"/>
    <d v="2023-06-06T00:00:00"/>
    <x v="1"/>
    <x v="161"/>
    <n v="199362"/>
    <s v="High"/>
    <x v="1"/>
    <x v="3"/>
    <d v="2017-03-13T00:00:00"/>
    <n v="175121"/>
    <n v="749"/>
    <x v="3"/>
    <n v="0"/>
    <x v="0"/>
  </r>
  <r>
    <s v="CUST0205"/>
    <s v="ACC00136"/>
    <s v="Bryan Allen"/>
    <s v="Female"/>
    <n v="63"/>
    <x v="3"/>
    <x v="1"/>
    <s v="Banker"/>
    <d v="2024-10-22T00:00:00"/>
    <x v="7"/>
    <x v="162"/>
    <n v="73268"/>
    <s v="Low"/>
    <x v="1"/>
    <x v="0"/>
    <d v="2025-07-24T00:00:00"/>
    <n v="144989"/>
    <n v="362"/>
    <x v="1"/>
    <n v="0"/>
    <x v="1"/>
  </r>
  <r>
    <s v="CUST0329"/>
    <s v="ACC00139"/>
    <s v="Philip Brown"/>
    <s v="Female"/>
    <n v="36"/>
    <x v="1"/>
    <x v="1"/>
    <s v="Doctor"/>
    <d v="2022-08-18T00:00:00"/>
    <x v="5"/>
    <x v="163"/>
    <n v="118511"/>
    <s v="Medium"/>
    <x v="0"/>
    <x v="0"/>
    <d v="2016-07-02T00:00:00"/>
    <n v="250144"/>
    <n v="305"/>
    <x v="1"/>
    <n v="0"/>
    <x v="3"/>
  </r>
  <r>
    <s v="CUST0139"/>
    <s v="ACC00440"/>
    <s v="Julie Lynch"/>
    <s v="Male"/>
    <n v="45"/>
    <x v="0"/>
    <x v="3"/>
    <s v="Trader"/>
    <d v="2024-11-23T00:00:00"/>
    <x v="7"/>
    <x v="164"/>
    <n v="164059"/>
    <s v="High"/>
    <x v="1"/>
    <x v="0"/>
    <d v="2017-02-25T00:00:00"/>
    <n v="125814"/>
    <n v="370"/>
    <x v="1"/>
    <n v="0"/>
    <x v="0"/>
  </r>
  <r>
    <s v="CUST0184"/>
    <s v="ACC00142"/>
    <s v="Christopher Willis"/>
    <s v="Male"/>
    <n v="41"/>
    <x v="1"/>
    <x v="2"/>
    <s v="Banker"/>
    <d v="2022-08-02T00:00:00"/>
    <x v="5"/>
    <x v="118"/>
    <n v="195641"/>
    <s v="High"/>
    <x v="1"/>
    <x v="0"/>
    <d v="2017-12-21T00:00:00"/>
    <n v="70269"/>
    <n v="327"/>
    <x v="1"/>
    <n v="0"/>
    <x v="0"/>
  </r>
  <r>
    <s v="CUST0142"/>
    <s v="ACC00173"/>
    <s v="Charles Chapman"/>
    <s v="Male"/>
    <n v="66"/>
    <x v="3"/>
    <x v="1"/>
    <s v="Retired"/>
    <d v="2024-09-25T00:00:00"/>
    <x v="7"/>
    <x v="165"/>
    <n v="83852"/>
    <s v="Medium"/>
    <x v="1"/>
    <x v="0"/>
    <d v="2018-11-19T00:00:00"/>
    <n v="15534"/>
    <n v="771"/>
    <x v="3"/>
    <n v="0"/>
    <x v="0"/>
  </r>
  <r>
    <s v="CUST0142"/>
    <s v="ACC00482"/>
    <s v="Charles Chapman"/>
    <s v="Male"/>
    <n v="66"/>
    <x v="3"/>
    <x v="1"/>
    <s v="Retired"/>
    <d v="2024-09-25T00:00:00"/>
    <x v="7"/>
    <x v="165"/>
    <n v="83852"/>
    <s v="Medium"/>
    <x v="1"/>
    <x v="2"/>
    <d v="2016-04-28T00:00:00"/>
    <n v="343303"/>
    <n v="446"/>
    <x v="1"/>
    <n v="0"/>
    <x v="0"/>
  </r>
  <r>
    <s v="CUST0143"/>
    <s v="ACC00164"/>
    <s v="Jamie Spencer"/>
    <s v="Female"/>
    <n v="47"/>
    <x v="0"/>
    <x v="3"/>
    <s v="Retired"/>
    <d v="2021-11-28T00:00:00"/>
    <x v="3"/>
    <x v="166"/>
    <n v="152079"/>
    <s v="High"/>
    <x v="1"/>
    <x v="1"/>
    <d v="2019-08-28T00:00:00"/>
    <n v="440437"/>
    <n v="746"/>
    <x v="3"/>
    <n v="499927"/>
    <x v="1"/>
  </r>
  <r>
    <s v="CUST0143"/>
    <s v="ACC00262"/>
    <s v="Jamie Spencer"/>
    <s v="Female"/>
    <n v="47"/>
    <x v="0"/>
    <x v="3"/>
    <s v="Retired"/>
    <d v="2021-11-28T00:00:00"/>
    <x v="3"/>
    <x v="166"/>
    <n v="152079"/>
    <s v="High"/>
    <x v="1"/>
    <x v="0"/>
    <d v="2022-03-14T00:00:00"/>
    <n v="37405"/>
    <n v="507"/>
    <x v="1"/>
    <n v="0"/>
    <x v="3"/>
  </r>
  <r>
    <s v="CUST0143"/>
    <s v="ACC00473"/>
    <s v="Jamie Spencer"/>
    <s v="Female"/>
    <n v="47"/>
    <x v="0"/>
    <x v="3"/>
    <s v="Retired"/>
    <d v="2021-11-28T00:00:00"/>
    <x v="3"/>
    <x v="166"/>
    <n v="152079"/>
    <s v="High"/>
    <x v="1"/>
    <x v="2"/>
    <d v="2022-02-28T00:00:00"/>
    <n v="409319"/>
    <n v="447"/>
    <x v="1"/>
    <n v="0"/>
    <x v="0"/>
  </r>
  <r>
    <s v="CUST0144"/>
    <s v="ACC00232"/>
    <s v="Philip Ochoa"/>
    <s v="Female"/>
    <n v="63"/>
    <x v="3"/>
    <x v="1"/>
    <s v="Doctor"/>
    <d v="2017-12-15T00:00:00"/>
    <x v="0"/>
    <x v="167"/>
    <n v="96242"/>
    <s v="Medium"/>
    <x v="1"/>
    <x v="1"/>
    <d v="2024-05-19T00:00:00"/>
    <n v="391192"/>
    <n v="304"/>
    <x v="1"/>
    <n v="196480"/>
    <x v="2"/>
  </r>
  <r>
    <s v="CUST0338"/>
    <s v="ACC00145"/>
    <s v="Derek Jones"/>
    <s v="Male"/>
    <n v="42"/>
    <x v="1"/>
    <x v="1"/>
    <s v="Teacher"/>
    <d v="2022-11-03T00:00:00"/>
    <x v="5"/>
    <x v="168"/>
    <n v="131562"/>
    <s v="Medium"/>
    <x v="1"/>
    <x v="0"/>
    <d v="2025-08-10T00:00:00"/>
    <n v="465833"/>
    <n v="592"/>
    <x v="2"/>
    <n v="0"/>
    <x v="0"/>
  </r>
  <r>
    <s v="CUST0338"/>
    <s v="ACC00429"/>
    <s v="Derek Jones"/>
    <s v="Male"/>
    <n v="42"/>
    <x v="1"/>
    <x v="1"/>
    <s v="Teacher"/>
    <d v="2022-11-03T00:00:00"/>
    <x v="5"/>
    <x v="168"/>
    <n v="131562"/>
    <s v="Medium"/>
    <x v="1"/>
    <x v="2"/>
    <d v="2024-09-28T00:00:00"/>
    <n v="197530"/>
    <n v="440"/>
    <x v="1"/>
    <n v="183371"/>
    <x v="1"/>
  </r>
  <r>
    <s v="CUST0250"/>
    <s v="ACC00146"/>
    <s v="James Hardy"/>
    <s v="Male"/>
    <n v="54"/>
    <x v="0"/>
    <x v="3"/>
    <s v="Trader"/>
    <d v="2018-07-13T00:00:00"/>
    <x v="6"/>
    <x v="169"/>
    <n v="28712"/>
    <s v="Low"/>
    <x v="1"/>
    <x v="3"/>
    <d v="2023-03-09T00:00:00"/>
    <n v="303602"/>
    <n v="670"/>
    <x v="0"/>
    <n v="0"/>
    <x v="0"/>
  </r>
  <r>
    <s v="CUST0363"/>
    <s v="ACC00147"/>
    <s v="William Fuller"/>
    <s v="Male"/>
    <n v="18"/>
    <x v="2"/>
    <x v="3"/>
    <s v="Trader"/>
    <d v="2016-07-30T00:00:00"/>
    <x v="9"/>
    <x v="170"/>
    <n v="99561"/>
    <s v="Medium"/>
    <x v="2"/>
    <x v="1"/>
    <d v="2019-08-21T00:00:00"/>
    <n v="351181"/>
    <n v="543"/>
    <x v="1"/>
    <n v="0"/>
    <x v="0"/>
  </r>
  <r>
    <s v="CUST0363"/>
    <s v="ACC00334"/>
    <s v="William Fuller"/>
    <s v="Male"/>
    <n v="18"/>
    <x v="2"/>
    <x v="3"/>
    <s v="Trader"/>
    <d v="2016-07-30T00:00:00"/>
    <x v="9"/>
    <x v="170"/>
    <n v="99561"/>
    <s v="Medium"/>
    <x v="2"/>
    <x v="1"/>
    <d v="2024-07-09T00:00:00"/>
    <n v="409849"/>
    <n v="757"/>
    <x v="3"/>
    <n v="0"/>
    <x v="0"/>
  </r>
  <r>
    <s v="CUST0441"/>
    <s v="ACC00148"/>
    <s v="Emily Sellers"/>
    <s v="Male"/>
    <n v="52"/>
    <x v="0"/>
    <x v="1"/>
    <s v="Trader"/>
    <d v="2023-02-07T00:00:00"/>
    <x v="1"/>
    <x v="171"/>
    <n v="96619"/>
    <s v="Medium"/>
    <x v="1"/>
    <x v="2"/>
    <d v="2020-03-13T00:00:00"/>
    <n v="152185"/>
    <n v="517"/>
    <x v="1"/>
    <n v="0"/>
    <x v="0"/>
  </r>
  <r>
    <s v="CUST0441"/>
    <s v="ACC00432"/>
    <s v="Emily Sellers"/>
    <s v="Male"/>
    <n v="52"/>
    <x v="0"/>
    <x v="1"/>
    <s v="Trader"/>
    <d v="2023-02-07T00:00:00"/>
    <x v="1"/>
    <x v="171"/>
    <n v="96619"/>
    <s v="Medium"/>
    <x v="1"/>
    <x v="0"/>
    <d v="2022-08-16T00:00:00"/>
    <n v="466709"/>
    <n v="552"/>
    <x v="1"/>
    <n v="0"/>
    <x v="3"/>
  </r>
  <r>
    <s v="CUST0196"/>
    <s v="ACC00150"/>
    <s v="Victoria Montoya"/>
    <s v="Female"/>
    <n v="50"/>
    <x v="0"/>
    <x v="2"/>
    <s v="Banker"/>
    <d v="2019-05-27T00:00:00"/>
    <x v="2"/>
    <x v="172"/>
    <n v="43411"/>
    <s v="Low"/>
    <x v="0"/>
    <x v="0"/>
    <d v="2021-04-13T00:00:00"/>
    <n v="483442"/>
    <n v="598"/>
    <x v="2"/>
    <n v="0"/>
    <x v="0"/>
  </r>
  <r>
    <s v="CUST0196"/>
    <s v="ACC00197"/>
    <s v="Victoria Montoya"/>
    <s v="Female"/>
    <n v="50"/>
    <x v="0"/>
    <x v="2"/>
    <s v="Banker"/>
    <d v="2019-05-27T00:00:00"/>
    <x v="2"/>
    <x v="172"/>
    <n v="43411"/>
    <s v="Low"/>
    <x v="0"/>
    <x v="2"/>
    <d v="2019-02-17T00:00:00"/>
    <n v="70463"/>
    <n v="733"/>
    <x v="0"/>
    <n v="0"/>
    <x v="0"/>
  </r>
  <r>
    <s v="CUST0196"/>
    <s v="ACC00380"/>
    <s v="Victoria Montoya"/>
    <s v="Female"/>
    <n v="50"/>
    <x v="0"/>
    <x v="2"/>
    <s v="Banker"/>
    <d v="2019-05-27T00:00:00"/>
    <x v="2"/>
    <x v="172"/>
    <n v="43411"/>
    <s v="Low"/>
    <x v="0"/>
    <x v="0"/>
    <d v="2020-09-06T00:00:00"/>
    <n v="294965"/>
    <n v="474"/>
    <x v="1"/>
    <n v="0"/>
    <x v="0"/>
  </r>
  <r>
    <s v="CUST0150"/>
    <s v="ACC00436"/>
    <s v="Abigail Allen"/>
    <s v="Female"/>
    <n v="43"/>
    <x v="1"/>
    <x v="3"/>
    <s v="Trader"/>
    <d v="2020-07-03T00:00:00"/>
    <x v="4"/>
    <x v="173"/>
    <n v="21435"/>
    <s v="Low"/>
    <x v="1"/>
    <x v="1"/>
    <d v="2020-03-31T00:00:00"/>
    <n v="492750"/>
    <n v="389"/>
    <x v="1"/>
    <n v="0"/>
    <x v="0"/>
  </r>
  <r>
    <s v="CUST0178"/>
    <s v="ACC00151"/>
    <s v="Joseph Wiley"/>
    <s v="Male"/>
    <n v="19"/>
    <x v="2"/>
    <x v="3"/>
    <s v="Student"/>
    <d v="2024-12-16T00:00:00"/>
    <x v="7"/>
    <x v="174"/>
    <n v="195136"/>
    <s v="High"/>
    <x v="0"/>
    <x v="0"/>
    <d v="2020-04-10T00:00:00"/>
    <n v="306083"/>
    <n v="357"/>
    <x v="1"/>
    <n v="0"/>
    <x v="0"/>
  </r>
  <r>
    <s v="CUST0178"/>
    <s v="ACC00195"/>
    <s v="Joseph Wiley"/>
    <s v="Male"/>
    <n v="19"/>
    <x v="2"/>
    <x v="3"/>
    <s v="Student"/>
    <d v="2024-12-16T00:00:00"/>
    <x v="7"/>
    <x v="174"/>
    <n v="195136"/>
    <s v="High"/>
    <x v="0"/>
    <x v="1"/>
    <d v="2022-06-27T00:00:00"/>
    <n v="202160"/>
    <n v="461"/>
    <x v="1"/>
    <n v="0"/>
    <x v="0"/>
  </r>
  <r>
    <s v="CUST0178"/>
    <s v="ACC00297"/>
    <s v="Joseph Wiley"/>
    <s v="Male"/>
    <n v="19"/>
    <x v="2"/>
    <x v="3"/>
    <s v="Student"/>
    <d v="2024-12-16T00:00:00"/>
    <x v="7"/>
    <x v="174"/>
    <n v="195136"/>
    <s v="High"/>
    <x v="0"/>
    <x v="0"/>
    <d v="2019-09-22T00:00:00"/>
    <n v="245762"/>
    <n v="718"/>
    <x v="0"/>
    <n v="291100"/>
    <x v="0"/>
  </r>
  <r>
    <s v="CUST0417"/>
    <s v="ACC00152"/>
    <s v="Logan Fleming"/>
    <s v="Male"/>
    <n v="25"/>
    <x v="2"/>
    <x v="1"/>
    <s v="Teacher"/>
    <d v="2024-10-30T00:00:00"/>
    <x v="7"/>
    <x v="175"/>
    <n v="186205"/>
    <s v="High"/>
    <x v="2"/>
    <x v="0"/>
    <d v="2021-03-02T00:00:00"/>
    <n v="29345"/>
    <n v="568"/>
    <x v="1"/>
    <n v="213886"/>
    <x v="0"/>
  </r>
  <r>
    <s v="CUST0417"/>
    <s v="ACC00337"/>
    <s v="Logan Fleming"/>
    <s v="Male"/>
    <n v="25"/>
    <x v="2"/>
    <x v="1"/>
    <s v="Teacher"/>
    <d v="2024-10-30T00:00:00"/>
    <x v="7"/>
    <x v="175"/>
    <n v="186205"/>
    <s v="High"/>
    <x v="2"/>
    <x v="2"/>
    <d v="2022-10-27T00:00:00"/>
    <n v="331119"/>
    <n v="722"/>
    <x v="0"/>
    <n v="0"/>
    <x v="0"/>
  </r>
  <r>
    <s v="CUST0417"/>
    <s v="ACC00421"/>
    <s v="Logan Fleming"/>
    <s v="Male"/>
    <n v="25"/>
    <x v="2"/>
    <x v="1"/>
    <s v="Teacher"/>
    <d v="2024-10-30T00:00:00"/>
    <x v="7"/>
    <x v="175"/>
    <n v="186205"/>
    <s v="High"/>
    <x v="2"/>
    <x v="3"/>
    <d v="2024-08-26T00:00:00"/>
    <n v="162781"/>
    <n v="597"/>
    <x v="2"/>
    <n v="0"/>
    <x v="0"/>
  </r>
  <r>
    <s v="CUST0154"/>
    <s v="ACC00169"/>
    <s v="Kristen Ross"/>
    <s v="Male"/>
    <n v="53"/>
    <x v="0"/>
    <x v="1"/>
    <s v="Trader"/>
    <d v="2015-10-03T00:00:00"/>
    <x v="10"/>
    <x v="176"/>
    <n v="164579"/>
    <s v="High"/>
    <x v="2"/>
    <x v="3"/>
    <d v="2020-06-01T00:00:00"/>
    <n v="384583"/>
    <n v="436"/>
    <x v="1"/>
    <n v="0"/>
    <x v="0"/>
  </r>
  <r>
    <s v="CUST0154"/>
    <s v="ACC00256"/>
    <s v="Kristen Ross"/>
    <s v="Male"/>
    <n v="53"/>
    <x v="0"/>
    <x v="1"/>
    <s v="Trader"/>
    <d v="2015-10-03T00:00:00"/>
    <x v="10"/>
    <x v="176"/>
    <n v="164579"/>
    <s v="High"/>
    <x v="2"/>
    <x v="1"/>
    <d v="2021-03-29T00:00:00"/>
    <n v="487852"/>
    <n v="789"/>
    <x v="3"/>
    <n v="0"/>
    <x v="0"/>
  </r>
  <r>
    <s v="CUST0154"/>
    <s v="ACC00384"/>
    <s v="Kristen Ross"/>
    <s v="Male"/>
    <n v="53"/>
    <x v="0"/>
    <x v="1"/>
    <s v="Trader"/>
    <d v="2015-10-03T00:00:00"/>
    <x v="10"/>
    <x v="176"/>
    <n v="164579"/>
    <s v="High"/>
    <x v="2"/>
    <x v="0"/>
    <d v="2018-07-02T00:00:00"/>
    <n v="455738"/>
    <n v="329"/>
    <x v="1"/>
    <n v="0"/>
    <x v="0"/>
  </r>
  <r>
    <s v="CUST0156"/>
    <s v="ACC00417"/>
    <s v="Sara Morris"/>
    <s v="Female"/>
    <n v="47"/>
    <x v="0"/>
    <x v="3"/>
    <s v="Retired"/>
    <d v="2022-10-16T00:00:00"/>
    <x v="5"/>
    <x v="177"/>
    <n v="196611"/>
    <s v="High"/>
    <x v="1"/>
    <x v="1"/>
    <d v="2020-09-17T00:00:00"/>
    <n v="274370"/>
    <n v="790"/>
    <x v="3"/>
    <n v="0"/>
    <x v="0"/>
  </r>
  <r>
    <s v="CUST0156"/>
    <s v="ACC00454"/>
    <s v="Sara Morris"/>
    <s v="Female"/>
    <n v="47"/>
    <x v="0"/>
    <x v="3"/>
    <s v="Retired"/>
    <d v="2022-10-16T00:00:00"/>
    <x v="5"/>
    <x v="177"/>
    <n v="196611"/>
    <s v="High"/>
    <x v="1"/>
    <x v="0"/>
    <d v="2015-11-06T00:00:00"/>
    <n v="379413"/>
    <n v="610"/>
    <x v="2"/>
    <n v="0"/>
    <x v="0"/>
  </r>
  <r>
    <s v="CUST0466"/>
    <s v="ACC00158"/>
    <s v="Tammy Taylor"/>
    <s v="Male"/>
    <n v="43"/>
    <x v="1"/>
    <x v="0"/>
    <s v="Teacher"/>
    <d v="2022-07-03T00:00:00"/>
    <x v="5"/>
    <x v="178"/>
    <n v="111155"/>
    <s v="Medium"/>
    <x v="1"/>
    <x v="1"/>
    <d v="2020-01-28T00:00:00"/>
    <n v="261798"/>
    <n v="793"/>
    <x v="3"/>
    <n v="0"/>
    <x v="3"/>
  </r>
  <r>
    <s v="CUST0158"/>
    <s v="ACC00365"/>
    <s v="Michael Ward"/>
    <s v="Female"/>
    <n v="40"/>
    <x v="1"/>
    <x v="1"/>
    <s v="Engineer"/>
    <d v="2025-04-27T00:00:00"/>
    <x v="8"/>
    <x v="179"/>
    <n v="158563"/>
    <s v="High"/>
    <x v="1"/>
    <x v="0"/>
    <d v="2025-06-23T00:00:00"/>
    <n v="247572"/>
    <n v="833"/>
    <x v="4"/>
    <n v="0"/>
    <x v="0"/>
  </r>
  <r>
    <s v="CUST0160"/>
    <s v="ACC00159"/>
    <s v="Rachel Rivera PhD"/>
    <s v="Female"/>
    <n v="71"/>
    <x v="3"/>
    <x v="1"/>
    <s v="Retired"/>
    <d v="2015-11-06T00:00:00"/>
    <x v="10"/>
    <x v="180"/>
    <n v="83888"/>
    <s v="Medium"/>
    <x v="1"/>
    <x v="0"/>
    <d v="2020-05-05T00:00:00"/>
    <n v="493814"/>
    <n v="382"/>
    <x v="1"/>
    <n v="192646"/>
    <x v="0"/>
  </r>
  <r>
    <s v="CUST0248"/>
    <s v="ACC00160"/>
    <s v="Andre Bridges"/>
    <s v="Male"/>
    <n v="40"/>
    <x v="1"/>
    <x v="1"/>
    <s v="Doctor"/>
    <d v="2023-09-10T00:00:00"/>
    <x v="1"/>
    <x v="181"/>
    <n v="99083"/>
    <s v="Medium"/>
    <x v="0"/>
    <x v="1"/>
    <d v="2023-10-19T00:00:00"/>
    <n v="331310"/>
    <n v="485"/>
    <x v="1"/>
    <n v="0"/>
    <x v="0"/>
  </r>
  <r>
    <s v="CUST0248"/>
    <s v="ACC00282"/>
    <s v="Andre Bridges"/>
    <s v="Male"/>
    <n v="40"/>
    <x v="1"/>
    <x v="1"/>
    <s v="Doctor"/>
    <d v="2023-09-10T00:00:00"/>
    <x v="1"/>
    <x v="181"/>
    <n v="99083"/>
    <s v="Medium"/>
    <x v="0"/>
    <x v="2"/>
    <d v="2018-12-15T00:00:00"/>
    <n v="76848"/>
    <n v="325"/>
    <x v="1"/>
    <n v="0"/>
    <x v="0"/>
  </r>
  <r>
    <s v="CUST0248"/>
    <s v="ACC00418"/>
    <s v="Andre Bridges"/>
    <s v="Male"/>
    <n v="40"/>
    <x v="1"/>
    <x v="1"/>
    <s v="Doctor"/>
    <d v="2023-09-10T00:00:00"/>
    <x v="1"/>
    <x v="181"/>
    <n v="99083"/>
    <s v="Medium"/>
    <x v="0"/>
    <x v="2"/>
    <d v="2024-10-08T00:00:00"/>
    <n v="93405"/>
    <n v="730"/>
    <x v="0"/>
    <n v="0"/>
    <x v="0"/>
  </r>
  <r>
    <s v="CUST0248"/>
    <s v="ACC00453"/>
    <s v="Andre Bridges"/>
    <s v="Male"/>
    <n v="40"/>
    <x v="1"/>
    <x v="1"/>
    <s v="Doctor"/>
    <d v="2023-09-10T00:00:00"/>
    <x v="1"/>
    <x v="181"/>
    <n v="99083"/>
    <s v="Medium"/>
    <x v="0"/>
    <x v="1"/>
    <d v="2018-04-23T00:00:00"/>
    <n v="236094"/>
    <n v="326"/>
    <x v="1"/>
    <n v="98448"/>
    <x v="0"/>
  </r>
  <r>
    <s v="CUST0203"/>
    <s v="ACC00161"/>
    <s v="Dr. Caitlyn Durham"/>
    <s v="Male"/>
    <n v="29"/>
    <x v="1"/>
    <x v="2"/>
    <s v="Engineer"/>
    <d v="2024-08-21T00:00:00"/>
    <x v="7"/>
    <x v="182"/>
    <n v="117883"/>
    <s v="Medium"/>
    <x v="1"/>
    <x v="1"/>
    <d v="2017-03-28T00:00:00"/>
    <n v="178933"/>
    <n v="551"/>
    <x v="1"/>
    <n v="0"/>
    <x v="0"/>
  </r>
  <r>
    <s v="CUST0162"/>
    <s v="ACC00367"/>
    <s v="Lauren Lutz"/>
    <s v="Male"/>
    <n v="53"/>
    <x v="0"/>
    <x v="1"/>
    <s v="Retired"/>
    <d v="2015-09-01T00:00:00"/>
    <x v="10"/>
    <x v="183"/>
    <n v="29077"/>
    <s v="Low"/>
    <x v="0"/>
    <x v="0"/>
    <d v="2021-08-31T00:00:00"/>
    <n v="45913"/>
    <n v="449"/>
    <x v="1"/>
    <n v="185775"/>
    <x v="0"/>
  </r>
  <r>
    <s v="CUST0472"/>
    <s v="ACC00163"/>
    <s v="Anna Mitchell"/>
    <s v="Female"/>
    <n v="50"/>
    <x v="0"/>
    <x v="1"/>
    <s v="Banker"/>
    <d v="2018-09-26T00:00:00"/>
    <x v="6"/>
    <x v="184"/>
    <n v="179476"/>
    <s v="High"/>
    <x v="1"/>
    <x v="1"/>
    <d v="2024-08-19T00:00:00"/>
    <n v="311442"/>
    <n v="509"/>
    <x v="1"/>
    <n v="0"/>
    <x v="0"/>
  </r>
  <r>
    <s v="CUST0472"/>
    <s v="ACC00184"/>
    <s v="Anna Mitchell"/>
    <s v="Female"/>
    <n v="50"/>
    <x v="0"/>
    <x v="1"/>
    <s v="Banker"/>
    <d v="2018-09-26T00:00:00"/>
    <x v="6"/>
    <x v="184"/>
    <n v="179476"/>
    <s v="High"/>
    <x v="1"/>
    <x v="1"/>
    <d v="2017-11-08T00:00:00"/>
    <n v="161121"/>
    <n v="451"/>
    <x v="1"/>
    <n v="0"/>
    <x v="0"/>
  </r>
  <r>
    <s v="CUST0164"/>
    <s v="ACC00309"/>
    <s v="Hannah Brown"/>
    <s v="Female"/>
    <n v="69"/>
    <x v="3"/>
    <x v="2"/>
    <s v="Retired"/>
    <d v="2021-03-02T00:00:00"/>
    <x v="3"/>
    <x v="185"/>
    <n v="134682"/>
    <s v="Medium"/>
    <x v="1"/>
    <x v="2"/>
    <d v="2022-07-24T00:00:00"/>
    <n v="133962"/>
    <n v="364"/>
    <x v="1"/>
    <n v="0"/>
    <x v="0"/>
  </r>
  <r>
    <s v="CUST0165"/>
    <s v="ACC00175"/>
    <s v="Jeffrey Golden"/>
    <s v="Female"/>
    <n v="48"/>
    <x v="0"/>
    <x v="2"/>
    <s v="Banker"/>
    <d v="2023-09-03T00:00:00"/>
    <x v="1"/>
    <x v="186"/>
    <n v="87889"/>
    <s v="Medium"/>
    <x v="1"/>
    <x v="2"/>
    <d v="2019-11-26T00:00:00"/>
    <n v="478141"/>
    <n v="836"/>
    <x v="4"/>
    <n v="0"/>
    <x v="3"/>
  </r>
  <r>
    <s v="CUST0199"/>
    <s v="ACC00166"/>
    <s v="Gerald Robinson"/>
    <s v="Male"/>
    <n v="60"/>
    <x v="0"/>
    <x v="2"/>
    <s v="Banker"/>
    <d v="2018-01-18T00:00:00"/>
    <x v="6"/>
    <x v="187"/>
    <n v="154165"/>
    <s v="High"/>
    <x v="1"/>
    <x v="1"/>
    <d v="2019-09-18T00:00:00"/>
    <n v="3453"/>
    <n v="771"/>
    <x v="3"/>
    <n v="176635"/>
    <x v="2"/>
  </r>
  <r>
    <s v="CUST0167"/>
    <s v="ACC00236"/>
    <s v="Paula Brown"/>
    <s v="Female"/>
    <n v="36"/>
    <x v="1"/>
    <x v="0"/>
    <s v="Engineer"/>
    <d v="2024-07-19T00:00:00"/>
    <x v="7"/>
    <x v="188"/>
    <n v="188639"/>
    <s v="High"/>
    <x v="1"/>
    <x v="2"/>
    <d v="2024-06-10T00:00:00"/>
    <n v="51831"/>
    <n v="355"/>
    <x v="1"/>
    <n v="126648"/>
    <x v="0"/>
  </r>
  <r>
    <s v="CUST0167"/>
    <s v="ACC00292"/>
    <s v="Paula Brown"/>
    <s v="Female"/>
    <n v="36"/>
    <x v="1"/>
    <x v="0"/>
    <s v="Engineer"/>
    <d v="2024-07-19T00:00:00"/>
    <x v="7"/>
    <x v="188"/>
    <n v="188639"/>
    <s v="High"/>
    <x v="1"/>
    <x v="1"/>
    <d v="2019-02-06T00:00:00"/>
    <n v="176348"/>
    <n v="312"/>
    <x v="1"/>
    <n v="0"/>
    <x v="0"/>
  </r>
  <r>
    <s v="CUST0168"/>
    <s v="ACC00274"/>
    <s v="Whitney Hampton"/>
    <s v="Male"/>
    <n v="49"/>
    <x v="0"/>
    <x v="3"/>
    <s v="Retired"/>
    <d v="2019-11-17T00:00:00"/>
    <x v="2"/>
    <x v="189"/>
    <n v="135374"/>
    <s v="Medium"/>
    <x v="1"/>
    <x v="0"/>
    <d v="2017-08-04T00:00:00"/>
    <n v="355054"/>
    <n v="808"/>
    <x v="4"/>
    <n v="0"/>
    <x v="0"/>
  </r>
  <r>
    <s v="CUST0169"/>
    <s v="ACC00211"/>
    <s v="Timothy Lyons"/>
    <s v="Male"/>
    <n v="18"/>
    <x v="2"/>
    <x v="3"/>
    <s v="Banker"/>
    <d v="2025-02-26T00:00:00"/>
    <x v="8"/>
    <x v="190"/>
    <n v="44860"/>
    <s v="Low"/>
    <x v="1"/>
    <x v="2"/>
    <d v="2025-05-05T00:00:00"/>
    <n v="398342"/>
    <n v="780"/>
    <x v="3"/>
    <n v="0"/>
    <x v="3"/>
  </r>
  <r>
    <s v="CUST0492"/>
    <s v="ACC00170"/>
    <s v="Michelle Allen"/>
    <s v="Male"/>
    <n v="54"/>
    <x v="0"/>
    <x v="3"/>
    <s v="Engineer"/>
    <d v="2022-10-25T00:00:00"/>
    <x v="5"/>
    <x v="191"/>
    <n v="29110"/>
    <s v="Low"/>
    <x v="1"/>
    <x v="1"/>
    <d v="2022-12-12T00:00:00"/>
    <n v="174442"/>
    <n v="666"/>
    <x v="2"/>
    <n v="397704"/>
    <x v="0"/>
  </r>
  <r>
    <s v="CUST0376"/>
    <s v="ACC00171"/>
    <s v="Angela Jackson"/>
    <s v="Female"/>
    <n v="62"/>
    <x v="3"/>
    <x v="1"/>
    <s v="Retired"/>
    <d v="2015-10-07T00:00:00"/>
    <x v="10"/>
    <x v="192"/>
    <n v="121757"/>
    <s v="Medium"/>
    <x v="1"/>
    <x v="2"/>
    <d v="2021-01-05T00:00:00"/>
    <n v="497148"/>
    <n v="483"/>
    <x v="1"/>
    <n v="0"/>
    <x v="2"/>
  </r>
  <r>
    <s v="CUST0376"/>
    <s v="ACC00263"/>
    <s v="Angela Jackson"/>
    <s v="Female"/>
    <n v="62"/>
    <x v="3"/>
    <x v="1"/>
    <s v="Retired"/>
    <d v="2015-10-07T00:00:00"/>
    <x v="10"/>
    <x v="192"/>
    <n v="121757"/>
    <s v="Medium"/>
    <x v="1"/>
    <x v="1"/>
    <d v="2025-07-02T00:00:00"/>
    <n v="297016"/>
    <n v="307"/>
    <x v="1"/>
    <n v="0"/>
    <x v="2"/>
  </r>
  <r>
    <s v="CUST0384"/>
    <s v="ACC00172"/>
    <s v="Erik Baldwin"/>
    <s v="Male"/>
    <n v="28"/>
    <x v="2"/>
    <x v="1"/>
    <s v="Banker"/>
    <d v="2021-08-02T00:00:00"/>
    <x v="3"/>
    <x v="193"/>
    <n v="92099"/>
    <s v="Medium"/>
    <x v="1"/>
    <x v="0"/>
    <d v="2018-05-15T00:00:00"/>
    <n v="270472"/>
    <n v="586"/>
    <x v="2"/>
    <n v="204519"/>
    <x v="3"/>
  </r>
  <r>
    <s v="CUST0384"/>
    <s v="ACC00190"/>
    <s v="Erik Baldwin"/>
    <s v="Male"/>
    <n v="28"/>
    <x v="2"/>
    <x v="1"/>
    <s v="Banker"/>
    <d v="2021-08-02T00:00:00"/>
    <x v="3"/>
    <x v="193"/>
    <n v="92099"/>
    <s v="Medium"/>
    <x v="1"/>
    <x v="3"/>
    <d v="2018-11-28T00:00:00"/>
    <n v="200796"/>
    <n v="570"/>
    <x v="1"/>
    <n v="0"/>
    <x v="0"/>
  </r>
  <r>
    <s v="CUST0384"/>
    <s v="ACC00435"/>
    <s v="Erik Baldwin"/>
    <s v="Male"/>
    <n v="28"/>
    <x v="2"/>
    <x v="1"/>
    <s v="Banker"/>
    <d v="2021-08-02T00:00:00"/>
    <x v="3"/>
    <x v="193"/>
    <n v="92099"/>
    <s v="Medium"/>
    <x v="1"/>
    <x v="0"/>
    <d v="2025-07-28T00:00:00"/>
    <n v="245172"/>
    <n v="819"/>
    <x v="4"/>
    <n v="0"/>
    <x v="0"/>
  </r>
  <r>
    <s v="CUST0176"/>
    <s v="ACC00344"/>
    <s v="Barbara Fisher"/>
    <s v="Female"/>
    <n v="33"/>
    <x v="1"/>
    <x v="1"/>
    <s v="Doctor"/>
    <d v="2015-10-15T00:00:00"/>
    <x v="10"/>
    <x v="194"/>
    <n v="77372"/>
    <s v="Medium"/>
    <x v="1"/>
    <x v="2"/>
    <d v="2021-12-21T00:00:00"/>
    <n v="282320"/>
    <n v="303"/>
    <x v="1"/>
    <n v="0"/>
    <x v="0"/>
  </r>
  <r>
    <s v="CUST0176"/>
    <s v="ACC00434"/>
    <s v="Barbara Fisher"/>
    <s v="Female"/>
    <n v="33"/>
    <x v="1"/>
    <x v="1"/>
    <s v="Doctor"/>
    <d v="2015-10-15T00:00:00"/>
    <x v="10"/>
    <x v="194"/>
    <n v="77372"/>
    <s v="Medium"/>
    <x v="1"/>
    <x v="3"/>
    <d v="2025-01-22T00:00:00"/>
    <n v="445414"/>
    <n v="675"/>
    <x v="0"/>
    <n v="0"/>
    <x v="0"/>
  </r>
  <r>
    <s v="CUST0177"/>
    <s v="ACC00214"/>
    <s v="Chad Walsh"/>
    <s v="Male"/>
    <n v="72"/>
    <x v="3"/>
    <x v="3"/>
    <s v="Student"/>
    <d v="2024-09-03T00:00:00"/>
    <x v="7"/>
    <x v="195"/>
    <n v="143786"/>
    <s v="High"/>
    <x v="1"/>
    <x v="1"/>
    <d v="2018-11-27T00:00:00"/>
    <n v="111718"/>
    <n v="549"/>
    <x v="1"/>
    <n v="429315"/>
    <x v="0"/>
  </r>
  <r>
    <s v="CUST0180"/>
    <s v="ACC00424"/>
    <s v="Krista Williams"/>
    <s v="Male"/>
    <n v="45"/>
    <x v="0"/>
    <x v="0"/>
    <s v="Trader"/>
    <d v="2025-02-16T00:00:00"/>
    <x v="8"/>
    <x v="196"/>
    <n v="51598"/>
    <s v="Low"/>
    <x v="0"/>
    <x v="2"/>
    <d v="2025-03-04T00:00:00"/>
    <n v="37019"/>
    <n v="773"/>
    <x v="3"/>
    <n v="0"/>
    <x v="3"/>
  </r>
  <r>
    <s v="CUST0218"/>
    <s v="ACC00182"/>
    <s v="Samantha Castro"/>
    <s v="Male"/>
    <n v="51"/>
    <x v="0"/>
    <x v="2"/>
    <s v="Student"/>
    <d v="2016-08-04T00:00:00"/>
    <x v="9"/>
    <x v="197"/>
    <n v="46431"/>
    <s v="Low"/>
    <x v="2"/>
    <x v="3"/>
    <d v="2015-11-10T00:00:00"/>
    <n v="231324"/>
    <n v="309"/>
    <x v="1"/>
    <n v="381565"/>
    <x v="0"/>
  </r>
  <r>
    <s v="CUST0218"/>
    <s v="ACC00419"/>
    <s v="Samantha Castro"/>
    <s v="Male"/>
    <n v="51"/>
    <x v="0"/>
    <x v="2"/>
    <s v="Student"/>
    <d v="2016-08-04T00:00:00"/>
    <x v="9"/>
    <x v="197"/>
    <n v="46431"/>
    <s v="Low"/>
    <x v="2"/>
    <x v="1"/>
    <d v="2024-12-19T00:00:00"/>
    <n v="284732"/>
    <n v="538"/>
    <x v="1"/>
    <n v="207278"/>
    <x v="0"/>
  </r>
  <r>
    <s v="CUST0371"/>
    <s v="ACC00187"/>
    <s v="Kaitlyn Johnson"/>
    <s v="Female"/>
    <n v="50"/>
    <x v="0"/>
    <x v="0"/>
    <s v="Engineer"/>
    <d v="2017-11-08T00:00:00"/>
    <x v="0"/>
    <x v="198"/>
    <n v="79321"/>
    <s v="Medium"/>
    <x v="1"/>
    <x v="0"/>
    <d v="2021-05-31T00:00:00"/>
    <n v="187125"/>
    <n v="582"/>
    <x v="2"/>
    <n v="0"/>
    <x v="0"/>
  </r>
  <r>
    <s v="CUST0345"/>
    <s v="ACC00188"/>
    <s v="Alicia Day"/>
    <s v="Male"/>
    <n v="61"/>
    <x v="3"/>
    <x v="2"/>
    <s v="Engineer"/>
    <d v="2019-08-27T00:00:00"/>
    <x v="2"/>
    <x v="199"/>
    <n v="103186"/>
    <s v="Medium"/>
    <x v="1"/>
    <x v="1"/>
    <d v="2023-10-01T00:00:00"/>
    <n v="395136"/>
    <n v="763"/>
    <x v="3"/>
    <n v="0"/>
    <x v="0"/>
  </r>
  <r>
    <s v="CUST0341"/>
    <s v="ACC00189"/>
    <s v="Paul Payne"/>
    <s v="Male"/>
    <n v="53"/>
    <x v="0"/>
    <x v="1"/>
    <s v="Teacher"/>
    <d v="2017-10-01T00:00:00"/>
    <x v="0"/>
    <x v="200"/>
    <n v="161398"/>
    <s v="High"/>
    <x v="1"/>
    <x v="1"/>
    <d v="2020-11-20T00:00:00"/>
    <n v="306081"/>
    <n v="412"/>
    <x v="1"/>
    <n v="0"/>
    <x v="0"/>
  </r>
  <r>
    <s v="CUST0341"/>
    <s v="ACC00223"/>
    <s v="Paul Payne"/>
    <s v="Male"/>
    <n v="53"/>
    <x v="0"/>
    <x v="1"/>
    <s v="Teacher"/>
    <d v="2017-10-01T00:00:00"/>
    <x v="0"/>
    <x v="200"/>
    <n v="161398"/>
    <s v="High"/>
    <x v="1"/>
    <x v="1"/>
    <d v="2017-06-05T00:00:00"/>
    <n v="50940"/>
    <n v="829"/>
    <x v="4"/>
    <n v="0"/>
    <x v="0"/>
  </r>
  <r>
    <s v="CUST0189"/>
    <s v="ACC00388"/>
    <s v="Ryan Doyle"/>
    <s v="Male"/>
    <n v="50"/>
    <x v="0"/>
    <x v="0"/>
    <s v="Retired"/>
    <d v="2024-08-31T00:00:00"/>
    <x v="7"/>
    <x v="201"/>
    <n v="165360"/>
    <s v="High"/>
    <x v="1"/>
    <x v="0"/>
    <d v="2019-01-21T00:00:00"/>
    <n v="295866"/>
    <n v="667"/>
    <x v="2"/>
    <n v="0"/>
    <x v="0"/>
  </r>
  <r>
    <s v="CUST0190"/>
    <s v="ACC00420"/>
    <s v="Cesar Silva"/>
    <s v="Female"/>
    <n v="68"/>
    <x v="3"/>
    <x v="1"/>
    <s v="Teacher"/>
    <d v="2017-09-30T00:00:00"/>
    <x v="0"/>
    <x v="202"/>
    <n v="109186"/>
    <s v="Medium"/>
    <x v="1"/>
    <x v="3"/>
    <d v="2015-10-20T00:00:00"/>
    <n v="210048"/>
    <n v="603"/>
    <x v="2"/>
    <n v="0"/>
    <x v="0"/>
  </r>
  <r>
    <s v="CUST0396"/>
    <s v="ACC00191"/>
    <s v="Daniel Bradley"/>
    <s v="Female"/>
    <n v="32"/>
    <x v="1"/>
    <x v="0"/>
    <s v="Teacher"/>
    <d v="2022-06-02T00:00:00"/>
    <x v="5"/>
    <x v="15"/>
    <n v="37778"/>
    <s v="Low"/>
    <x v="0"/>
    <x v="2"/>
    <d v="2018-06-15T00:00:00"/>
    <n v="143279"/>
    <n v="462"/>
    <x v="1"/>
    <n v="210232"/>
    <x v="0"/>
  </r>
  <r>
    <s v="CUST0191"/>
    <s v="ACC00466"/>
    <s v="Nicholas Miller"/>
    <s v="Male"/>
    <n v="60"/>
    <x v="0"/>
    <x v="3"/>
    <s v="Retired"/>
    <d v="2019-11-11T00:00:00"/>
    <x v="2"/>
    <x v="203"/>
    <n v="157612"/>
    <s v="High"/>
    <x v="1"/>
    <x v="2"/>
    <d v="2015-09-28T00:00:00"/>
    <n v="347823"/>
    <n v="833"/>
    <x v="4"/>
    <n v="0"/>
    <x v="0"/>
  </r>
  <r>
    <s v="CUST0191"/>
    <s v="ACC00474"/>
    <s v="Nicholas Miller"/>
    <s v="Male"/>
    <n v="60"/>
    <x v="0"/>
    <x v="3"/>
    <s v="Retired"/>
    <d v="2019-11-11T00:00:00"/>
    <x v="2"/>
    <x v="203"/>
    <n v="157612"/>
    <s v="High"/>
    <x v="1"/>
    <x v="1"/>
    <d v="2021-02-19T00:00:00"/>
    <n v="98046"/>
    <n v="308"/>
    <x v="1"/>
    <n v="236226"/>
    <x v="0"/>
  </r>
  <r>
    <s v="CUST0445"/>
    <s v="ACC00192"/>
    <s v="Eric Goodwin"/>
    <s v="Female"/>
    <n v="22"/>
    <x v="2"/>
    <x v="1"/>
    <s v="Trader"/>
    <d v="2022-04-15T00:00:00"/>
    <x v="5"/>
    <x v="204"/>
    <n v="157348"/>
    <s v="High"/>
    <x v="0"/>
    <x v="2"/>
    <d v="2021-04-06T00:00:00"/>
    <n v="196846"/>
    <n v="759"/>
    <x v="3"/>
    <n v="0"/>
    <x v="3"/>
  </r>
  <r>
    <s v="CUST0425"/>
    <s v="ACC00193"/>
    <s v="Gregory Scott"/>
    <s v="Female"/>
    <n v="54"/>
    <x v="0"/>
    <x v="2"/>
    <s v="Teacher"/>
    <d v="2017-07-01T00:00:00"/>
    <x v="0"/>
    <x v="12"/>
    <n v="145818"/>
    <s v="High"/>
    <x v="1"/>
    <x v="2"/>
    <d v="2016-02-17T00:00:00"/>
    <n v="164044"/>
    <n v="404"/>
    <x v="1"/>
    <n v="0"/>
    <x v="0"/>
  </r>
  <r>
    <s v="CUST0197"/>
    <s v="ACC00300"/>
    <s v="Evelyn Mendoza"/>
    <s v="Female"/>
    <n v="57"/>
    <x v="0"/>
    <x v="0"/>
    <s v="Doctor"/>
    <d v="2016-02-02T00:00:00"/>
    <x v="9"/>
    <x v="205"/>
    <n v="98797"/>
    <s v="Medium"/>
    <x v="2"/>
    <x v="0"/>
    <d v="2020-05-04T00:00:00"/>
    <n v="415551"/>
    <n v="421"/>
    <x v="1"/>
    <n v="0"/>
    <x v="0"/>
  </r>
  <r>
    <s v="CUST0383"/>
    <s v="ACC00198"/>
    <s v="Aaron Hernandez"/>
    <s v="Female"/>
    <n v="38"/>
    <x v="1"/>
    <x v="1"/>
    <s v="Retired"/>
    <d v="2022-12-01T00:00:00"/>
    <x v="5"/>
    <x v="206"/>
    <n v="24703"/>
    <s v="Low"/>
    <x v="1"/>
    <x v="1"/>
    <d v="2022-03-02T00:00:00"/>
    <n v="93500"/>
    <n v="439"/>
    <x v="1"/>
    <n v="0"/>
    <x v="0"/>
  </r>
  <r>
    <s v="CUST0383"/>
    <s v="ACC00257"/>
    <s v="Aaron Hernandez"/>
    <s v="Female"/>
    <n v="38"/>
    <x v="1"/>
    <x v="1"/>
    <s v="Retired"/>
    <d v="2022-12-01T00:00:00"/>
    <x v="5"/>
    <x v="206"/>
    <n v="24703"/>
    <s v="Low"/>
    <x v="1"/>
    <x v="2"/>
    <d v="2017-09-26T00:00:00"/>
    <n v="392974"/>
    <n v="725"/>
    <x v="0"/>
    <n v="282648"/>
    <x v="0"/>
  </r>
  <r>
    <s v="CUST0490"/>
    <s v="ACC00199"/>
    <s v="Eric Wilson"/>
    <s v="Male"/>
    <n v="54"/>
    <x v="0"/>
    <x v="2"/>
    <s v="Engineer"/>
    <d v="2022-08-27T00:00:00"/>
    <x v="5"/>
    <x v="207"/>
    <n v="26570"/>
    <s v="Low"/>
    <x v="1"/>
    <x v="0"/>
    <d v="2019-10-16T00:00:00"/>
    <n v="207772"/>
    <n v="770"/>
    <x v="3"/>
    <n v="0"/>
    <x v="0"/>
  </r>
  <r>
    <s v="CUST0327"/>
    <s v="ACC00200"/>
    <s v="Raymond Smith"/>
    <s v="Male"/>
    <n v="54"/>
    <x v="0"/>
    <x v="0"/>
    <s v="Retired"/>
    <d v="2023-07-20T00:00:00"/>
    <x v="1"/>
    <x v="208"/>
    <n v="177702"/>
    <s v="High"/>
    <x v="1"/>
    <x v="1"/>
    <d v="2022-04-11T00:00:00"/>
    <n v="37158"/>
    <n v="431"/>
    <x v="1"/>
    <n v="382078"/>
    <x v="2"/>
  </r>
  <r>
    <s v="CUST0201"/>
    <s v="ACC00458"/>
    <s v="Gary Johnson"/>
    <s v="Male"/>
    <n v="46"/>
    <x v="0"/>
    <x v="0"/>
    <s v="Teacher"/>
    <d v="2017-08-24T00:00:00"/>
    <x v="0"/>
    <x v="209"/>
    <n v="72930"/>
    <s v="Low"/>
    <x v="2"/>
    <x v="1"/>
    <d v="2020-09-07T00:00:00"/>
    <n v="156255"/>
    <n v="523"/>
    <x v="1"/>
    <n v="0"/>
    <x v="0"/>
  </r>
  <r>
    <s v="CUST0289"/>
    <s v="ACC00202"/>
    <s v="Kelly Dennis"/>
    <s v="Male"/>
    <n v="38"/>
    <x v="1"/>
    <x v="3"/>
    <s v="Teacher"/>
    <d v="2021-03-10T00:00:00"/>
    <x v="3"/>
    <x v="210"/>
    <n v="142720"/>
    <s v="High"/>
    <x v="1"/>
    <x v="0"/>
    <d v="2021-05-06T00:00:00"/>
    <n v="381783"/>
    <n v="482"/>
    <x v="1"/>
    <n v="0"/>
    <x v="0"/>
  </r>
  <r>
    <s v="CUST0289"/>
    <s v="ACC00445"/>
    <s v="Kelly Dennis"/>
    <s v="Male"/>
    <n v="38"/>
    <x v="1"/>
    <x v="3"/>
    <s v="Teacher"/>
    <d v="2021-03-10T00:00:00"/>
    <x v="3"/>
    <x v="210"/>
    <n v="142720"/>
    <s v="High"/>
    <x v="1"/>
    <x v="0"/>
    <d v="2016-11-30T00:00:00"/>
    <n v="413540"/>
    <n v="494"/>
    <x v="1"/>
    <n v="0"/>
    <x v="0"/>
  </r>
  <r>
    <s v="CUST0354"/>
    <s v="ACC00207"/>
    <s v="Kathleen Richardson"/>
    <s v="Female"/>
    <n v="62"/>
    <x v="3"/>
    <x v="3"/>
    <s v="Doctor"/>
    <d v="2019-10-20T00:00:00"/>
    <x v="2"/>
    <x v="211"/>
    <n v="90326"/>
    <s v="Medium"/>
    <x v="0"/>
    <x v="1"/>
    <d v="2025-07-17T00:00:00"/>
    <n v="58692"/>
    <n v="448"/>
    <x v="1"/>
    <n v="204215"/>
    <x v="0"/>
  </r>
  <r>
    <s v="CUST0354"/>
    <s v="ACC00501"/>
    <s v="Kathleen Richardson"/>
    <s v="Female"/>
    <n v="62"/>
    <x v="3"/>
    <x v="3"/>
    <s v="Doctor"/>
    <d v="2019-10-20T00:00:00"/>
    <x v="2"/>
    <x v="211"/>
    <n v="90326"/>
    <s v="Medium"/>
    <x v="0"/>
    <x v="0"/>
    <d v="2024-07-09T00:00:00"/>
    <n v="23386"/>
    <n v="601"/>
    <x v="2"/>
    <n v="0"/>
    <x v="0"/>
  </r>
  <r>
    <s v="CUST0207"/>
    <s v="ACC00491"/>
    <s v="Christopher Wise"/>
    <s v="Female"/>
    <n v="68"/>
    <x v="3"/>
    <x v="3"/>
    <s v="Doctor"/>
    <d v="2018-11-27T00:00:00"/>
    <x v="6"/>
    <x v="212"/>
    <n v="179674"/>
    <s v="High"/>
    <x v="1"/>
    <x v="0"/>
    <d v="2021-07-15T00:00:00"/>
    <n v="75403"/>
    <n v="638"/>
    <x v="2"/>
    <n v="0"/>
    <x v="3"/>
  </r>
  <r>
    <s v="CUST0442"/>
    <s v="ACC00209"/>
    <s v="Keith Rodriguez"/>
    <s v="Female"/>
    <n v="23"/>
    <x v="2"/>
    <x v="3"/>
    <s v="Retired"/>
    <d v="2022-05-11T00:00:00"/>
    <x v="5"/>
    <x v="213"/>
    <n v="131453"/>
    <s v="Medium"/>
    <x v="1"/>
    <x v="0"/>
    <d v="2016-09-20T00:00:00"/>
    <n v="192816"/>
    <n v="768"/>
    <x v="3"/>
    <n v="371378"/>
    <x v="0"/>
  </r>
  <r>
    <s v="CUST0442"/>
    <s v="ACC00469"/>
    <s v="Keith Rodriguez"/>
    <s v="Female"/>
    <n v="23"/>
    <x v="2"/>
    <x v="3"/>
    <s v="Retired"/>
    <d v="2022-05-11T00:00:00"/>
    <x v="5"/>
    <x v="213"/>
    <n v="131453"/>
    <s v="Medium"/>
    <x v="1"/>
    <x v="2"/>
    <d v="2021-09-23T00:00:00"/>
    <n v="395319"/>
    <n v="415"/>
    <x v="1"/>
    <n v="0"/>
    <x v="0"/>
  </r>
  <r>
    <s v="CUST0210"/>
    <s v="ACC00320"/>
    <s v="Joanne Ray"/>
    <s v="Male"/>
    <n v="40"/>
    <x v="1"/>
    <x v="0"/>
    <s v="Teacher"/>
    <d v="2019-10-04T00:00:00"/>
    <x v="2"/>
    <x v="214"/>
    <n v="183268"/>
    <s v="High"/>
    <x v="0"/>
    <x v="2"/>
    <d v="2020-02-23T00:00:00"/>
    <n v="440880"/>
    <n v="583"/>
    <x v="2"/>
    <n v="0"/>
    <x v="0"/>
  </r>
  <r>
    <s v="CUST0210"/>
    <s v="ACC00492"/>
    <s v="Joanne Ray"/>
    <s v="Male"/>
    <n v="40"/>
    <x v="1"/>
    <x v="0"/>
    <s v="Teacher"/>
    <d v="2019-10-04T00:00:00"/>
    <x v="2"/>
    <x v="214"/>
    <n v="183268"/>
    <s v="High"/>
    <x v="0"/>
    <x v="1"/>
    <d v="2025-08-14T00:00:00"/>
    <n v="434474"/>
    <n v="480"/>
    <x v="1"/>
    <n v="0"/>
    <x v="0"/>
  </r>
  <r>
    <s v="CUST0423"/>
    <s v="ACC00212"/>
    <s v="Matthew Martinez"/>
    <s v="Female"/>
    <n v="45"/>
    <x v="0"/>
    <x v="3"/>
    <s v="Teacher"/>
    <d v="2021-11-13T00:00:00"/>
    <x v="3"/>
    <x v="47"/>
    <n v="65893"/>
    <s v="Low"/>
    <x v="0"/>
    <x v="1"/>
    <d v="2019-12-02T00:00:00"/>
    <n v="161081"/>
    <n v="593"/>
    <x v="2"/>
    <n v="0"/>
    <x v="0"/>
  </r>
  <r>
    <s v="CUST0423"/>
    <s v="ACC00456"/>
    <s v="Matthew Martinez"/>
    <s v="Female"/>
    <n v="45"/>
    <x v="0"/>
    <x v="3"/>
    <s v="Teacher"/>
    <d v="2021-11-13T00:00:00"/>
    <x v="3"/>
    <x v="47"/>
    <n v="65893"/>
    <s v="Low"/>
    <x v="0"/>
    <x v="3"/>
    <d v="2021-08-22T00:00:00"/>
    <n v="342908"/>
    <n v="580"/>
    <x v="2"/>
    <n v="0"/>
    <x v="0"/>
  </r>
  <r>
    <s v="CUST0212"/>
    <s v="ACC00446"/>
    <s v="Stephen Russell"/>
    <s v="Male"/>
    <n v="43"/>
    <x v="1"/>
    <x v="1"/>
    <s v="Retired"/>
    <d v="2019-01-12T00:00:00"/>
    <x v="2"/>
    <x v="215"/>
    <n v="25626"/>
    <s v="Low"/>
    <x v="0"/>
    <x v="3"/>
    <d v="2017-02-12T00:00:00"/>
    <n v="153939"/>
    <n v="527"/>
    <x v="1"/>
    <n v="229970"/>
    <x v="0"/>
  </r>
  <r>
    <s v="CUST0214"/>
    <s v="ACC00261"/>
    <s v="Sarah Wilson"/>
    <s v="Male"/>
    <n v="46"/>
    <x v="0"/>
    <x v="0"/>
    <s v="Trader"/>
    <d v="2022-08-26T00:00:00"/>
    <x v="5"/>
    <x v="216"/>
    <n v="32857"/>
    <s v="Low"/>
    <x v="1"/>
    <x v="0"/>
    <d v="2018-08-01T00:00:00"/>
    <n v="306093"/>
    <n v="321"/>
    <x v="1"/>
    <n v="0"/>
    <x v="0"/>
  </r>
  <r>
    <s v="CUST0214"/>
    <s v="ACC00267"/>
    <s v="Sarah Wilson"/>
    <s v="Male"/>
    <n v="46"/>
    <x v="0"/>
    <x v="0"/>
    <s v="Trader"/>
    <d v="2022-08-26T00:00:00"/>
    <x v="5"/>
    <x v="216"/>
    <n v="32857"/>
    <s v="Low"/>
    <x v="1"/>
    <x v="2"/>
    <d v="2023-07-14T00:00:00"/>
    <n v="444975"/>
    <n v="728"/>
    <x v="0"/>
    <n v="0"/>
    <x v="0"/>
  </r>
  <r>
    <s v="CUST0216"/>
    <s v="ACC00407"/>
    <s v="Abigail Gallegos"/>
    <s v="Male"/>
    <n v="27"/>
    <x v="2"/>
    <x v="0"/>
    <s v="Banker"/>
    <d v="2015-11-03T00:00:00"/>
    <x v="10"/>
    <x v="217"/>
    <n v="153052"/>
    <s v="High"/>
    <x v="1"/>
    <x v="2"/>
    <d v="2024-11-08T00:00:00"/>
    <n v="7485"/>
    <n v="557"/>
    <x v="1"/>
    <n v="0"/>
    <x v="0"/>
  </r>
  <r>
    <s v="CUST0454"/>
    <s v="ACC00217"/>
    <s v="Ashley Young"/>
    <s v="Female"/>
    <n v="22"/>
    <x v="2"/>
    <x v="3"/>
    <s v="Trader"/>
    <d v="2017-12-05T00:00:00"/>
    <x v="0"/>
    <x v="218"/>
    <n v="112324"/>
    <s v="Medium"/>
    <x v="1"/>
    <x v="1"/>
    <d v="2019-09-28T00:00:00"/>
    <n v="247536"/>
    <n v="369"/>
    <x v="1"/>
    <n v="0"/>
    <x v="0"/>
  </r>
  <r>
    <s v="CUST0454"/>
    <s v="ACC00324"/>
    <s v="Ashley Young"/>
    <s v="Female"/>
    <n v="22"/>
    <x v="2"/>
    <x v="3"/>
    <s v="Trader"/>
    <d v="2017-12-05T00:00:00"/>
    <x v="0"/>
    <x v="218"/>
    <n v="112324"/>
    <s v="Medium"/>
    <x v="1"/>
    <x v="0"/>
    <d v="2016-09-07T00:00:00"/>
    <n v="220283"/>
    <n v="435"/>
    <x v="1"/>
    <n v="316741"/>
    <x v="0"/>
  </r>
  <r>
    <s v="CUST0454"/>
    <s v="ACC00349"/>
    <s v="Ashley Young"/>
    <s v="Female"/>
    <n v="22"/>
    <x v="2"/>
    <x v="3"/>
    <s v="Trader"/>
    <d v="2017-12-05T00:00:00"/>
    <x v="0"/>
    <x v="218"/>
    <n v="112324"/>
    <s v="Medium"/>
    <x v="1"/>
    <x v="0"/>
    <d v="2021-08-25T00:00:00"/>
    <n v="434219"/>
    <n v="723"/>
    <x v="0"/>
    <n v="0"/>
    <x v="0"/>
  </r>
  <r>
    <s v="CUST0454"/>
    <s v="ACC00457"/>
    <s v="Ashley Young"/>
    <s v="Female"/>
    <n v="22"/>
    <x v="2"/>
    <x v="3"/>
    <s v="Trader"/>
    <d v="2017-12-05T00:00:00"/>
    <x v="0"/>
    <x v="218"/>
    <n v="112324"/>
    <s v="Medium"/>
    <x v="1"/>
    <x v="3"/>
    <d v="2015-10-20T00:00:00"/>
    <n v="151956"/>
    <n v="463"/>
    <x v="1"/>
    <n v="0"/>
    <x v="0"/>
  </r>
  <r>
    <s v="CUST0494"/>
    <s v="ACC00218"/>
    <s v="Hector May"/>
    <s v="Female"/>
    <n v="27"/>
    <x v="2"/>
    <x v="3"/>
    <s v="Banker"/>
    <d v="2021-03-12T00:00:00"/>
    <x v="3"/>
    <x v="219"/>
    <n v="32115"/>
    <s v="Low"/>
    <x v="1"/>
    <x v="2"/>
    <d v="2016-07-08T00:00:00"/>
    <n v="36413"/>
    <n v="411"/>
    <x v="1"/>
    <n v="0"/>
    <x v="0"/>
  </r>
  <r>
    <s v="CUST0219"/>
    <s v="ACC00497"/>
    <s v="Nathaniel Hudson"/>
    <s v="Female"/>
    <n v="68"/>
    <x v="3"/>
    <x v="1"/>
    <s v="Student"/>
    <d v="2019-09-11T00:00:00"/>
    <x v="2"/>
    <x v="220"/>
    <n v="104976"/>
    <s v="Medium"/>
    <x v="1"/>
    <x v="0"/>
    <d v="2025-08-14T00:00:00"/>
    <n v="277052"/>
    <n v="493"/>
    <x v="1"/>
    <n v="0"/>
    <x v="0"/>
  </r>
  <r>
    <s v="CUST0330"/>
    <s v="ACC00222"/>
    <s v="Jeremy Boyer"/>
    <s v="Female"/>
    <n v="25"/>
    <x v="2"/>
    <x v="2"/>
    <s v="Doctor"/>
    <d v="2017-04-05T00:00:00"/>
    <x v="0"/>
    <x v="221"/>
    <n v="31653"/>
    <s v="Low"/>
    <x v="1"/>
    <x v="1"/>
    <d v="2017-11-20T00:00:00"/>
    <n v="123130"/>
    <n v="390"/>
    <x v="1"/>
    <n v="0"/>
    <x v="2"/>
  </r>
  <r>
    <s v="CUST0330"/>
    <s v="ACC00230"/>
    <s v="Jeremy Boyer"/>
    <s v="Female"/>
    <n v="25"/>
    <x v="2"/>
    <x v="2"/>
    <s v="Doctor"/>
    <d v="2017-04-05T00:00:00"/>
    <x v="0"/>
    <x v="221"/>
    <n v="31653"/>
    <s v="Low"/>
    <x v="1"/>
    <x v="0"/>
    <d v="2018-10-26T00:00:00"/>
    <n v="423291"/>
    <n v="502"/>
    <x v="1"/>
    <n v="0"/>
    <x v="0"/>
  </r>
  <r>
    <s v="CUST0223"/>
    <s v="ACC00371"/>
    <s v="Chad White"/>
    <s v="Female"/>
    <n v="70"/>
    <x v="3"/>
    <x v="0"/>
    <s v="Trader"/>
    <d v="2016-01-09T00:00:00"/>
    <x v="9"/>
    <x v="222"/>
    <n v="174091"/>
    <s v="High"/>
    <x v="0"/>
    <x v="0"/>
    <d v="2018-09-28T00:00:00"/>
    <n v="87796"/>
    <n v="375"/>
    <x v="1"/>
    <n v="0"/>
    <x v="0"/>
  </r>
  <r>
    <s v="CUST0225"/>
    <s v="ACC00494"/>
    <s v="Sarah Walton"/>
    <s v="Female"/>
    <n v="62"/>
    <x v="3"/>
    <x v="3"/>
    <s v="Trader"/>
    <d v="2017-12-01T00:00:00"/>
    <x v="0"/>
    <x v="223"/>
    <n v="105530"/>
    <s v="Medium"/>
    <x v="2"/>
    <x v="1"/>
    <d v="2020-05-28T00:00:00"/>
    <n v="64286"/>
    <n v="486"/>
    <x v="1"/>
    <n v="0"/>
    <x v="2"/>
  </r>
  <r>
    <s v="CUST0226"/>
    <s v="ACC00408"/>
    <s v="Theodore Mckinney"/>
    <s v="Female"/>
    <n v="28"/>
    <x v="2"/>
    <x v="3"/>
    <s v="Teacher"/>
    <d v="2024-04-05T00:00:00"/>
    <x v="7"/>
    <x v="224"/>
    <n v="41563"/>
    <s v="Low"/>
    <x v="1"/>
    <x v="0"/>
    <d v="2020-07-30T00:00:00"/>
    <n v="424671"/>
    <n v="420"/>
    <x v="1"/>
    <n v="460229"/>
    <x v="0"/>
  </r>
  <r>
    <s v="CUST0227"/>
    <s v="ACC00290"/>
    <s v="Sharon Chapman"/>
    <s v="Male"/>
    <n v="46"/>
    <x v="0"/>
    <x v="2"/>
    <s v="Student"/>
    <d v="2017-05-18T00:00:00"/>
    <x v="0"/>
    <x v="225"/>
    <n v="190413"/>
    <s v="High"/>
    <x v="2"/>
    <x v="0"/>
    <d v="2021-03-14T00:00:00"/>
    <n v="442899"/>
    <n v="825"/>
    <x v="4"/>
    <n v="0"/>
    <x v="1"/>
  </r>
  <r>
    <s v="CUST0227"/>
    <s v="ACC00387"/>
    <s v="Sharon Chapman"/>
    <s v="Male"/>
    <n v="46"/>
    <x v="0"/>
    <x v="2"/>
    <s v="Student"/>
    <d v="2017-05-18T00:00:00"/>
    <x v="0"/>
    <x v="225"/>
    <n v="190413"/>
    <s v="High"/>
    <x v="2"/>
    <x v="0"/>
    <d v="2025-07-26T00:00:00"/>
    <n v="171244"/>
    <n v="547"/>
    <x v="1"/>
    <n v="0"/>
    <x v="0"/>
  </r>
  <r>
    <s v="CUST0227"/>
    <s v="ACC00476"/>
    <s v="Sharon Chapman"/>
    <s v="Male"/>
    <n v="46"/>
    <x v="0"/>
    <x v="2"/>
    <s v="Student"/>
    <d v="2017-05-18T00:00:00"/>
    <x v="0"/>
    <x v="225"/>
    <n v="190413"/>
    <s v="High"/>
    <x v="2"/>
    <x v="1"/>
    <d v="2020-07-27T00:00:00"/>
    <n v="78278"/>
    <n v="687"/>
    <x v="0"/>
    <n v="452421"/>
    <x v="0"/>
  </r>
  <r>
    <s v="CUST0232"/>
    <s v="ACC00264"/>
    <s v="Misty Jacobs"/>
    <s v="Female"/>
    <n v="74"/>
    <x v="3"/>
    <x v="2"/>
    <s v="Doctor"/>
    <d v="2018-08-23T00:00:00"/>
    <x v="6"/>
    <x v="226"/>
    <n v="102970"/>
    <s v="Medium"/>
    <x v="0"/>
    <x v="3"/>
    <d v="2024-07-28T00:00:00"/>
    <n v="304359"/>
    <n v="828"/>
    <x v="4"/>
    <n v="217369"/>
    <x v="3"/>
  </r>
  <r>
    <s v="CUST0368"/>
    <s v="ACC00233"/>
    <s v="Scott Jackson"/>
    <s v="Female"/>
    <n v="66"/>
    <x v="3"/>
    <x v="0"/>
    <s v="Doctor"/>
    <d v="2019-12-12T00:00:00"/>
    <x v="2"/>
    <x v="227"/>
    <n v="131822"/>
    <s v="Medium"/>
    <x v="0"/>
    <x v="2"/>
    <d v="2018-09-11T00:00:00"/>
    <n v="495413"/>
    <n v="536"/>
    <x v="1"/>
    <n v="0"/>
    <x v="0"/>
  </r>
  <r>
    <s v="CUST0435"/>
    <s v="ACC00234"/>
    <s v="Jennifer Jenkins"/>
    <s v="Female"/>
    <n v="30"/>
    <x v="1"/>
    <x v="1"/>
    <s v="Doctor"/>
    <d v="2022-12-01T00:00:00"/>
    <x v="5"/>
    <x v="206"/>
    <n v="138154"/>
    <s v="Medium"/>
    <x v="1"/>
    <x v="2"/>
    <d v="2024-08-16T00:00:00"/>
    <n v="236187"/>
    <n v="610"/>
    <x v="2"/>
    <n v="0"/>
    <x v="0"/>
  </r>
  <r>
    <s v="CUST0238"/>
    <s v="ACC00318"/>
    <s v="Crystal Melton"/>
    <s v="Female"/>
    <n v="52"/>
    <x v="0"/>
    <x v="3"/>
    <s v="Engineer"/>
    <d v="2020-10-04T00:00:00"/>
    <x v="4"/>
    <x v="159"/>
    <n v="156727"/>
    <s v="High"/>
    <x v="1"/>
    <x v="3"/>
    <d v="2021-12-16T00:00:00"/>
    <n v="271421"/>
    <n v="687"/>
    <x v="0"/>
    <n v="0"/>
    <x v="0"/>
  </r>
  <r>
    <s v="CUST0344"/>
    <s v="ACC00239"/>
    <s v="Christian Mendez"/>
    <s v="Female"/>
    <n v="36"/>
    <x v="1"/>
    <x v="2"/>
    <s v="Engineer"/>
    <d v="2017-11-13T00:00:00"/>
    <x v="0"/>
    <x v="228"/>
    <n v="99148"/>
    <s v="Medium"/>
    <x v="2"/>
    <x v="0"/>
    <d v="2020-09-08T00:00:00"/>
    <n v="384092"/>
    <n v="496"/>
    <x v="1"/>
    <n v="92508"/>
    <x v="0"/>
  </r>
  <r>
    <s v="CUST0495"/>
    <s v="ACC00240"/>
    <s v="Janet Wells"/>
    <s v="Male"/>
    <n v="36"/>
    <x v="1"/>
    <x v="3"/>
    <s v="Student"/>
    <d v="2022-01-24T00:00:00"/>
    <x v="5"/>
    <x v="229"/>
    <n v="59062"/>
    <s v="Low"/>
    <x v="1"/>
    <x v="0"/>
    <d v="2024-04-09T00:00:00"/>
    <n v="426488"/>
    <n v="813"/>
    <x v="4"/>
    <n v="0"/>
    <x v="0"/>
  </r>
  <r>
    <s v="CUST0424"/>
    <s v="ACC00241"/>
    <s v="Matthew Martinez"/>
    <s v="Male"/>
    <n v="45"/>
    <x v="0"/>
    <x v="3"/>
    <s v="Doctor"/>
    <d v="2020-10-07T00:00:00"/>
    <x v="4"/>
    <x v="230"/>
    <n v="121520"/>
    <s v="Medium"/>
    <x v="0"/>
    <x v="1"/>
    <d v="2021-03-04T00:00:00"/>
    <n v="108117"/>
    <n v="748"/>
    <x v="3"/>
    <n v="0"/>
    <x v="0"/>
  </r>
  <r>
    <s v="CUST0424"/>
    <s v="ACC00452"/>
    <s v="Matthew Martinez"/>
    <s v="Male"/>
    <n v="45"/>
    <x v="0"/>
    <x v="3"/>
    <s v="Doctor"/>
    <d v="2020-10-07T00:00:00"/>
    <x v="4"/>
    <x v="230"/>
    <n v="121520"/>
    <s v="Medium"/>
    <x v="0"/>
    <x v="2"/>
    <d v="2021-04-30T00:00:00"/>
    <n v="3748"/>
    <n v="464"/>
    <x v="1"/>
    <n v="0"/>
    <x v="3"/>
  </r>
  <r>
    <s v="CUST0294"/>
    <s v="ACC00242"/>
    <s v="Vicki Andersen"/>
    <s v="Female"/>
    <n v="74"/>
    <x v="3"/>
    <x v="0"/>
    <s v="Trader"/>
    <d v="2018-08-23T00:00:00"/>
    <x v="6"/>
    <x v="226"/>
    <n v="196076"/>
    <s v="High"/>
    <x v="0"/>
    <x v="1"/>
    <d v="2016-07-24T00:00:00"/>
    <n v="276815"/>
    <n v="659"/>
    <x v="2"/>
    <n v="0"/>
    <x v="0"/>
  </r>
  <r>
    <s v="CUST0294"/>
    <s v="ACC00472"/>
    <s v="Vicki Andersen"/>
    <s v="Female"/>
    <n v="74"/>
    <x v="3"/>
    <x v="0"/>
    <s v="Trader"/>
    <d v="2018-08-23T00:00:00"/>
    <x v="6"/>
    <x v="226"/>
    <n v="196076"/>
    <s v="High"/>
    <x v="0"/>
    <x v="0"/>
    <d v="2024-12-11T00:00:00"/>
    <n v="175607"/>
    <n v="740"/>
    <x v="3"/>
    <n v="464822"/>
    <x v="1"/>
  </r>
  <r>
    <s v="CUST0444"/>
    <s v="ACC00243"/>
    <s v="Jason Smith"/>
    <s v="Female"/>
    <n v="68"/>
    <x v="3"/>
    <x v="1"/>
    <s v="Engineer"/>
    <d v="2017-12-05T00:00:00"/>
    <x v="0"/>
    <x v="218"/>
    <n v="193312"/>
    <s v="High"/>
    <x v="0"/>
    <x v="1"/>
    <d v="2017-11-16T00:00:00"/>
    <n v="289192"/>
    <n v="329"/>
    <x v="1"/>
    <n v="0"/>
    <x v="0"/>
  </r>
  <r>
    <s v="CUST0243"/>
    <s v="ACC00248"/>
    <s v="Richard Johnson"/>
    <s v="Female"/>
    <n v="35"/>
    <x v="1"/>
    <x v="2"/>
    <s v="Engineer"/>
    <d v="2019-08-11T00:00:00"/>
    <x v="2"/>
    <x v="231"/>
    <n v="20526"/>
    <s v="Low"/>
    <x v="1"/>
    <x v="0"/>
    <d v="2019-04-12T00:00:00"/>
    <n v="233192"/>
    <n v="794"/>
    <x v="3"/>
    <n v="0"/>
    <x v="0"/>
  </r>
  <r>
    <s v="CUST0246"/>
    <s v="ACC00351"/>
    <s v="Joshua Best"/>
    <s v="Female"/>
    <n v="49"/>
    <x v="0"/>
    <x v="1"/>
    <s v="Student"/>
    <d v="2018-01-13T00:00:00"/>
    <x v="6"/>
    <x v="232"/>
    <n v="31536"/>
    <s v="Low"/>
    <x v="0"/>
    <x v="1"/>
    <d v="2020-05-22T00:00:00"/>
    <n v="100922"/>
    <n v="501"/>
    <x v="1"/>
    <n v="0"/>
    <x v="0"/>
  </r>
  <r>
    <s v="CUST0247"/>
    <s v="ACC00373"/>
    <s v="Charles Wilson"/>
    <s v="Male"/>
    <n v="41"/>
    <x v="1"/>
    <x v="1"/>
    <s v="Student"/>
    <d v="2021-03-02T00:00:00"/>
    <x v="3"/>
    <x v="185"/>
    <n v="48541"/>
    <s v="Low"/>
    <x v="1"/>
    <x v="0"/>
    <d v="2020-01-21T00:00:00"/>
    <n v="380477"/>
    <n v="524"/>
    <x v="1"/>
    <n v="0"/>
    <x v="0"/>
  </r>
  <r>
    <s v="CUST0247"/>
    <s v="ACC00463"/>
    <s v="Charles Wilson"/>
    <s v="Male"/>
    <n v="41"/>
    <x v="1"/>
    <x v="1"/>
    <s v="Student"/>
    <d v="2021-03-02T00:00:00"/>
    <x v="3"/>
    <x v="185"/>
    <n v="48541"/>
    <s v="Low"/>
    <x v="1"/>
    <x v="0"/>
    <d v="2022-02-20T00:00:00"/>
    <n v="167031"/>
    <n v="333"/>
    <x v="1"/>
    <n v="0"/>
    <x v="0"/>
  </r>
  <r>
    <s v="CUST0448"/>
    <s v="ACC00251"/>
    <s v="Alexander Dunn"/>
    <s v="Female"/>
    <n v="19"/>
    <x v="2"/>
    <x v="2"/>
    <s v="Engineer"/>
    <d v="2021-10-24T00:00:00"/>
    <x v="3"/>
    <x v="233"/>
    <n v="128856"/>
    <s v="Medium"/>
    <x v="1"/>
    <x v="2"/>
    <d v="2022-06-24T00:00:00"/>
    <n v="273820"/>
    <n v="738"/>
    <x v="0"/>
    <n v="0"/>
    <x v="0"/>
  </r>
  <r>
    <s v="CUST0252"/>
    <s v="ACC00489"/>
    <s v="Justin Krause"/>
    <s v="Male"/>
    <n v="66"/>
    <x v="3"/>
    <x v="3"/>
    <s v="Teacher"/>
    <d v="2023-06-01T00:00:00"/>
    <x v="1"/>
    <x v="234"/>
    <n v="85455"/>
    <s v="Medium"/>
    <x v="0"/>
    <x v="0"/>
    <d v="2019-05-05T00:00:00"/>
    <n v="489498"/>
    <n v="488"/>
    <x v="1"/>
    <n v="0"/>
    <x v="3"/>
  </r>
  <r>
    <s v="CUST0277"/>
    <s v="ACC00254"/>
    <s v="Brandon Bennett"/>
    <s v="Male"/>
    <n v="31"/>
    <x v="1"/>
    <x v="0"/>
    <s v="Banker"/>
    <d v="2017-12-14T00:00:00"/>
    <x v="0"/>
    <x v="235"/>
    <n v="89298"/>
    <s v="Medium"/>
    <x v="1"/>
    <x v="0"/>
    <d v="2023-11-03T00:00:00"/>
    <n v="496577"/>
    <n v="684"/>
    <x v="0"/>
    <n v="185388"/>
    <x v="0"/>
  </r>
  <r>
    <s v="CUST0277"/>
    <s v="ACC00416"/>
    <s v="Brandon Bennett"/>
    <s v="Male"/>
    <n v="31"/>
    <x v="1"/>
    <x v="0"/>
    <s v="Banker"/>
    <d v="2017-12-14T00:00:00"/>
    <x v="0"/>
    <x v="235"/>
    <n v="89298"/>
    <s v="Medium"/>
    <x v="1"/>
    <x v="0"/>
    <d v="2017-06-08T00:00:00"/>
    <n v="445093"/>
    <n v="663"/>
    <x v="2"/>
    <n v="0"/>
    <x v="0"/>
  </r>
  <r>
    <s v="CUST0372"/>
    <s v="ACC00260"/>
    <s v="Daisy Casey"/>
    <s v="Female"/>
    <n v="55"/>
    <x v="0"/>
    <x v="0"/>
    <s v="Teacher"/>
    <d v="2022-07-03T00:00:00"/>
    <x v="5"/>
    <x v="178"/>
    <n v="152028"/>
    <s v="High"/>
    <x v="1"/>
    <x v="2"/>
    <d v="2016-10-18T00:00:00"/>
    <n v="69300"/>
    <n v="508"/>
    <x v="1"/>
    <n v="0"/>
    <x v="0"/>
  </r>
  <r>
    <s v="CUST0372"/>
    <s v="ACC00392"/>
    <s v="Daisy Casey"/>
    <s v="Female"/>
    <n v="55"/>
    <x v="0"/>
    <x v="0"/>
    <s v="Teacher"/>
    <d v="2022-07-03T00:00:00"/>
    <x v="5"/>
    <x v="178"/>
    <n v="152028"/>
    <s v="High"/>
    <x v="1"/>
    <x v="1"/>
    <d v="2020-06-14T00:00:00"/>
    <n v="6859"/>
    <n v="793"/>
    <x v="3"/>
    <n v="0"/>
    <x v="0"/>
  </r>
  <r>
    <s v="CUST0262"/>
    <s v="ACC00291"/>
    <s v="Joy Lopez"/>
    <s v="Female"/>
    <n v="37"/>
    <x v="1"/>
    <x v="2"/>
    <s v="Teacher"/>
    <d v="2024-08-12T00:00:00"/>
    <x v="7"/>
    <x v="236"/>
    <n v="177661"/>
    <s v="High"/>
    <x v="1"/>
    <x v="3"/>
    <d v="2024-05-24T00:00:00"/>
    <n v="481215"/>
    <n v="761"/>
    <x v="3"/>
    <n v="0"/>
    <x v="2"/>
  </r>
  <r>
    <s v="CUST0263"/>
    <s v="ACC00327"/>
    <s v="Kristi Adams"/>
    <s v="Male"/>
    <n v="65"/>
    <x v="3"/>
    <x v="0"/>
    <s v="Trader"/>
    <d v="2019-12-30T00:00:00"/>
    <x v="2"/>
    <x v="237"/>
    <n v="181087"/>
    <s v="High"/>
    <x v="2"/>
    <x v="1"/>
    <d v="2018-05-05T00:00:00"/>
    <n v="175607"/>
    <n v="500"/>
    <x v="1"/>
    <n v="0"/>
    <x v="0"/>
  </r>
  <r>
    <s v="CUST0265"/>
    <s v="ACC00391"/>
    <s v="Mr. Carlos Wood"/>
    <s v="Male"/>
    <n v="39"/>
    <x v="1"/>
    <x v="1"/>
    <s v="Student"/>
    <d v="2020-09-28T00:00:00"/>
    <x v="4"/>
    <x v="238"/>
    <n v="103309"/>
    <s v="Medium"/>
    <x v="1"/>
    <x v="2"/>
    <d v="2024-04-15T00:00:00"/>
    <n v="469725"/>
    <n v="789"/>
    <x v="3"/>
    <n v="0"/>
    <x v="0"/>
  </r>
  <r>
    <s v="CUST0267"/>
    <s v="ACC00302"/>
    <s v="Nicholas Cherry"/>
    <s v="Female"/>
    <n v="36"/>
    <x v="1"/>
    <x v="2"/>
    <s v="Engineer"/>
    <d v="2021-08-29T00:00:00"/>
    <x v="3"/>
    <x v="239"/>
    <n v="126661"/>
    <s v="Medium"/>
    <x v="1"/>
    <x v="0"/>
    <d v="2017-08-16T00:00:00"/>
    <n v="473146"/>
    <n v="343"/>
    <x v="1"/>
    <n v="204757"/>
    <x v="0"/>
  </r>
  <r>
    <s v="CUST0268"/>
    <s v="ACC00303"/>
    <s v="Derek Gardner"/>
    <s v="Female"/>
    <n v="66"/>
    <x v="3"/>
    <x v="2"/>
    <s v="Banker"/>
    <d v="2019-12-20T00:00:00"/>
    <x v="2"/>
    <x v="240"/>
    <n v="177215"/>
    <s v="High"/>
    <x v="1"/>
    <x v="2"/>
    <d v="2025-07-04T00:00:00"/>
    <n v="392118"/>
    <n v="616"/>
    <x v="2"/>
    <n v="422876"/>
    <x v="0"/>
  </r>
  <r>
    <s v="CUST0268"/>
    <s v="ACC00325"/>
    <s v="Derek Gardner"/>
    <s v="Female"/>
    <n v="66"/>
    <x v="3"/>
    <x v="2"/>
    <s v="Banker"/>
    <d v="2019-12-20T00:00:00"/>
    <x v="2"/>
    <x v="240"/>
    <n v="177215"/>
    <s v="High"/>
    <x v="1"/>
    <x v="0"/>
    <d v="2024-12-15T00:00:00"/>
    <n v="148961"/>
    <n v="470"/>
    <x v="1"/>
    <n v="437348"/>
    <x v="0"/>
  </r>
  <r>
    <s v="CUST0269"/>
    <s v="ACC00366"/>
    <s v="Ashley Harper"/>
    <s v="Male"/>
    <n v="53"/>
    <x v="0"/>
    <x v="2"/>
    <s v="Engineer"/>
    <d v="2018-02-19T00:00:00"/>
    <x v="6"/>
    <x v="241"/>
    <n v="26154"/>
    <s v="Low"/>
    <x v="0"/>
    <x v="0"/>
    <d v="2019-05-27T00:00:00"/>
    <n v="343615"/>
    <n v="492"/>
    <x v="1"/>
    <n v="231024"/>
    <x v="0"/>
  </r>
  <r>
    <s v="CUST0411"/>
    <s v="ACC00271"/>
    <s v="Darren Morgan"/>
    <s v="Male"/>
    <n v="25"/>
    <x v="2"/>
    <x v="1"/>
    <s v="Engineer"/>
    <d v="2018-11-07T00:00:00"/>
    <x v="6"/>
    <x v="242"/>
    <n v="53142"/>
    <s v="Low"/>
    <x v="0"/>
    <x v="0"/>
    <d v="2018-05-30T00:00:00"/>
    <n v="133653"/>
    <n v="538"/>
    <x v="1"/>
    <n v="0"/>
    <x v="0"/>
  </r>
  <r>
    <s v="CUST0271"/>
    <s v="ACC00442"/>
    <s v="Keith Hendrix"/>
    <s v="Female"/>
    <n v="58"/>
    <x v="0"/>
    <x v="1"/>
    <s v="Teacher"/>
    <d v="2023-05-05T00:00:00"/>
    <x v="1"/>
    <x v="243"/>
    <n v="192760"/>
    <s v="High"/>
    <x v="0"/>
    <x v="3"/>
    <d v="2018-12-17T00:00:00"/>
    <n v="374743"/>
    <n v="423"/>
    <x v="1"/>
    <n v="0"/>
    <x v="1"/>
  </r>
  <r>
    <s v="CUST0381"/>
    <s v="ACC00272"/>
    <s v="Timothy Mcknight"/>
    <s v="Female"/>
    <n v="33"/>
    <x v="1"/>
    <x v="2"/>
    <s v="Banker"/>
    <d v="2018-12-29T00:00:00"/>
    <x v="6"/>
    <x v="244"/>
    <n v="136400"/>
    <s v="Medium"/>
    <x v="0"/>
    <x v="3"/>
    <d v="2018-11-16T00:00:00"/>
    <n v="51717"/>
    <n v="371"/>
    <x v="1"/>
    <n v="0"/>
    <x v="2"/>
  </r>
  <r>
    <s v="CUST0381"/>
    <s v="ACC00447"/>
    <s v="Timothy Mcknight"/>
    <s v="Female"/>
    <n v="33"/>
    <x v="1"/>
    <x v="2"/>
    <s v="Banker"/>
    <d v="2018-12-29T00:00:00"/>
    <x v="6"/>
    <x v="244"/>
    <n v="136400"/>
    <s v="Medium"/>
    <x v="0"/>
    <x v="1"/>
    <d v="2018-12-22T00:00:00"/>
    <n v="262347"/>
    <n v="730"/>
    <x v="0"/>
    <n v="0"/>
    <x v="3"/>
  </r>
  <r>
    <s v="CUST0272"/>
    <s v="ACC00448"/>
    <s v="Seth Fritz"/>
    <s v="Female"/>
    <n v="36"/>
    <x v="1"/>
    <x v="0"/>
    <s v="Trader"/>
    <d v="2020-02-29T00:00:00"/>
    <x v="4"/>
    <x v="245"/>
    <n v="84288"/>
    <s v="Medium"/>
    <x v="0"/>
    <x v="1"/>
    <d v="2019-12-29T00:00:00"/>
    <n v="409760"/>
    <n v="735"/>
    <x v="0"/>
    <n v="0"/>
    <x v="0"/>
  </r>
  <r>
    <s v="CUST0489"/>
    <s v="ACC00273"/>
    <s v="Monica Carter"/>
    <s v="Male"/>
    <n v="40"/>
    <x v="1"/>
    <x v="0"/>
    <s v="Banker"/>
    <d v="2023-06-27T00:00:00"/>
    <x v="1"/>
    <x v="246"/>
    <n v="157710"/>
    <s v="High"/>
    <x v="1"/>
    <x v="3"/>
    <d v="2022-04-29T00:00:00"/>
    <n v="2763"/>
    <n v="744"/>
    <x v="3"/>
    <n v="0"/>
    <x v="0"/>
  </r>
  <r>
    <s v="CUST0273"/>
    <s v="ACC00437"/>
    <s v="Thomas Luna"/>
    <s v="Female"/>
    <n v="29"/>
    <x v="1"/>
    <x v="0"/>
    <s v="Retired"/>
    <d v="2020-06-26T00:00:00"/>
    <x v="4"/>
    <x v="247"/>
    <n v="71195"/>
    <s v="Low"/>
    <x v="1"/>
    <x v="0"/>
    <d v="2020-01-18T00:00:00"/>
    <n v="305539"/>
    <n v="474"/>
    <x v="1"/>
    <n v="0"/>
    <x v="0"/>
  </r>
  <r>
    <s v="CUST0275"/>
    <s v="ACC00352"/>
    <s v="Todd Moore"/>
    <s v="Male"/>
    <n v="24"/>
    <x v="2"/>
    <x v="3"/>
    <s v="Teacher"/>
    <d v="2019-11-06T00:00:00"/>
    <x v="2"/>
    <x v="248"/>
    <n v="50087"/>
    <s v="Low"/>
    <x v="0"/>
    <x v="1"/>
    <d v="2024-12-25T00:00:00"/>
    <n v="348742"/>
    <n v="511"/>
    <x v="1"/>
    <n v="0"/>
    <x v="1"/>
  </r>
  <r>
    <s v="CUST0284"/>
    <s v="ACC00276"/>
    <s v="Robert Clay"/>
    <s v="Male"/>
    <n v="22"/>
    <x v="2"/>
    <x v="1"/>
    <s v="Trader"/>
    <d v="2015-10-28T00:00:00"/>
    <x v="10"/>
    <x v="249"/>
    <n v="68787"/>
    <s v="Low"/>
    <x v="1"/>
    <x v="3"/>
    <d v="2023-01-02T00:00:00"/>
    <n v="169831"/>
    <n v="714"/>
    <x v="0"/>
    <n v="0"/>
    <x v="0"/>
  </r>
  <r>
    <s v="CUST0369"/>
    <s v="ACC00278"/>
    <s v="Heather Davis"/>
    <s v="Male"/>
    <n v="42"/>
    <x v="1"/>
    <x v="0"/>
    <s v="Engineer"/>
    <d v="2023-01-28T00:00:00"/>
    <x v="1"/>
    <x v="70"/>
    <n v="181099"/>
    <s v="High"/>
    <x v="0"/>
    <x v="1"/>
    <d v="2018-11-18T00:00:00"/>
    <n v="118094"/>
    <n v="359"/>
    <x v="1"/>
    <n v="0"/>
    <x v="0"/>
  </r>
  <r>
    <s v="CUST0447"/>
    <s v="ACC00279"/>
    <s v="Scott Wall"/>
    <s v="Male"/>
    <n v="42"/>
    <x v="1"/>
    <x v="2"/>
    <s v="Student"/>
    <d v="2023-03-09T00:00:00"/>
    <x v="1"/>
    <x v="250"/>
    <n v="174571"/>
    <s v="High"/>
    <x v="1"/>
    <x v="1"/>
    <d v="2020-06-04T00:00:00"/>
    <n v="156379"/>
    <n v="305"/>
    <x v="1"/>
    <n v="0"/>
    <x v="0"/>
  </r>
  <r>
    <s v="CUST0279"/>
    <s v="ACC00294"/>
    <s v="Vanessa Martinez"/>
    <s v="Male"/>
    <n v="69"/>
    <x v="3"/>
    <x v="2"/>
    <s v="Engineer"/>
    <d v="2018-08-04T00:00:00"/>
    <x v="6"/>
    <x v="251"/>
    <n v="194480"/>
    <s v="High"/>
    <x v="1"/>
    <x v="0"/>
    <d v="2024-08-17T00:00:00"/>
    <n v="485097"/>
    <n v="698"/>
    <x v="0"/>
    <n v="301379"/>
    <x v="0"/>
  </r>
  <r>
    <s v="CUST0279"/>
    <s v="ACC00433"/>
    <s v="Vanessa Martinez"/>
    <s v="Male"/>
    <n v="69"/>
    <x v="3"/>
    <x v="2"/>
    <s v="Engineer"/>
    <d v="2018-08-04T00:00:00"/>
    <x v="6"/>
    <x v="251"/>
    <n v="194480"/>
    <s v="High"/>
    <x v="1"/>
    <x v="1"/>
    <d v="2019-09-02T00:00:00"/>
    <n v="128585"/>
    <n v="764"/>
    <x v="3"/>
    <n v="0"/>
    <x v="2"/>
  </r>
  <r>
    <s v="CUST0409"/>
    <s v="ACC00281"/>
    <s v="Shannon Moss"/>
    <s v="Female"/>
    <n v="49"/>
    <x v="0"/>
    <x v="1"/>
    <s v="Banker"/>
    <d v="2019-09-13T00:00:00"/>
    <x v="2"/>
    <x v="252"/>
    <n v="162633"/>
    <s v="High"/>
    <x v="1"/>
    <x v="3"/>
    <d v="2018-07-23T00:00:00"/>
    <n v="11064"/>
    <n v="516"/>
    <x v="1"/>
    <n v="0"/>
    <x v="0"/>
  </r>
  <r>
    <s v="CUST0409"/>
    <s v="ACC00470"/>
    <s v="Shannon Moss"/>
    <s v="Female"/>
    <n v="49"/>
    <x v="0"/>
    <x v="1"/>
    <s v="Banker"/>
    <d v="2019-09-13T00:00:00"/>
    <x v="2"/>
    <x v="252"/>
    <n v="162633"/>
    <s v="High"/>
    <x v="1"/>
    <x v="2"/>
    <d v="2022-03-26T00:00:00"/>
    <n v="65901"/>
    <n v="538"/>
    <x v="1"/>
    <n v="0"/>
    <x v="0"/>
  </r>
  <r>
    <s v="CUST0281"/>
    <s v="ACC00381"/>
    <s v="Dustin Zhang"/>
    <s v="Female"/>
    <n v="64"/>
    <x v="3"/>
    <x v="2"/>
    <s v="Student"/>
    <d v="2021-10-31T00:00:00"/>
    <x v="3"/>
    <x v="253"/>
    <n v="145816"/>
    <s v="High"/>
    <x v="2"/>
    <x v="0"/>
    <d v="2018-02-13T00:00:00"/>
    <n v="444943"/>
    <n v="368"/>
    <x v="1"/>
    <n v="493815"/>
    <x v="0"/>
  </r>
  <r>
    <s v="CUST0283"/>
    <s v="ACC00332"/>
    <s v="Kristen Spencer"/>
    <s v="Female"/>
    <n v="70"/>
    <x v="3"/>
    <x v="3"/>
    <s v="Teacher"/>
    <d v="2017-01-19T00:00:00"/>
    <x v="0"/>
    <x v="153"/>
    <n v="116347"/>
    <s v="Medium"/>
    <x v="1"/>
    <x v="1"/>
    <d v="2018-05-07T00:00:00"/>
    <n v="152711"/>
    <n v="424"/>
    <x v="1"/>
    <n v="0"/>
    <x v="0"/>
  </r>
  <r>
    <s v="CUST0283"/>
    <s v="ACC00375"/>
    <s v="Kristen Spencer"/>
    <s v="Female"/>
    <n v="70"/>
    <x v="3"/>
    <x v="3"/>
    <s v="Teacher"/>
    <d v="2017-01-19T00:00:00"/>
    <x v="0"/>
    <x v="153"/>
    <n v="116347"/>
    <s v="Medium"/>
    <x v="1"/>
    <x v="1"/>
    <d v="2025-05-02T00:00:00"/>
    <n v="84811"/>
    <n v="412"/>
    <x v="1"/>
    <n v="0"/>
    <x v="0"/>
  </r>
  <r>
    <s v="CUST0387"/>
    <s v="ACC00284"/>
    <s v="Robert Barnes"/>
    <s v="Male"/>
    <n v="52"/>
    <x v="0"/>
    <x v="3"/>
    <s v="Engineer"/>
    <d v="2019-04-22T00:00:00"/>
    <x v="2"/>
    <x v="254"/>
    <n v="51585"/>
    <s v="Low"/>
    <x v="0"/>
    <x v="1"/>
    <d v="2024-05-16T00:00:00"/>
    <n v="168017"/>
    <n v="831"/>
    <x v="4"/>
    <n v="0"/>
    <x v="0"/>
  </r>
  <r>
    <s v="CUST0387"/>
    <s v="ACC00329"/>
    <s v="Robert Barnes"/>
    <s v="Male"/>
    <n v="52"/>
    <x v="0"/>
    <x v="3"/>
    <s v="Engineer"/>
    <d v="2019-04-22T00:00:00"/>
    <x v="2"/>
    <x v="254"/>
    <n v="51585"/>
    <s v="Low"/>
    <x v="0"/>
    <x v="2"/>
    <d v="2017-10-18T00:00:00"/>
    <n v="316463"/>
    <n v="803"/>
    <x v="4"/>
    <n v="0"/>
    <x v="0"/>
  </r>
  <r>
    <s v="CUST0456"/>
    <s v="ACC00285"/>
    <s v="Michael Kramer"/>
    <s v="Male"/>
    <n v="73"/>
    <x v="3"/>
    <x v="2"/>
    <s v="Teacher"/>
    <d v="2016-01-17T00:00:00"/>
    <x v="9"/>
    <x v="255"/>
    <n v="46155"/>
    <s v="Low"/>
    <x v="1"/>
    <x v="1"/>
    <d v="2021-08-16T00:00:00"/>
    <n v="441153"/>
    <n v="689"/>
    <x v="0"/>
    <n v="34992"/>
    <x v="0"/>
  </r>
  <r>
    <s v="CUST0456"/>
    <s v="ACC00462"/>
    <s v="Michael Kramer"/>
    <s v="Male"/>
    <n v="73"/>
    <x v="3"/>
    <x v="2"/>
    <s v="Teacher"/>
    <d v="2016-01-17T00:00:00"/>
    <x v="9"/>
    <x v="255"/>
    <n v="46155"/>
    <s v="Low"/>
    <x v="1"/>
    <x v="1"/>
    <d v="2023-02-01T00:00:00"/>
    <n v="150331"/>
    <n v="770"/>
    <x v="3"/>
    <n v="0"/>
    <x v="0"/>
  </r>
  <r>
    <s v="CUST0286"/>
    <s v="ACC00413"/>
    <s v="Melanie Butler"/>
    <s v="Male"/>
    <n v="29"/>
    <x v="1"/>
    <x v="0"/>
    <s v="Engineer"/>
    <d v="2020-01-26T00:00:00"/>
    <x v="4"/>
    <x v="256"/>
    <n v="94441"/>
    <s v="Medium"/>
    <x v="1"/>
    <x v="0"/>
    <d v="2024-08-27T00:00:00"/>
    <n v="207352"/>
    <n v="782"/>
    <x v="3"/>
    <n v="0"/>
    <x v="0"/>
  </r>
  <r>
    <s v="CUST0436"/>
    <s v="ACC00293"/>
    <s v="Victor Tran"/>
    <s v="Female"/>
    <n v="45"/>
    <x v="0"/>
    <x v="0"/>
    <s v="Banker"/>
    <d v="2019-10-22T00:00:00"/>
    <x v="2"/>
    <x v="257"/>
    <n v="64738"/>
    <s v="Low"/>
    <x v="0"/>
    <x v="0"/>
    <d v="2023-07-13T00:00:00"/>
    <n v="426618"/>
    <n v="683"/>
    <x v="0"/>
    <n v="0"/>
    <x v="0"/>
  </r>
  <r>
    <s v="CUST0379"/>
    <s v="ACC00296"/>
    <s v="Jay Jackson"/>
    <s v="Female"/>
    <n v="64"/>
    <x v="3"/>
    <x v="0"/>
    <s v="Doctor"/>
    <d v="2023-02-15T00:00:00"/>
    <x v="1"/>
    <x v="258"/>
    <n v="59063"/>
    <s v="Low"/>
    <x v="1"/>
    <x v="1"/>
    <d v="2022-07-07T00:00:00"/>
    <n v="79698"/>
    <n v="790"/>
    <x v="3"/>
    <n v="0"/>
    <x v="0"/>
  </r>
  <r>
    <s v="CUST0427"/>
    <s v="ACC00298"/>
    <s v="Juan Reed"/>
    <s v="Male"/>
    <n v="53"/>
    <x v="0"/>
    <x v="2"/>
    <s v="Engineer"/>
    <d v="2023-05-06T00:00:00"/>
    <x v="1"/>
    <x v="259"/>
    <n v="87649"/>
    <s v="Medium"/>
    <x v="2"/>
    <x v="1"/>
    <d v="2020-05-25T00:00:00"/>
    <n v="243381"/>
    <n v="636"/>
    <x v="2"/>
    <n v="0"/>
    <x v="1"/>
  </r>
  <r>
    <s v="CUST0307"/>
    <s v="ACC00301"/>
    <s v="Angela Garcia"/>
    <s v="Female"/>
    <n v="28"/>
    <x v="2"/>
    <x v="0"/>
    <s v="Teacher"/>
    <d v="2015-10-16T00:00:00"/>
    <x v="10"/>
    <x v="260"/>
    <n v="82768"/>
    <s v="Medium"/>
    <x v="1"/>
    <x v="1"/>
    <d v="2023-02-26T00:00:00"/>
    <n v="45095"/>
    <n v="731"/>
    <x v="0"/>
    <n v="0"/>
    <x v="0"/>
  </r>
  <r>
    <s v="CUST0307"/>
    <s v="ACC00427"/>
    <s v="Angela Garcia"/>
    <s v="Female"/>
    <n v="28"/>
    <x v="2"/>
    <x v="0"/>
    <s v="Teacher"/>
    <d v="2015-10-16T00:00:00"/>
    <x v="10"/>
    <x v="260"/>
    <n v="82768"/>
    <s v="Medium"/>
    <x v="1"/>
    <x v="0"/>
    <d v="2017-08-03T00:00:00"/>
    <n v="65133"/>
    <n v="562"/>
    <x v="1"/>
    <n v="12837"/>
    <x v="0"/>
  </r>
  <r>
    <s v="CUST0485"/>
    <s v="ACC00310"/>
    <s v="Christopher Hart"/>
    <s v="Male"/>
    <n v="22"/>
    <x v="2"/>
    <x v="3"/>
    <s v="Engineer"/>
    <d v="2018-09-03T00:00:00"/>
    <x v="6"/>
    <x v="261"/>
    <n v="81212"/>
    <s v="Medium"/>
    <x v="0"/>
    <x v="1"/>
    <d v="2017-12-08T00:00:00"/>
    <n v="486521"/>
    <n v="654"/>
    <x v="2"/>
    <n v="0"/>
    <x v="1"/>
  </r>
  <r>
    <s v="CUST0393"/>
    <s v="ACC00314"/>
    <s v="Tina Adams"/>
    <s v="Female"/>
    <n v="58"/>
    <x v="0"/>
    <x v="3"/>
    <s v="Teacher"/>
    <d v="2021-12-15T00:00:00"/>
    <x v="3"/>
    <x v="262"/>
    <n v="196422"/>
    <s v="High"/>
    <x v="2"/>
    <x v="2"/>
    <d v="2021-10-26T00:00:00"/>
    <n v="270170"/>
    <n v="697"/>
    <x v="0"/>
    <n v="0"/>
    <x v="0"/>
  </r>
  <r>
    <s v="CUST0393"/>
    <s v="ACC00487"/>
    <s v="Tina Adams"/>
    <s v="Female"/>
    <n v="58"/>
    <x v="0"/>
    <x v="3"/>
    <s v="Teacher"/>
    <d v="2021-12-15T00:00:00"/>
    <x v="3"/>
    <x v="262"/>
    <n v="196422"/>
    <s v="High"/>
    <x v="2"/>
    <x v="3"/>
    <d v="2019-04-25T00:00:00"/>
    <n v="431653"/>
    <n v="462"/>
    <x v="1"/>
    <n v="217986"/>
    <x v="0"/>
  </r>
  <r>
    <s v="CUST0386"/>
    <s v="ACC00326"/>
    <s v="Megan Davis"/>
    <s v="Female"/>
    <n v="53"/>
    <x v="0"/>
    <x v="2"/>
    <s v="Student"/>
    <d v="2023-08-19T00:00:00"/>
    <x v="1"/>
    <x v="263"/>
    <n v="182932"/>
    <s v="High"/>
    <x v="0"/>
    <x v="1"/>
    <d v="2016-04-23T00:00:00"/>
    <n v="448828"/>
    <n v="458"/>
    <x v="1"/>
    <n v="0"/>
    <x v="0"/>
  </r>
  <r>
    <s v="CUST0333"/>
    <s v="ACC00490"/>
    <s v="Ronald Bennett"/>
    <s v="Female"/>
    <n v="18"/>
    <x v="2"/>
    <x v="3"/>
    <s v="Engineer"/>
    <d v="2015-12-09T00:00:00"/>
    <x v="10"/>
    <x v="264"/>
    <n v="53662"/>
    <s v="Low"/>
    <x v="1"/>
    <x v="0"/>
    <d v="2017-04-08T00:00:00"/>
    <n v="486675"/>
    <n v="714"/>
    <x v="0"/>
    <n v="0"/>
    <x v="0"/>
  </r>
  <r>
    <s v="CUST0416"/>
    <s v="ACC00342"/>
    <s v="Jose Mayer"/>
    <s v="Male"/>
    <n v="70"/>
    <x v="3"/>
    <x v="3"/>
    <s v="Banker"/>
    <d v="2017-10-14T00:00:00"/>
    <x v="0"/>
    <x v="265"/>
    <n v="155720"/>
    <s v="High"/>
    <x v="0"/>
    <x v="3"/>
    <d v="2021-08-09T00:00:00"/>
    <n v="273721"/>
    <n v="649"/>
    <x v="2"/>
    <n v="0"/>
    <x v="0"/>
  </r>
  <r>
    <s v="CUST0380"/>
    <s v="ACC00343"/>
    <s v="Brandon Morales"/>
    <s v="Male"/>
    <n v="38"/>
    <x v="1"/>
    <x v="3"/>
    <s v="Retired"/>
    <d v="2021-12-08T00:00:00"/>
    <x v="3"/>
    <x v="266"/>
    <n v="134225"/>
    <s v="Medium"/>
    <x v="0"/>
    <x v="1"/>
    <d v="2023-10-28T00:00:00"/>
    <n v="339443"/>
    <n v="793"/>
    <x v="3"/>
    <n v="393333"/>
    <x v="0"/>
  </r>
  <r>
    <s v="CUST0343"/>
    <s v="ACC00464"/>
    <s v="Danielle Cox"/>
    <s v="Male"/>
    <n v="48"/>
    <x v="0"/>
    <x v="1"/>
    <s v="Engineer"/>
    <d v="2018-02-23T00:00:00"/>
    <x v="6"/>
    <x v="267"/>
    <n v="152632"/>
    <s v="High"/>
    <x v="1"/>
    <x v="2"/>
    <d v="2016-12-01T00:00:00"/>
    <n v="378669"/>
    <n v="726"/>
    <x v="0"/>
    <n v="0"/>
    <x v="1"/>
  </r>
  <r>
    <s v="CUST0347"/>
    <s v="ACC00443"/>
    <s v="Oscar Ortiz"/>
    <s v="Male"/>
    <n v="56"/>
    <x v="0"/>
    <x v="3"/>
    <s v="Engineer"/>
    <d v="2024-09-25T00:00:00"/>
    <x v="7"/>
    <x v="165"/>
    <n v="182962"/>
    <s v="High"/>
    <x v="0"/>
    <x v="0"/>
    <d v="2023-06-11T00:00:00"/>
    <n v="25939"/>
    <n v="680"/>
    <x v="0"/>
    <n v="13720"/>
    <x v="0"/>
  </r>
  <r>
    <s v="CUST0478"/>
    <s v="ACC00348"/>
    <s v="Louis Palmer"/>
    <s v="Female"/>
    <n v="65"/>
    <x v="3"/>
    <x v="3"/>
    <s v="Trader"/>
    <d v="2016-08-20T00:00:00"/>
    <x v="9"/>
    <x v="268"/>
    <n v="139273"/>
    <s v="Medium"/>
    <x v="0"/>
    <x v="2"/>
    <d v="2022-08-30T00:00:00"/>
    <n v="483007"/>
    <n v="445"/>
    <x v="1"/>
    <n v="0"/>
    <x v="0"/>
  </r>
  <r>
    <s v="CUST0353"/>
    <s v="ACC00379"/>
    <s v="Mrs. Valerie Dunlap MD"/>
    <s v="Male"/>
    <n v="20"/>
    <x v="2"/>
    <x v="1"/>
    <s v="Doctor"/>
    <d v="2019-09-19T00:00:00"/>
    <x v="2"/>
    <x v="269"/>
    <n v="22356"/>
    <s v="Low"/>
    <x v="1"/>
    <x v="3"/>
    <d v="2023-09-19T00:00:00"/>
    <n v="39178"/>
    <n v="424"/>
    <x v="1"/>
    <n v="0"/>
    <x v="0"/>
  </r>
  <r>
    <s v="CUST0355"/>
    <s v="ACC00488"/>
    <s v="Rebecca Doyle"/>
    <s v="Female"/>
    <n v="30"/>
    <x v="1"/>
    <x v="0"/>
    <s v="Teacher"/>
    <d v="2020-01-17T00:00:00"/>
    <x v="4"/>
    <x v="131"/>
    <n v="112447"/>
    <s v="Medium"/>
    <x v="1"/>
    <x v="0"/>
    <d v="2017-10-15T00:00:00"/>
    <n v="297647"/>
    <n v="740"/>
    <x v="3"/>
    <n v="0"/>
    <x v="0"/>
  </r>
  <r>
    <s v="CUST0395"/>
    <s v="ACC00356"/>
    <s v="Patricia Bush"/>
    <s v="Male"/>
    <n v="31"/>
    <x v="1"/>
    <x v="3"/>
    <s v="Banker"/>
    <d v="2024-03-21T00:00:00"/>
    <x v="7"/>
    <x v="270"/>
    <n v="49426"/>
    <s v="Low"/>
    <x v="1"/>
    <x v="1"/>
    <d v="2023-06-03T00:00:00"/>
    <n v="123099"/>
    <n v="405"/>
    <x v="1"/>
    <n v="0"/>
    <x v="0"/>
  </r>
  <r>
    <s v="CUST0395"/>
    <s v="ACC00400"/>
    <s v="Patricia Bush"/>
    <s v="Male"/>
    <n v="31"/>
    <x v="1"/>
    <x v="3"/>
    <s v="Banker"/>
    <d v="2024-03-21T00:00:00"/>
    <x v="7"/>
    <x v="270"/>
    <n v="49426"/>
    <s v="Low"/>
    <x v="1"/>
    <x v="0"/>
    <d v="2015-09-19T00:00:00"/>
    <n v="477697"/>
    <n v="398"/>
    <x v="1"/>
    <n v="0"/>
    <x v="0"/>
  </r>
  <r>
    <s v="CUST0375"/>
    <s v="ACC00358"/>
    <s v="Paul Stephens"/>
    <s v="Male"/>
    <n v="61"/>
    <x v="3"/>
    <x v="2"/>
    <s v="Engineer"/>
    <d v="2022-08-25T00:00:00"/>
    <x v="5"/>
    <x v="271"/>
    <n v="45963"/>
    <s v="Low"/>
    <x v="1"/>
    <x v="1"/>
    <d v="2016-12-21T00:00:00"/>
    <n v="428956"/>
    <n v="395"/>
    <x v="1"/>
    <n v="0"/>
    <x v="0"/>
  </r>
  <r>
    <s v="CUST0375"/>
    <s v="ACC00363"/>
    <s v="Paul Stephens"/>
    <s v="Male"/>
    <n v="61"/>
    <x v="3"/>
    <x v="2"/>
    <s v="Engineer"/>
    <d v="2022-08-25T00:00:00"/>
    <x v="5"/>
    <x v="271"/>
    <n v="45963"/>
    <s v="Low"/>
    <x v="1"/>
    <x v="1"/>
    <d v="2017-05-07T00:00:00"/>
    <n v="279518"/>
    <n v="753"/>
    <x v="3"/>
    <n v="155953"/>
    <x v="2"/>
  </r>
  <r>
    <s v="CUST0412"/>
    <s v="ACC00369"/>
    <s v="Jackie Bell"/>
    <s v="Female"/>
    <n v="55"/>
    <x v="0"/>
    <x v="1"/>
    <s v="Doctor"/>
    <d v="2024-11-12T00:00:00"/>
    <x v="7"/>
    <x v="272"/>
    <n v="46916"/>
    <s v="Low"/>
    <x v="0"/>
    <x v="2"/>
    <d v="2015-11-26T00:00:00"/>
    <n v="197097"/>
    <n v="692"/>
    <x v="0"/>
    <n v="96288"/>
    <x v="0"/>
  </r>
  <r>
    <s v="CUST0377"/>
    <s v="ACC00399"/>
    <s v="Ashley Hayes"/>
    <s v="Female"/>
    <n v="49"/>
    <x v="0"/>
    <x v="1"/>
    <s v="Trader"/>
    <d v="2022-12-23T00:00:00"/>
    <x v="5"/>
    <x v="273"/>
    <n v="190515"/>
    <s v="High"/>
    <x v="1"/>
    <x v="3"/>
    <d v="2023-12-08T00:00:00"/>
    <n v="315097"/>
    <n v="347"/>
    <x v="1"/>
    <n v="0"/>
    <x v="1"/>
  </r>
  <r>
    <s v="CUST0404"/>
    <s v="ACC00382"/>
    <s v="Jessica Lee"/>
    <s v="Male"/>
    <n v="40"/>
    <x v="1"/>
    <x v="3"/>
    <s v="Student"/>
    <d v="2021-03-13T00:00:00"/>
    <x v="3"/>
    <x v="274"/>
    <n v="77056"/>
    <s v="Medium"/>
    <x v="1"/>
    <x v="1"/>
    <d v="2019-03-08T00:00:00"/>
    <n v="454151"/>
    <n v="346"/>
    <x v="1"/>
    <n v="0"/>
    <x v="0"/>
  </r>
  <r>
    <s v="CUST0382"/>
    <s v="ACC00385"/>
    <s v="Wendy Hodge"/>
    <s v="Female"/>
    <n v="71"/>
    <x v="3"/>
    <x v="1"/>
    <s v="Engineer"/>
    <d v="2020-06-13T00:00:00"/>
    <x v="4"/>
    <x v="275"/>
    <n v="100818"/>
    <s v="Medium"/>
    <x v="1"/>
    <x v="3"/>
    <d v="2017-09-05T00:00:00"/>
    <n v="300856"/>
    <n v="580"/>
    <x v="2"/>
    <n v="0"/>
    <x v="0"/>
  </r>
  <r>
    <s v="CUST0418"/>
    <s v="ACC00383"/>
    <s v="Cameron Cox"/>
    <s v="Female"/>
    <n v="45"/>
    <x v="0"/>
    <x v="0"/>
    <s v="Retired"/>
    <d v="2018-11-28T00:00:00"/>
    <x v="6"/>
    <x v="276"/>
    <n v="116059"/>
    <s v="Medium"/>
    <x v="1"/>
    <x v="0"/>
    <d v="2023-11-29T00:00:00"/>
    <n v="16999"/>
    <n v="555"/>
    <x v="1"/>
    <n v="378957"/>
    <x v="0"/>
  </r>
  <r>
    <s v="CUST0418"/>
    <s v="ACC00449"/>
    <s v="Cameron Cox"/>
    <s v="Female"/>
    <n v="45"/>
    <x v="0"/>
    <x v="0"/>
    <s v="Retired"/>
    <d v="2018-11-28T00:00:00"/>
    <x v="6"/>
    <x v="276"/>
    <n v="116059"/>
    <s v="Medium"/>
    <x v="1"/>
    <x v="1"/>
    <d v="2020-02-16T00:00:00"/>
    <n v="409115"/>
    <n v="760"/>
    <x v="3"/>
    <n v="419336"/>
    <x v="2"/>
  </r>
  <r>
    <s v="CUST0477"/>
    <s v="ACC00390"/>
    <s v="Deborah King"/>
    <s v="Male"/>
    <n v="38"/>
    <x v="1"/>
    <x v="1"/>
    <s v="Banker"/>
    <d v="2015-11-17T00:00:00"/>
    <x v="10"/>
    <x v="277"/>
    <n v="176683"/>
    <s v="High"/>
    <x v="1"/>
    <x v="0"/>
    <d v="2016-01-04T00:00:00"/>
    <n v="198237"/>
    <n v="324"/>
    <x v="1"/>
    <n v="349912"/>
    <x v="1"/>
  </r>
  <r>
    <s v="CUST0434"/>
    <s v="ACC00394"/>
    <s v="Elizabeth Sanford"/>
    <s v="Female"/>
    <n v="37"/>
    <x v="1"/>
    <x v="1"/>
    <s v="Teacher"/>
    <d v="2019-05-14T00:00:00"/>
    <x v="2"/>
    <x v="278"/>
    <n v="141750"/>
    <s v="High"/>
    <x v="1"/>
    <x v="0"/>
    <d v="2016-05-20T00:00:00"/>
    <n v="436523"/>
    <n v="674"/>
    <x v="0"/>
    <n v="0"/>
    <x v="0"/>
  </r>
  <r>
    <s v="CUST0428"/>
    <s v="ACC00398"/>
    <s v="Michelle Lyons"/>
    <s v="Female"/>
    <n v="44"/>
    <x v="1"/>
    <x v="0"/>
    <s v="Student"/>
    <d v="2019-06-01T00:00:00"/>
    <x v="2"/>
    <x v="279"/>
    <n v="84674"/>
    <s v="Medium"/>
    <x v="2"/>
    <x v="1"/>
    <d v="2025-03-16T00:00:00"/>
    <n v="289360"/>
    <n v="415"/>
    <x v="1"/>
    <n v="0"/>
    <x v="1"/>
  </r>
  <r>
    <s v="CUST0450"/>
    <s v="ACC00401"/>
    <s v="Seth Kent"/>
    <s v="Female"/>
    <n v="73"/>
    <x v="3"/>
    <x v="3"/>
    <s v="Teacher"/>
    <d v="2024-07-13T00:00:00"/>
    <x v="7"/>
    <x v="280"/>
    <n v="127803"/>
    <s v="Medium"/>
    <x v="1"/>
    <x v="3"/>
    <d v="2017-10-01T00:00:00"/>
    <n v="453809"/>
    <n v="758"/>
    <x v="3"/>
    <n v="0"/>
    <x v="0"/>
  </r>
  <r>
    <s v="CUST0431"/>
    <s v="ACC00402"/>
    <s v="Dana Robinson"/>
    <s v="Male"/>
    <n v="26"/>
    <x v="2"/>
    <x v="0"/>
    <s v="Trader"/>
    <d v="2023-07-26T00:00:00"/>
    <x v="1"/>
    <x v="281"/>
    <n v="106475"/>
    <s v="Medium"/>
    <x v="1"/>
    <x v="1"/>
    <d v="2024-02-18T00:00:00"/>
    <n v="465291"/>
    <n v="822"/>
    <x v="4"/>
    <n v="0"/>
    <x v="2"/>
  </r>
  <r>
    <s v="CUST0431"/>
    <s v="ACC00428"/>
    <s v="Dana Robinson"/>
    <s v="Male"/>
    <n v="26"/>
    <x v="2"/>
    <x v="0"/>
    <s v="Trader"/>
    <d v="2023-07-26T00:00:00"/>
    <x v="1"/>
    <x v="281"/>
    <n v="106475"/>
    <s v="Medium"/>
    <x v="1"/>
    <x v="0"/>
    <d v="2025-05-21T00:00:00"/>
    <n v="376588"/>
    <n v="311"/>
    <x v="1"/>
    <n v="0"/>
    <x v="0"/>
  </r>
  <r>
    <s v="CUST0457"/>
    <s v="ACC00405"/>
    <s v="Edward Bell"/>
    <s v="Female"/>
    <n v="50"/>
    <x v="0"/>
    <x v="3"/>
    <s v="Retired"/>
    <d v="2016-02-16T00:00:00"/>
    <x v="9"/>
    <x v="282"/>
    <n v="99671"/>
    <s v="Medium"/>
    <x v="1"/>
    <x v="3"/>
    <d v="2023-09-04T00:00:00"/>
    <n v="398102"/>
    <n v="802"/>
    <x v="4"/>
    <n v="0"/>
    <x v="0"/>
  </r>
  <r>
    <s v="CUST0407"/>
    <s v="ACC00498"/>
    <s v="Tammy Jackson"/>
    <s v="Female"/>
    <n v="29"/>
    <x v="1"/>
    <x v="2"/>
    <s v="Student"/>
    <d v="2017-12-28T00:00:00"/>
    <x v="0"/>
    <x v="283"/>
    <n v="177795"/>
    <s v="High"/>
    <x v="2"/>
    <x v="3"/>
    <d v="2021-08-15T00:00:00"/>
    <n v="485833"/>
    <n v="615"/>
    <x v="2"/>
    <n v="419627"/>
    <x v="0"/>
  </r>
  <r>
    <s v="CUST0470"/>
    <s v="ACC00409"/>
    <s v="Jason Garcia"/>
    <s v="Female"/>
    <n v="66"/>
    <x v="3"/>
    <x v="1"/>
    <s v="Student"/>
    <d v="2021-05-29T00:00:00"/>
    <x v="3"/>
    <x v="284"/>
    <n v="152130"/>
    <s v="High"/>
    <x v="1"/>
    <x v="1"/>
    <d v="2020-12-13T00:00:00"/>
    <n v="243056"/>
    <n v="353"/>
    <x v="1"/>
    <n v="0"/>
    <x v="0"/>
  </r>
  <r>
    <s v="CUST0474"/>
    <s v="ACC00414"/>
    <s v="Gregory Bauer"/>
    <s v="Female"/>
    <n v="58"/>
    <x v="0"/>
    <x v="2"/>
    <s v="Engineer"/>
    <d v="2019-09-11T00:00:00"/>
    <x v="2"/>
    <x v="220"/>
    <n v="160272"/>
    <s v="High"/>
    <x v="0"/>
    <x v="1"/>
    <d v="2023-07-28T00:00:00"/>
    <n v="102638"/>
    <n v="486"/>
    <x v="1"/>
    <n v="485721"/>
    <x v="0"/>
  </r>
  <r>
    <s v="CUST0496"/>
    <s v="ACC00415"/>
    <s v="Morgan Anderson"/>
    <s v="Male"/>
    <n v="34"/>
    <x v="1"/>
    <x v="0"/>
    <s v="Student"/>
    <d v="2017-07-04T00:00:00"/>
    <x v="0"/>
    <x v="285"/>
    <n v="42911"/>
    <s v="Low"/>
    <x v="0"/>
    <x v="1"/>
    <d v="2022-06-16T00:00:00"/>
    <n v="184514"/>
    <n v="561"/>
    <x v="1"/>
    <n v="0"/>
    <x v="3"/>
  </r>
  <r>
    <s v="CUST0469"/>
    <s v="ACC00422"/>
    <s v="Michael Davies"/>
    <s v="Male"/>
    <n v="44"/>
    <x v="1"/>
    <x v="2"/>
    <s v="Retired"/>
    <d v="2017-08-07T00:00:00"/>
    <x v="0"/>
    <x v="286"/>
    <n v="190102"/>
    <s v="High"/>
    <x v="2"/>
    <x v="0"/>
    <d v="2022-04-07T00:00:00"/>
    <n v="441004"/>
    <n v="375"/>
    <x v="1"/>
    <n v="0"/>
    <x v="0"/>
  </r>
  <r>
    <s v="CUST0437"/>
    <s v="ACC00479"/>
    <s v="Scott Crosby"/>
    <s v="Female"/>
    <n v="65"/>
    <x v="3"/>
    <x v="3"/>
    <s v="Doctor"/>
    <d v="2023-12-21T00:00:00"/>
    <x v="1"/>
    <x v="287"/>
    <n v="53397"/>
    <s v="Low"/>
    <x v="0"/>
    <x v="1"/>
    <d v="2024-01-12T00:00:00"/>
    <n v="422117"/>
    <n v="577"/>
    <x v="1"/>
    <n v="0"/>
    <x v="0"/>
  </r>
  <r>
    <s v="CUST0443"/>
    <s v="ACC00499"/>
    <s v="Daniel Crawford"/>
    <s v="Male"/>
    <n v="35"/>
    <x v="1"/>
    <x v="1"/>
    <s v="Retired"/>
    <d v="2018-07-04T00:00:00"/>
    <x v="6"/>
    <x v="288"/>
    <n v="39816"/>
    <s v="Low"/>
    <x v="0"/>
    <x v="1"/>
    <d v="2020-06-11T00:00:00"/>
    <n v="443842"/>
    <n v="443"/>
    <x v="1"/>
    <n v="0"/>
    <x v="0"/>
  </r>
  <r>
    <s v="CUST0483"/>
    <s v="ACC00451"/>
    <s v="Rita Leonard"/>
    <s v="Male"/>
    <n v="22"/>
    <x v="2"/>
    <x v="0"/>
    <s v="Teacher"/>
    <d v="2024-08-08T00:00:00"/>
    <x v="7"/>
    <x v="289"/>
    <n v="65272"/>
    <s v="Low"/>
    <x v="0"/>
    <x v="2"/>
    <d v="2024-01-27T00:00:00"/>
    <n v="90880"/>
    <n v="363"/>
    <x v="1"/>
    <n v="63655"/>
    <x v="0"/>
  </r>
  <r>
    <s v="CUST0460"/>
    <s v="ACC00484"/>
    <s v="Katherine Cohen"/>
    <s v="Male"/>
    <n v="35"/>
    <x v="1"/>
    <x v="3"/>
    <s v="Teacher"/>
    <d v="2021-06-10T00:00:00"/>
    <x v="3"/>
    <x v="290"/>
    <n v="169381"/>
    <s v="High"/>
    <x v="1"/>
    <x v="3"/>
    <d v="2024-01-25T00:00:00"/>
    <n v="393184"/>
    <n v="777"/>
    <x v="3"/>
    <n v="143266"/>
    <x v="0"/>
  </r>
  <r>
    <s v="CUST0484"/>
    <s v="ACC00483"/>
    <s v="John Madden"/>
    <s v="Female"/>
    <n v="48"/>
    <x v="0"/>
    <x v="0"/>
    <s v="Student"/>
    <d v="2023-06-10T00:00:00"/>
    <x v="1"/>
    <x v="291"/>
    <n v="109393"/>
    <s v="Medium"/>
    <x v="1"/>
    <x v="1"/>
    <d v="2025-05-30T00:00:00"/>
    <n v="461130"/>
    <n v="789"/>
    <x v="3"/>
    <n v="0"/>
    <x v="0"/>
  </r>
  <r>
    <s v="CUST0376"/>
    <s v="ACC00502"/>
    <s v="Angela Jackson"/>
    <s v="Female"/>
    <n v="62"/>
    <x v="3"/>
    <x v="1"/>
    <s v="Retired"/>
    <d v="2015-10-07T00:00:00"/>
    <x v="10"/>
    <x v="192"/>
    <n v="121757"/>
    <s v="Medium"/>
    <x v="1"/>
    <x v="2"/>
    <d v="2022-09-14T00:00:00"/>
    <n v="177826"/>
    <n v="722"/>
    <x v="0"/>
    <n v="0"/>
    <x v="0"/>
  </r>
  <r>
    <s v="CUST0046"/>
    <s v="ACC00503"/>
    <s v="Keith Watson"/>
    <s v="Female"/>
    <n v="37"/>
    <x v="1"/>
    <x v="3"/>
    <s v="Retired"/>
    <d v="2021-05-07T00:00:00"/>
    <x v="3"/>
    <x v="292"/>
    <n v="27906"/>
    <s v="Low"/>
    <x v="1"/>
    <x v="3"/>
    <d v="2024-02-13T00:00:00"/>
    <n v="290446"/>
    <n v="544"/>
    <x v="1"/>
    <n v="0"/>
    <x v="0"/>
  </r>
  <r>
    <s v="CUST0038"/>
    <s v="ACC00504"/>
    <s v="Adam Garcia"/>
    <s v="Male"/>
    <n v="67"/>
    <x v="3"/>
    <x v="2"/>
    <s v="Student"/>
    <d v="2021-11-07T00:00:00"/>
    <x v="3"/>
    <x v="293"/>
    <n v="46172"/>
    <s v="Low"/>
    <x v="0"/>
    <x v="2"/>
    <d v="2019-12-25T00:00:00"/>
    <n v="322959"/>
    <n v="406"/>
    <x v="1"/>
    <n v="171280"/>
    <x v="0"/>
  </r>
  <r>
    <s v="CUST0142"/>
    <s v="ACC00505"/>
    <s v="Charles Chapman"/>
    <s v="Male"/>
    <n v="66"/>
    <x v="3"/>
    <x v="1"/>
    <s v="Retired"/>
    <d v="2024-09-25T00:00:00"/>
    <x v="7"/>
    <x v="165"/>
    <n v="83852"/>
    <s v="Medium"/>
    <x v="1"/>
    <x v="3"/>
    <d v="2021-07-16T00:00:00"/>
    <n v="252156"/>
    <n v="387"/>
    <x v="1"/>
    <n v="0"/>
    <x v="0"/>
  </r>
  <r>
    <s v="CUST0100"/>
    <s v="ACC00506"/>
    <s v="Leslie Buchanan"/>
    <s v="Male"/>
    <n v="36"/>
    <x v="1"/>
    <x v="2"/>
    <s v="Engineer"/>
    <d v="2023-01-16T00:00:00"/>
    <x v="1"/>
    <x v="129"/>
    <n v="119616"/>
    <s v="Medium"/>
    <x v="0"/>
    <x v="1"/>
    <d v="2021-01-04T00:00:00"/>
    <n v="477964"/>
    <n v="428"/>
    <x v="1"/>
    <n v="0"/>
    <x v="0"/>
  </r>
  <r>
    <s v="CUST0328"/>
    <s v="ACC00507"/>
    <s v="Brenda Brown"/>
    <s v="Male"/>
    <n v="55"/>
    <x v="0"/>
    <x v="3"/>
    <s v="Trader"/>
    <d v="2021-09-22T00:00:00"/>
    <x v="3"/>
    <x v="294"/>
    <n v="197235"/>
    <s v="High"/>
    <x v="1"/>
    <x v="2"/>
    <d v="2023-06-06T00:00:00"/>
    <n v="325488"/>
    <n v="640"/>
    <x v="2"/>
    <n v="0"/>
    <x v="0"/>
  </r>
  <r>
    <s v="CUST0190"/>
    <s v="ACC00508"/>
    <s v="Cesar Silva"/>
    <s v="Female"/>
    <n v="68"/>
    <x v="3"/>
    <x v="1"/>
    <s v="Teacher"/>
    <d v="2017-09-30T00:00:00"/>
    <x v="0"/>
    <x v="202"/>
    <n v="109186"/>
    <s v="Medium"/>
    <x v="1"/>
    <x v="2"/>
    <d v="2025-07-03T00:00:00"/>
    <n v="428834"/>
    <n v="303"/>
    <x v="1"/>
    <n v="260230"/>
    <x v="0"/>
  </r>
  <r>
    <s v="CUST0035"/>
    <s v="ACC00509"/>
    <s v="Kevin Marshall"/>
    <s v="Female"/>
    <n v="72"/>
    <x v="3"/>
    <x v="2"/>
    <s v="Banker"/>
    <d v="2016-06-12T00:00:00"/>
    <x v="9"/>
    <x v="49"/>
    <n v="96898"/>
    <s v="Medium"/>
    <x v="0"/>
    <x v="1"/>
    <d v="2023-07-26T00:00:00"/>
    <n v="373747"/>
    <n v="626"/>
    <x v="2"/>
    <n v="0"/>
    <x v="0"/>
  </r>
  <r>
    <s v="CUST0147"/>
    <s v="ACC00510"/>
    <s v="Christina Wood"/>
    <s v="Male"/>
    <n v="29"/>
    <x v="1"/>
    <x v="3"/>
    <s v="Doctor"/>
    <d v="2020-02-27T00:00:00"/>
    <x v="4"/>
    <x v="295"/>
    <n v="193279"/>
    <s v="High"/>
    <x v="2"/>
    <x v="3"/>
    <d v="2018-06-15T00:00:00"/>
    <n v="469450"/>
    <n v="709"/>
    <x v="0"/>
    <n v="0"/>
    <x v="0"/>
  </r>
  <r>
    <s v="CUST0030"/>
    <s v="ACC00511"/>
    <s v="Angela Robinson"/>
    <s v="Female"/>
    <n v="71"/>
    <x v="3"/>
    <x v="3"/>
    <s v="Student"/>
    <d v="2020-10-05T00:00:00"/>
    <x v="4"/>
    <x v="14"/>
    <n v="165271"/>
    <s v="High"/>
    <x v="1"/>
    <x v="1"/>
    <d v="2016-01-08T00:00:00"/>
    <n v="323258"/>
    <n v="605"/>
    <x v="2"/>
    <n v="0"/>
    <x v="0"/>
  </r>
  <r>
    <s v="CUST0334"/>
    <s v="ACC00512"/>
    <s v="Beth Mccoy"/>
    <s v="Male"/>
    <n v="39"/>
    <x v="1"/>
    <x v="1"/>
    <s v="Student"/>
    <d v="2019-01-29T00:00:00"/>
    <x v="2"/>
    <x v="296"/>
    <n v="118818"/>
    <s v="Medium"/>
    <x v="0"/>
    <x v="0"/>
    <d v="2019-11-23T00:00:00"/>
    <n v="248724"/>
    <n v="524"/>
    <x v="1"/>
    <n v="0"/>
    <x v="0"/>
  </r>
  <r>
    <s v="CUST0084"/>
    <s v="ACC00513"/>
    <s v="Carlos Watson"/>
    <s v="Female"/>
    <n v="49"/>
    <x v="0"/>
    <x v="3"/>
    <s v="Banker"/>
    <d v="2021-04-02T00:00:00"/>
    <x v="3"/>
    <x v="111"/>
    <n v="154092"/>
    <s v="High"/>
    <x v="2"/>
    <x v="1"/>
    <d v="2024-11-01T00:00:00"/>
    <n v="201202"/>
    <n v="647"/>
    <x v="2"/>
    <n v="0"/>
    <x v="0"/>
  </r>
  <r>
    <s v="CUST0369"/>
    <s v="ACC00514"/>
    <s v="Heather Davis"/>
    <s v="Male"/>
    <n v="42"/>
    <x v="1"/>
    <x v="0"/>
    <s v="Engineer"/>
    <d v="2023-01-28T00:00:00"/>
    <x v="1"/>
    <x v="70"/>
    <n v="181099"/>
    <s v="High"/>
    <x v="0"/>
    <x v="0"/>
    <d v="2024-11-25T00:00:00"/>
    <n v="25525"/>
    <n v="620"/>
    <x v="2"/>
    <n v="0"/>
    <x v="0"/>
  </r>
  <r>
    <s v="CUST0281"/>
    <s v="ACC00515"/>
    <s v="Dustin Zhang"/>
    <s v="Female"/>
    <n v="64"/>
    <x v="3"/>
    <x v="2"/>
    <s v="Student"/>
    <d v="2021-10-31T00:00:00"/>
    <x v="3"/>
    <x v="253"/>
    <n v="145816"/>
    <s v="High"/>
    <x v="2"/>
    <x v="2"/>
    <d v="2025-05-26T00:00:00"/>
    <n v="79818"/>
    <n v="480"/>
    <x v="1"/>
    <n v="0"/>
    <x v="0"/>
  </r>
  <r>
    <s v="CUST0424"/>
    <s v="ACC00516"/>
    <s v="Matthew Martinez"/>
    <s v="Male"/>
    <n v="45"/>
    <x v="0"/>
    <x v="3"/>
    <s v="Doctor"/>
    <d v="2020-10-07T00:00:00"/>
    <x v="4"/>
    <x v="230"/>
    <n v="121520"/>
    <s v="Medium"/>
    <x v="0"/>
    <x v="0"/>
    <d v="2019-02-18T00:00:00"/>
    <n v="114589"/>
    <n v="685"/>
    <x v="0"/>
    <n v="210827"/>
    <x v="3"/>
  </r>
  <r>
    <s v="CUST0344"/>
    <s v="ACC00517"/>
    <s v="Christian Mendez"/>
    <s v="Female"/>
    <n v="36"/>
    <x v="1"/>
    <x v="2"/>
    <s v="Engineer"/>
    <d v="2017-11-13T00:00:00"/>
    <x v="0"/>
    <x v="228"/>
    <n v="99148"/>
    <s v="Medium"/>
    <x v="2"/>
    <x v="0"/>
    <d v="2019-01-16T00:00:00"/>
    <n v="145406"/>
    <n v="407"/>
    <x v="1"/>
    <n v="0"/>
    <x v="0"/>
  </r>
  <r>
    <s v="CUST0270"/>
    <s v="ACC00518"/>
    <s v="Sarah Taylor"/>
    <s v="Male"/>
    <n v="29"/>
    <x v="1"/>
    <x v="0"/>
    <s v="Student"/>
    <d v="2017-01-02T00:00:00"/>
    <x v="0"/>
    <x v="154"/>
    <n v="172876"/>
    <s v="High"/>
    <x v="1"/>
    <x v="1"/>
    <d v="2017-09-08T00:00:00"/>
    <n v="94715"/>
    <n v="830"/>
    <x v="4"/>
    <n v="0"/>
    <x v="0"/>
  </r>
  <r>
    <s v="CUST0154"/>
    <s v="ACC00519"/>
    <s v="Kristen Ross"/>
    <s v="Male"/>
    <n v="53"/>
    <x v="0"/>
    <x v="1"/>
    <s v="Trader"/>
    <d v="2015-10-03T00:00:00"/>
    <x v="10"/>
    <x v="176"/>
    <n v="164579"/>
    <s v="High"/>
    <x v="2"/>
    <x v="2"/>
    <d v="2016-05-20T00:00:00"/>
    <n v="193839"/>
    <n v="709"/>
    <x v="0"/>
    <n v="0"/>
    <x v="0"/>
  </r>
  <r>
    <s v="CUST0102"/>
    <s v="ACC00520"/>
    <s v="Patrick Moore"/>
    <s v="Female"/>
    <n v="72"/>
    <x v="3"/>
    <x v="3"/>
    <s v="Student"/>
    <d v="2021-12-30T00:00:00"/>
    <x v="3"/>
    <x v="132"/>
    <n v="106231"/>
    <s v="Medium"/>
    <x v="1"/>
    <x v="1"/>
    <d v="2018-06-12T00:00:00"/>
    <n v="268788"/>
    <n v="595"/>
    <x v="2"/>
    <n v="0"/>
    <x v="3"/>
  </r>
  <r>
    <s v="CUST0215"/>
    <s v="ACC00521"/>
    <s v="Cassandra Mcbride"/>
    <s v="Male"/>
    <n v="43"/>
    <x v="1"/>
    <x v="1"/>
    <s v="Trader"/>
    <d v="2020-02-16T00:00:00"/>
    <x v="4"/>
    <x v="297"/>
    <n v="171054"/>
    <s v="High"/>
    <x v="1"/>
    <x v="0"/>
    <d v="2021-08-09T00:00:00"/>
    <n v="363298"/>
    <n v="470"/>
    <x v="1"/>
    <n v="0"/>
    <x v="0"/>
  </r>
  <r>
    <s v="CUST0150"/>
    <s v="ACC00522"/>
    <s v="Abigail Allen"/>
    <s v="Female"/>
    <n v="43"/>
    <x v="1"/>
    <x v="3"/>
    <s v="Trader"/>
    <d v="2020-07-03T00:00:00"/>
    <x v="4"/>
    <x v="173"/>
    <n v="21435"/>
    <s v="Low"/>
    <x v="1"/>
    <x v="3"/>
    <d v="2023-04-19T00:00:00"/>
    <n v="426149"/>
    <n v="630"/>
    <x v="2"/>
    <n v="0"/>
    <x v="0"/>
  </r>
  <r>
    <s v="CUST0432"/>
    <s v="ACC00523"/>
    <s v="Zachary Vasquez"/>
    <s v="Female"/>
    <n v="50"/>
    <x v="0"/>
    <x v="2"/>
    <s v="Trader"/>
    <d v="2017-06-01T00:00:00"/>
    <x v="0"/>
    <x v="24"/>
    <n v="81367"/>
    <s v="Medium"/>
    <x v="0"/>
    <x v="2"/>
    <d v="2022-01-11T00:00:00"/>
    <n v="257438"/>
    <n v="792"/>
    <x v="3"/>
    <n v="0"/>
    <x v="1"/>
  </r>
  <r>
    <s v="CUST0083"/>
    <s v="ACC00524"/>
    <s v="Joseph Burns"/>
    <s v="Male"/>
    <n v="62"/>
    <x v="3"/>
    <x v="1"/>
    <s v="Student"/>
    <d v="2021-04-16T00:00:00"/>
    <x v="3"/>
    <x v="298"/>
    <n v="160975"/>
    <s v="High"/>
    <x v="1"/>
    <x v="0"/>
    <d v="2023-05-16T00:00:00"/>
    <n v="305613"/>
    <n v="494"/>
    <x v="1"/>
    <n v="0"/>
    <x v="0"/>
  </r>
  <r>
    <s v="CUST0110"/>
    <s v="ACC00525"/>
    <s v="Jose Decker"/>
    <s v="Male"/>
    <n v="70"/>
    <x v="3"/>
    <x v="2"/>
    <s v="Banker"/>
    <d v="2018-06-05T00:00:00"/>
    <x v="6"/>
    <x v="299"/>
    <n v="106206"/>
    <s v="Medium"/>
    <x v="1"/>
    <x v="2"/>
    <d v="2015-11-17T00:00:00"/>
    <n v="426903"/>
    <n v="311"/>
    <x v="1"/>
    <n v="0"/>
    <x v="0"/>
  </r>
  <r>
    <s v="CUST0435"/>
    <s v="ACC00526"/>
    <s v="Jennifer Jenkins"/>
    <s v="Female"/>
    <n v="30"/>
    <x v="1"/>
    <x v="1"/>
    <s v="Doctor"/>
    <d v="2022-12-01T00:00:00"/>
    <x v="5"/>
    <x v="206"/>
    <n v="138154"/>
    <s v="Medium"/>
    <x v="1"/>
    <x v="2"/>
    <d v="2018-08-17T00:00:00"/>
    <n v="368753"/>
    <n v="494"/>
    <x v="1"/>
    <n v="0"/>
    <x v="0"/>
  </r>
  <r>
    <s v="CUST0387"/>
    <s v="ACC00527"/>
    <s v="Robert Barnes"/>
    <s v="Male"/>
    <n v="52"/>
    <x v="0"/>
    <x v="3"/>
    <s v="Engineer"/>
    <d v="2019-04-22T00:00:00"/>
    <x v="2"/>
    <x v="254"/>
    <n v="51585"/>
    <s v="Low"/>
    <x v="0"/>
    <x v="2"/>
    <d v="2017-04-14T00:00:00"/>
    <n v="445872"/>
    <n v="789"/>
    <x v="3"/>
    <n v="0"/>
    <x v="0"/>
  </r>
  <r>
    <s v="CUST0426"/>
    <s v="ACC00528"/>
    <s v="Michele Wood"/>
    <s v="Male"/>
    <n v="58"/>
    <x v="0"/>
    <x v="2"/>
    <s v="Retired"/>
    <d v="2017-01-12T00:00:00"/>
    <x v="0"/>
    <x v="100"/>
    <n v="81272"/>
    <s v="Medium"/>
    <x v="1"/>
    <x v="0"/>
    <d v="2018-03-09T00:00:00"/>
    <n v="410591"/>
    <n v="481"/>
    <x v="1"/>
    <n v="0"/>
    <x v="0"/>
  </r>
  <r>
    <s v="CUST0275"/>
    <s v="ACC00529"/>
    <s v="Todd Moore"/>
    <s v="Male"/>
    <n v="24"/>
    <x v="2"/>
    <x v="3"/>
    <s v="Teacher"/>
    <d v="2019-11-06T00:00:00"/>
    <x v="2"/>
    <x v="248"/>
    <n v="50087"/>
    <s v="Low"/>
    <x v="0"/>
    <x v="1"/>
    <d v="2025-07-22T00:00:00"/>
    <n v="327350"/>
    <n v="615"/>
    <x v="2"/>
    <n v="0"/>
    <x v="0"/>
  </r>
  <r>
    <s v="CUST0201"/>
    <s v="ACC00530"/>
    <s v="Gary Johnson"/>
    <s v="Male"/>
    <n v="46"/>
    <x v="0"/>
    <x v="0"/>
    <s v="Teacher"/>
    <d v="2017-08-24T00:00:00"/>
    <x v="0"/>
    <x v="209"/>
    <n v="72930"/>
    <s v="Low"/>
    <x v="2"/>
    <x v="1"/>
    <d v="2016-11-15T00:00:00"/>
    <n v="358606"/>
    <n v="329"/>
    <x v="1"/>
    <n v="0"/>
    <x v="0"/>
  </r>
  <r>
    <s v="CUST0284"/>
    <s v="ACC00531"/>
    <s v="Robert Clay"/>
    <s v="Male"/>
    <n v="22"/>
    <x v="2"/>
    <x v="1"/>
    <s v="Trader"/>
    <d v="2015-10-28T00:00:00"/>
    <x v="10"/>
    <x v="249"/>
    <n v="68787"/>
    <s v="Low"/>
    <x v="1"/>
    <x v="1"/>
    <d v="2022-02-07T00:00:00"/>
    <n v="167679"/>
    <n v="395"/>
    <x v="1"/>
    <n v="0"/>
    <x v="0"/>
  </r>
  <r>
    <s v="CUST0468"/>
    <s v="ACC00532"/>
    <s v="Matthew Kane"/>
    <s v="Male"/>
    <n v="39"/>
    <x v="1"/>
    <x v="0"/>
    <s v="Doctor"/>
    <d v="2024-01-28T00:00:00"/>
    <x v="7"/>
    <x v="110"/>
    <n v="178492"/>
    <s v="High"/>
    <x v="1"/>
    <x v="0"/>
    <d v="2019-08-21T00:00:00"/>
    <n v="83178"/>
    <n v="680"/>
    <x v="0"/>
    <n v="0"/>
    <x v="0"/>
  </r>
  <r>
    <s v="CUST0173"/>
    <s v="ACC00533"/>
    <s v="David Wilson"/>
    <s v="Male"/>
    <n v="21"/>
    <x v="2"/>
    <x v="3"/>
    <s v="Trader"/>
    <d v="2021-11-01T00:00:00"/>
    <x v="3"/>
    <x v="26"/>
    <n v="172499"/>
    <s v="High"/>
    <x v="0"/>
    <x v="1"/>
    <d v="2017-11-19T00:00:00"/>
    <n v="417209"/>
    <n v="743"/>
    <x v="3"/>
    <n v="0"/>
    <x v="0"/>
  </r>
  <r>
    <s v="CUST0327"/>
    <s v="ACC00534"/>
    <s v="Raymond Smith"/>
    <s v="Male"/>
    <n v="54"/>
    <x v="0"/>
    <x v="0"/>
    <s v="Retired"/>
    <d v="2023-07-20T00:00:00"/>
    <x v="1"/>
    <x v="208"/>
    <n v="177702"/>
    <s v="High"/>
    <x v="1"/>
    <x v="0"/>
    <d v="2018-09-10T00:00:00"/>
    <n v="175458"/>
    <n v="597"/>
    <x v="2"/>
    <n v="0"/>
    <x v="0"/>
  </r>
  <r>
    <s v="CUST0206"/>
    <s v="ACC00535"/>
    <s v="Daniel Richardson"/>
    <s v="Male"/>
    <n v="19"/>
    <x v="2"/>
    <x v="2"/>
    <s v="Trader"/>
    <d v="2020-03-28T00:00:00"/>
    <x v="4"/>
    <x v="300"/>
    <n v="190286"/>
    <s v="High"/>
    <x v="0"/>
    <x v="1"/>
    <d v="2016-02-28T00:00:00"/>
    <n v="254466"/>
    <n v="660"/>
    <x v="2"/>
    <n v="0"/>
    <x v="0"/>
  </r>
  <r>
    <s v="CUST0063"/>
    <s v="ACC00536"/>
    <s v="Matthew Ruiz"/>
    <s v="Male"/>
    <n v="42"/>
    <x v="1"/>
    <x v="1"/>
    <s v="Engineer"/>
    <d v="2023-04-26T00:00:00"/>
    <x v="1"/>
    <x v="86"/>
    <n v="45931"/>
    <s v="Low"/>
    <x v="1"/>
    <x v="1"/>
    <d v="2015-12-15T00:00:00"/>
    <n v="439503"/>
    <n v="673"/>
    <x v="0"/>
    <n v="0"/>
    <x v="0"/>
  </r>
  <r>
    <s v="CUST0073"/>
    <s v="ACC00537"/>
    <s v="Sarah Brown"/>
    <s v="Male"/>
    <n v="54"/>
    <x v="0"/>
    <x v="1"/>
    <s v="Engineer"/>
    <d v="2020-04-08T00:00:00"/>
    <x v="4"/>
    <x v="301"/>
    <n v="125595"/>
    <s v="Medium"/>
    <x v="0"/>
    <x v="2"/>
    <d v="2021-01-02T00:00:00"/>
    <n v="86724"/>
    <n v="602"/>
    <x v="2"/>
    <n v="0"/>
    <x v="1"/>
  </r>
  <r>
    <s v="CUST0251"/>
    <s v="ACC00538"/>
    <s v="Danny Scott"/>
    <s v="Female"/>
    <n v="29"/>
    <x v="1"/>
    <x v="1"/>
    <s v="Teacher"/>
    <d v="2024-05-10T00:00:00"/>
    <x v="7"/>
    <x v="40"/>
    <n v="124101"/>
    <s v="Medium"/>
    <x v="0"/>
    <x v="0"/>
    <d v="2025-08-19T00:00:00"/>
    <n v="229204"/>
    <n v="720"/>
    <x v="0"/>
    <n v="0"/>
    <x v="0"/>
  </r>
  <r>
    <s v="CUST0124"/>
    <s v="ACC00539"/>
    <s v="David Smith"/>
    <s v="Male"/>
    <n v="56"/>
    <x v="0"/>
    <x v="0"/>
    <s v="Teacher"/>
    <d v="2022-07-10T00:00:00"/>
    <x v="5"/>
    <x v="63"/>
    <n v="173962"/>
    <s v="High"/>
    <x v="1"/>
    <x v="1"/>
    <d v="2016-02-09T00:00:00"/>
    <n v="486524"/>
    <n v="545"/>
    <x v="1"/>
    <n v="0"/>
    <x v="0"/>
  </r>
  <r>
    <s v="CUST0375"/>
    <s v="ACC00540"/>
    <s v="Paul Stephens"/>
    <s v="Male"/>
    <n v="61"/>
    <x v="3"/>
    <x v="2"/>
    <s v="Engineer"/>
    <d v="2022-08-25T00:00:00"/>
    <x v="5"/>
    <x v="271"/>
    <n v="45963"/>
    <s v="Low"/>
    <x v="1"/>
    <x v="2"/>
    <d v="2019-09-20T00:00:00"/>
    <n v="96393"/>
    <n v="536"/>
    <x v="1"/>
    <n v="0"/>
    <x v="0"/>
  </r>
  <r>
    <s v="CUST0121"/>
    <s v="ACC00541"/>
    <s v="Mary Cole"/>
    <s v="Female"/>
    <n v="70"/>
    <x v="3"/>
    <x v="1"/>
    <s v="Banker"/>
    <d v="2023-06-17T00:00:00"/>
    <x v="1"/>
    <x v="302"/>
    <n v="98249"/>
    <s v="Medium"/>
    <x v="0"/>
    <x v="1"/>
    <d v="2017-04-12T00:00:00"/>
    <n v="389458"/>
    <n v="833"/>
    <x v="4"/>
    <n v="0"/>
    <x v="0"/>
  </r>
  <r>
    <s v="CUST0275"/>
    <s v="ACC00542"/>
    <s v="Todd Moore"/>
    <s v="Male"/>
    <n v="24"/>
    <x v="2"/>
    <x v="3"/>
    <s v="Teacher"/>
    <d v="2019-11-06T00:00:00"/>
    <x v="2"/>
    <x v="248"/>
    <n v="50087"/>
    <s v="Low"/>
    <x v="0"/>
    <x v="2"/>
    <d v="2016-03-16T00:00:00"/>
    <n v="76312"/>
    <n v="484"/>
    <x v="1"/>
    <n v="0"/>
    <x v="0"/>
  </r>
  <r>
    <s v="CUST0431"/>
    <s v="ACC00543"/>
    <s v="Dana Robinson"/>
    <s v="Male"/>
    <n v="26"/>
    <x v="2"/>
    <x v="0"/>
    <s v="Trader"/>
    <d v="2023-07-26T00:00:00"/>
    <x v="1"/>
    <x v="281"/>
    <n v="106475"/>
    <s v="Medium"/>
    <x v="1"/>
    <x v="2"/>
    <d v="2024-12-18T00:00:00"/>
    <n v="491587"/>
    <n v="767"/>
    <x v="3"/>
    <n v="0"/>
    <x v="0"/>
  </r>
  <r>
    <s v="CUST0500"/>
    <s v="ACC00544"/>
    <s v="Olivia Barton"/>
    <s v="Female"/>
    <n v="63"/>
    <x v="3"/>
    <x v="3"/>
    <s v="Student"/>
    <d v="2024-07-15T00:00:00"/>
    <x v="7"/>
    <x v="77"/>
    <n v="21969"/>
    <s v="Low"/>
    <x v="0"/>
    <x v="1"/>
    <d v="2021-05-30T00:00:00"/>
    <n v="337468"/>
    <n v="662"/>
    <x v="2"/>
    <n v="0"/>
    <x v="2"/>
  </r>
  <r>
    <s v="CUST0398"/>
    <s v="ACC00545"/>
    <s v="Elizabeth Green"/>
    <s v="Female"/>
    <n v="18"/>
    <x v="2"/>
    <x v="2"/>
    <s v="Teacher"/>
    <d v="2023-08-22T00:00:00"/>
    <x v="1"/>
    <x v="303"/>
    <n v="62229"/>
    <s v="Low"/>
    <x v="0"/>
    <x v="2"/>
    <d v="2020-03-03T00:00:00"/>
    <n v="71196"/>
    <n v="582"/>
    <x v="2"/>
    <n v="0"/>
    <x v="0"/>
  </r>
  <r>
    <s v="CUST0120"/>
    <s v="ACC00546"/>
    <s v="Sherri Webb"/>
    <s v="Male"/>
    <n v="62"/>
    <x v="3"/>
    <x v="2"/>
    <s v="Banker"/>
    <d v="2019-03-31T00:00:00"/>
    <x v="2"/>
    <x v="147"/>
    <n v="67638"/>
    <s v="Low"/>
    <x v="1"/>
    <x v="0"/>
    <d v="2024-12-30T00:00:00"/>
    <n v="70014"/>
    <n v="635"/>
    <x v="2"/>
    <n v="0"/>
    <x v="3"/>
  </r>
  <r>
    <s v="CUST0422"/>
    <s v="ACC00547"/>
    <s v="Amanda Thompson"/>
    <s v="Female"/>
    <n v="67"/>
    <x v="3"/>
    <x v="2"/>
    <s v="Doctor"/>
    <d v="2021-11-23T00:00:00"/>
    <x v="3"/>
    <x v="304"/>
    <n v="121459"/>
    <s v="Medium"/>
    <x v="0"/>
    <x v="0"/>
    <d v="2017-09-04T00:00:00"/>
    <n v="401426"/>
    <n v="461"/>
    <x v="1"/>
    <n v="0"/>
    <x v="0"/>
  </r>
  <r>
    <s v="CUST0437"/>
    <s v="ACC00548"/>
    <s v="Scott Crosby"/>
    <s v="Female"/>
    <n v="65"/>
    <x v="3"/>
    <x v="3"/>
    <s v="Doctor"/>
    <d v="2023-12-21T00:00:00"/>
    <x v="1"/>
    <x v="287"/>
    <n v="53397"/>
    <s v="Low"/>
    <x v="0"/>
    <x v="1"/>
    <d v="2021-01-22T00:00:00"/>
    <n v="141994"/>
    <n v="459"/>
    <x v="1"/>
    <n v="0"/>
    <x v="0"/>
  </r>
  <r>
    <s v="CUST0317"/>
    <s v="ACC00549"/>
    <s v="Robert Hill"/>
    <s v="Male"/>
    <n v="63"/>
    <x v="3"/>
    <x v="3"/>
    <s v="Student"/>
    <d v="2022-03-30T00:00:00"/>
    <x v="5"/>
    <x v="305"/>
    <n v="84881"/>
    <s v="Medium"/>
    <x v="2"/>
    <x v="1"/>
    <d v="2024-01-29T00:00:00"/>
    <n v="429505"/>
    <n v="773"/>
    <x v="3"/>
    <n v="0"/>
    <x v="0"/>
  </r>
  <r>
    <s v="CUST0164"/>
    <s v="ACC00550"/>
    <s v="Hannah Brown"/>
    <s v="Female"/>
    <n v="69"/>
    <x v="3"/>
    <x v="2"/>
    <s v="Retired"/>
    <d v="2021-03-02T00:00:00"/>
    <x v="3"/>
    <x v="185"/>
    <n v="134682"/>
    <s v="Medium"/>
    <x v="1"/>
    <x v="3"/>
    <d v="2021-02-01T00:00:00"/>
    <n v="33340"/>
    <n v="621"/>
    <x v="2"/>
    <n v="0"/>
    <x v="0"/>
  </r>
  <r>
    <s v="CUST0424"/>
    <s v="ACC00551"/>
    <s v="Matthew Martinez"/>
    <s v="Male"/>
    <n v="45"/>
    <x v="0"/>
    <x v="3"/>
    <s v="Doctor"/>
    <d v="2020-10-07T00:00:00"/>
    <x v="4"/>
    <x v="230"/>
    <n v="121520"/>
    <s v="Medium"/>
    <x v="0"/>
    <x v="1"/>
    <d v="2022-07-26T00:00:00"/>
    <n v="301994"/>
    <n v="311"/>
    <x v="1"/>
    <n v="445977"/>
    <x v="0"/>
  </r>
  <r>
    <s v="CUST0465"/>
    <s v="ACC00552"/>
    <s v="Janet Ray"/>
    <s v="Female"/>
    <n v="38"/>
    <x v="1"/>
    <x v="1"/>
    <s v="Banker"/>
    <d v="2025-05-24T00:00:00"/>
    <x v="8"/>
    <x v="306"/>
    <n v="198686"/>
    <s v="High"/>
    <x v="0"/>
    <x v="0"/>
    <d v="2025-04-14T00:00:00"/>
    <n v="450200"/>
    <n v="723"/>
    <x v="0"/>
    <n v="0"/>
    <x v="1"/>
  </r>
  <r>
    <s v="CUST0286"/>
    <s v="ACC00553"/>
    <s v="Melanie Butler"/>
    <s v="Male"/>
    <n v="29"/>
    <x v="1"/>
    <x v="0"/>
    <s v="Engineer"/>
    <d v="2020-01-26T00:00:00"/>
    <x v="4"/>
    <x v="256"/>
    <n v="94441"/>
    <s v="Medium"/>
    <x v="1"/>
    <x v="0"/>
    <d v="2025-06-20T00:00:00"/>
    <n v="496915"/>
    <n v="372"/>
    <x v="1"/>
    <n v="0"/>
    <x v="2"/>
  </r>
  <r>
    <s v="CUST0265"/>
    <s v="ACC00554"/>
    <s v="Mr. Carlos Wood"/>
    <s v="Male"/>
    <n v="39"/>
    <x v="1"/>
    <x v="1"/>
    <s v="Student"/>
    <d v="2020-09-28T00:00:00"/>
    <x v="4"/>
    <x v="238"/>
    <n v="103309"/>
    <s v="Medium"/>
    <x v="1"/>
    <x v="0"/>
    <d v="2020-12-28T00:00:00"/>
    <n v="113711"/>
    <n v="500"/>
    <x v="1"/>
    <n v="0"/>
    <x v="0"/>
  </r>
  <r>
    <s v="CUST0320"/>
    <s v="ACC00555"/>
    <s v="Erica Collins"/>
    <s v="Female"/>
    <n v="59"/>
    <x v="0"/>
    <x v="0"/>
    <s v="Retired"/>
    <d v="2023-09-16T00:00:00"/>
    <x v="1"/>
    <x v="107"/>
    <n v="177361"/>
    <s v="High"/>
    <x v="1"/>
    <x v="1"/>
    <d v="2019-03-04T00:00:00"/>
    <n v="215250"/>
    <n v="821"/>
    <x v="4"/>
    <n v="0"/>
    <x v="2"/>
  </r>
  <r>
    <s v="CUST0161"/>
    <s v="ACC00556"/>
    <s v="David Sanders"/>
    <s v="Male"/>
    <n v="22"/>
    <x v="2"/>
    <x v="2"/>
    <s v="Doctor"/>
    <d v="2021-02-25T00:00:00"/>
    <x v="3"/>
    <x v="52"/>
    <n v="93609"/>
    <s v="Medium"/>
    <x v="1"/>
    <x v="1"/>
    <d v="2015-12-28T00:00:00"/>
    <n v="11094"/>
    <n v="804"/>
    <x v="4"/>
    <n v="0"/>
    <x v="2"/>
  </r>
  <r>
    <s v="CUST0376"/>
    <s v="ACC00557"/>
    <s v="Angela Jackson"/>
    <s v="Female"/>
    <n v="62"/>
    <x v="3"/>
    <x v="1"/>
    <s v="Retired"/>
    <d v="2015-10-07T00:00:00"/>
    <x v="10"/>
    <x v="192"/>
    <n v="121757"/>
    <s v="Medium"/>
    <x v="1"/>
    <x v="2"/>
    <d v="2021-11-17T00:00:00"/>
    <n v="350103"/>
    <n v="338"/>
    <x v="1"/>
    <n v="281601"/>
    <x v="0"/>
  </r>
  <r>
    <s v="CUST0308"/>
    <s v="ACC00558"/>
    <s v="Daniel Miller"/>
    <s v="Female"/>
    <n v="35"/>
    <x v="1"/>
    <x v="1"/>
    <s v="Banker"/>
    <d v="2015-08-23T00:00:00"/>
    <x v="10"/>
    <x v="73"/>
    <n v="71047"/>
    <s v="Low"/>
    <x v="1"/>
    <x v="1"/>
    <d v="2020-10-28T00:00:00"/>
    <n v="426634"/>
    <n v="359"/>
    <x v="1"/>
    <n v="0"/>
    <x v="0"/>
  </r>
  <r>
    <s v="CUST0089"/>
    <s v="ACC00559"/>
    <s v="Elizabeth Brown"/>
    <s v="Female"/>
    <n v="72"/>
    <x v="3"/>
    <x v="3"/>
    <s v="Doctor"/>
    <d v="2021-01-09T00:00:00"/>
    <x v="3"/>
    <x v="117"/>
    <n v="145991"/>
    <s v="High"/>
    <x v="1"/>
    <x v="1"/>
    <d v="2017-07-10T00:00:00"/>
    <n v="267885"/>
    <n v="620"/>
    <x v="2"/>
    <n v="108619"/>
    <x v="0"/>
  </r>
  <r>
    <s v="CUST0142"/>
    <s v="ACC00560"/>
    <s v="Charles Chapman"/>
    <s v="Male"/>
    <n v="66"/>
    <x v="3"/>
    <x v="1"/>
    <s v="Retired"/>
    <d v="2024-09-25T00:00:00"/>
    <x v="7"/>
    <x v="165"/>
    <n v="83852"/>
    <s v="Medium"/>
    <x v="1"/>
    <x v="1"/>
    <d v="2024-03-19T00:00:00"/>
    <n v="111585"/>
    <n v="734"/>
    <x v="0"/>
    <n v="0"/>
    <x v="0"/>
  </r>
  <r>
    <s v="CUST0203"/>
    <s v="ACC00561"/>
    <s v="Dr. Caitlyn Durham"/>
    <s v="Male"/>
    <n v="29"/>
    <x v="1"/>
    <x v="2"/>
    <s v="Engineer"/>
    <d v="2024-08-21T00:00:00"/>
    <x v="7"/>
    <x v="182"/>
    <n v="117883"/>
    <s v="Medium"/>
    <x v="1"/>
    <x v="0"/>
    <d v="2018-11-27T00:00:00"/>
    <n v="465590"/>
    <n v="707"/>
    <x v="0"/>
    <n v="0"/>
    <x v="0"/>
  </r>
  <r>
    <s v="CUST0309"/>
    <s v="ACC00562"/>
    <s v="Jeanne Marquez"/>
    <s v="Female"/>
    <n v="64"/>
    <x v="3"/>
    <x v="0"/>
    <s v="Banker"/>
    <d v="2016-05-16T00:00:00"/>
    <x v="9"/>
    <x v="307"/>
    <n v="91626"/>
    <s v="Medium"/>
    <x v="1"/>
    <x v="2"/>
    <d v="2025-01-24T00:00:00"/>
    <n v="384708"/>
    <n v="685"/>
    <x v="0"/>
    <n v="0"/>
    <x v="0"/>
  </r>
  <r>
    <s v="CUST0227"/>
    <s v="ACC00563"/>
    <s v="Sharon Chapman"/>
    <s v="Male"/>
    <n v="46"/>
    <x v="0"/>
    <x v="2"/>
    <s v="Student"/>
    <d v="2017-05-18T00:00:00"/>
    <x v="0"/>
    <x v="225"/>
    <n v="190413"/>
    <s v="High"/>
    <x v="2"/>
    <x v="1"/>
    <d v="2020-12-27T00:00:00"/>
    <n v="68798"/>
    <n v="377"/>
    <x v="1"/>
    <n v="0"/>
    <x v="0"/>
  </r>
  <r>
    <s v="CUST0489"/>
    <s v="ACC00564"/>
    <s v="Monica Carter"/>
    <s v="Male"/>
    <n v="40"/>
    <x v="1"/>
    <x v="0"/>
    <s v="Banker"/>
    <d v="2023-06-27T00:00:00"/>
    <x v="1"/>
    <x v="246"/>
    <n v="157710"/>
    <s v="High"/>
    <x v="1"/>
    <x v="1"/>
    <d v="2018-01-16T00:00:00"/>
    <n v="378170"/>
    <n v="493"/>
    <x v="1"/>
    <n v="404346"/>
    <x v="0"/>
  </r>
  <r>
    <s v="CUST0443"/>
    <s v="ACC00565"/>
    <s v="Daniel Crawford"/>
    <s v="Male"/>
    <n v="35"/>
    <x v="1"/>
    <x v="1"/>
    <s v="Retired"/>
    <d v="2018-07-04T00:00:00"/>
    <x v="6"/>
    <x v="288"/>
    <n v="39816"/>
    <s v="Low"/>
    <x v="0"/>
    <x v="1"/>
    <d v="2018-03-15T00:00:00"/>
    <n v="201604"/>
    <n v="584"/>
    <x v="2"/>
    <n v="0"/>
    <x v="0"/>
  </r>
  <r>
    <s v="CUST0334"/>
    <s v="ACC00566"/>
    <s v="Beth Mccoy"/>
    <s v="Male"/>
    <n v="39"/>
    <x v="1"/>
    <x v="1"/>
    <s v="Student"/>
    <d v="2019-01-29T00:00:00"/>
    <x v="2"/>
    <x v="296"/>
    <n v="118818"/>
    <s v="Medium"/>
    <x v="0"/>
    <x v="2"/>
    <d v="2021-04-12T00:00:00"/>
    <n v="110130"/>
    <n v="826"/>
    <x v="4"/>
    <n v="0"/>
    <x v="0"/>
  </r>
  <r>
    <s v="CUST0222"/>
    <s v="ACC00567"/>
    <s v="Mrs. Carrie Castro"/>
    <s v="Male"/>
    <n v="21"/>
    <x v="2"/>
    <x v="2"/>
    <s v="Banker"/>
    <d v="2024-07-22T00:00:00"/>
    <x v="7"/>
    <x v="308"/>
    <n v="189230"/>
    <s v="High"/>
    <x v="1"/>
    <x v="0"/>
    <d v="2018-01-30T00:00:00"/>
    <n v="284308"/>
    <n v="823"/>
    <x v="4"/>
    <n v="0"/>
    <x v="0"/>
  </r>
  <r>
    <s v="CUST0041"/>
    <s v="ACC00568"/>
    <s v="Dr. Nicole Mendez"/>
    <s v="Male"/>
    <n v="30"/>
    <x v="1"/>
    <x v="3"/>
    <s v="Retired"/>
    <d v="2017-04-28T00:00:00"/>
    <x v="0"/>
    <x v="59"/>
    <n v="176497"/>
    <s v="High"/>
    <x v="0"/>
    <x v="0"/>
    <d v="2016-05-08T00:00:00"/>
    <n v="166667"/>
    <n v="455"/>
    <x v="1"/>
    <n v="0"/>
    <x v="3"/>
  </r>
  <r>
    <s v="CUST0196"/>
    <s v="ACC00569"/>
    <s v="Victoria Montoya"/>
    <s v="Female"/>
    <n v="50"/>
    <x v="0"/>
    <x v="2"/>
    <s v="Banker"/>
    <d v="2019-05-27T00:00:00"/>
    <x v="2"/>
    <x v="172"/>
    <n v="43411"/>
    <s v="Low"/>
    <x v="0"/>
    <x v="2"/>
    <d v="2017-12-04T00:00:00"/>
    <n v="30257"/>
    <n v="639"/>
    <x v="2"/>
    <n v="0"/>
    <x v="2"/>
  </r>
  <r>
    <s v="CUST0068"/>
    <s v="ACC00570"/>
    <s v="Barbara Gonzalez"/>
    <s v="Male"/>
    <n v="59"/>
    <x v="0"/>
    <x v="2"/>
    <s v="Retired"/>
    <d v="2017-11-30T00:00:00"/>
    <x v="0"/>
    <x v="92"/>
    <n v="62520"/>
    <s v="Low"/>
    <x v="1"/>
    <x v="0"/>
    <d v="2025-05-04T00:00:00"/>
    <n v="407427"/>
    <n v="424"/>
    <x v="1"/>
    <n v="0"/>
    <x v="3"/>
  </r>
  <r>
    <s v="CUST0476"/>
    <s v="ACC00571"/>
    <s v="William Brown"/>
    <s v="Female"/>
    <n v="18"/>
    <x v="2"/>
    <x v="0"/>
    <s v="Student"/>
    <d v="2019-01-23T00:00:00"/>
    <x v="2"/>
    <x v="41"/>
    <n v="53997"/>
    <s v="Low"/>
    <x v="1"/>
    <x v="2"/>
    <d v="2016-05-01T00:00:00"/>
    <n v="358133"/>
    <n v="579"/>
    <x v="1"/>
    <n v="0"/>
    <x v="0"/>
  </r>
  <r>
    <s v="CUST0264"/>
    <s v="ACC00572"/>
    <s v="Kevin Tapia"/>
    <s v="Male"/>
    <n v="42"/>
    <x v="1"/>
    <x v="2"/>
    <s v="Engineer"/>
    <d v="2015-10-20T00:00:00"/>
    <x v="10"/>
    <x v="309"/>
    <n v="180081"/>
    <s v="High"/>
    <x v="1"/>
    <x v="2"/>
    <d v="2019-09-25T00:00:00"/>
    <n v="398448"/>
    <n v="427"/>
    <x v="1"/>
    <n v="0"/>
    <x v="0"/>
  </r>
  <r>
    <s v="CUST0002"/>
    <s v="ACC00573"/>
    <s v="Erin Martinez"/>
    <s v="Female"/>
    <n v="49"/>
    <x v="0"/>
    <x v="2"/>
    <s v="Trader"/>
    <d v="2021-05-15T00:00:00"/>
    <x v="3"/>
    <x v="3"/>
    <n v="186472"/>
    <s v="High"/>
    <x v="0"/>
    <x v="1"/>
    <d v="2023-08-26T00:00:00"/>
    <n v="460969"/>
    <n v="613"/>
    <x v="2"/>
    <n v="0"/>
    <x v="0"/>
  </r>
  <r>
    <s v="CUST0361"/>
    <s v="ACC00574"/>
    <s v="Jack Smith"/>
    <s v="Female"/>
    <n v="58"/>
    <x v="0"/>
    <x v="2"/>
    <s v="Student"/>
    <d v="2024-04-10T00:00:00"/>
    <x v="7"/>
    <x v="310"/>
    <n v="188484"/>
    <s v="High"/>
    <x v="1"/>
    <x v="1"/>
    <d v="2017-12-13T00:00:00"/>
    <n v="52691"/>
    <n v="631"/>
    <x v="2"/>
    <n v="0"/>
    <x v="0"/>
  </r>
  <r>
    <s v="CUST0125"/>
    <s v="ACC00575"/>
    <s v="Juan Rodriguez"/>
    <s v="Male"/>
    <n v="22"/>
    <x v="2"/>
    <x v="3"/>
    <s v="Engineer"/>
    <d v="2017-01-19T00:00:00"/>
    <x v="0"/>
    <x v="153"/>
    <n v="187581"/>
    <s v="High"/>
    <x v="0"/>
    <x v="1"/>
    <d v="2018-12-28T00:00:00"/>
    <n v="482981"/>
    <n v="449"/>
    <x v="1"/>
    <n v="345281"/>
    <x v="0"/>
  </r>
  <r>
    <s v="CUST0110"/>
    <s v="ACC00576"/>
    <s v="Jose Decker"/>
    <s v="Male"/>
    <n v="70"/>
    <x v="3"/>
    <x v="2"/>
    <s v="Banker"/>
    <d v="2018-06-05T00:00:00"/>
    <x v="6"/>
    <x v="299"/>
    <n v="106206"/>
    <s v="Medium"/>
    <x v="1"/>
    <x v="1"/>
    <d v="2018-03-30T00:00:00"/>
    <n v="79768"/>
    <n v="753"/>
    <x v="3"/>
    <n v="0"/>
    <x v="1"/>
  </r>
  <r>
    <s v="CUST0086"/>
    <s v="ACC00577"/>
    <s v="Ashley Lewis"/>
    <s v="Male"/>
    <n v="47"/>
    <x v="0"/>
    <x v="1"/>
    <s v="Engineer"/>
    <d v="2021-03-30T00:00:00"/>
    <x v="3"/>
    <x v="114"/>
    <n v="105956"/>
    <s v="Medium"/>
    <x v="1"/>
    <x v="3"/>
    <d v="2016-01-17T00:00:00"/>
    <n v="418829"/>
    <n v="335"/>
    <x v="1"/>
    <n v="0"/>
    <x v="0"/>
  </r>
  <r>
    <s v="CUST0425"/>
    <s v="ACC00578"/>
    <s v="Gregory Scott"/>
    <s v="Female"/>
    <n v="54"/>
    <x v="0"/>
    <x v="2"/>
    <s v="Teacher"/>
    <d v="2017-07-01T00:00:00"/>
    <x v="0"/>
    <x v="12"/>
    <n v="145818"/>
    <s v="High"/>
    <x v="1"/>
    <x v="0"/>
    <d v="2023-09-19T00:00:00"/>
    <n v="14026"/>
    <n v="719"/>
    <x v="0"/>
    <n v="0"/>
    <x v="0"/>
  </r>
  <r>
    <s v="CUST0120"/>
    <s v="ACC00579"/>
    <s v="Sherri Webb"/>
    <s v="Male"/>
    <n v="62"/>
    <x v="3"/>
    <x v="2"/>
    <s v="Banker"/>
    <d v="2019-03-31T00:00:00"/>
    <x v="2"/>
    <x v="147"/>
    <n v="67638"/>
    <s v="Low"/>
    <x v="1"/>
    <x v="1"/>
    <d v="2023-06-12T00:00:00"/>
    <n v="446751"/>
    <n v="321"/>
    <x v="1"/>
    <n v="0"/>
    <x v="0"/>
  </r>
  <r>
    <s v="CUST0127"/>
    <s v="ACC00580"/>
    <s v="Jennifer Watkins DDS"/>
    <s v="Female"/>
    <n v="46"/>
    <x v="0"/>
    <x v="3"/>
    <s v="Doctor"/>
    <d v="2016-01-05T00:00:00"/>
    <x v="9"/>
    <x v="155"/>
    <n v="112241"/>
    <s v="Medium"/>
    <x v="0"/>
    <x v="2"/>
    <d v="2024-02-13T00:00:00"/>
    <n v="225162"/>
    <n v="505"/>
    <x v="1"/>
    <n v="0"/>
    <x v="0"/>
  </r>
  <r>
    <s v="CUST0255"/>
    <s v="ACC00581"/>
    <s v="Nathaniel Wolf"/>
    <s v="Male"/>
    <n v="40"/>
    <x v="1"/>
    <x v="0"/>
    <s v="Teacher"/>
    <d v="2016-10-30T00:00:00"/>
    <x v="9"/>
    <x v="311"/>
    <n v="25109"/>
    <s v="Low"/>
    <x v="1"/>
    <x v="0"/>
    <d v="2024-03-13T00:00:00"/>
    <n v="293052"/>
    <n v="655"/>
    <x v="2"/>
    <n v="0"/>
    <x v="3"/>
  </r>
  <r>
    <s v="CUST0183"/>
    <s v="ACC00582"/>
    <s v="Victor Thomas"/>
    <s v="Female"/>
    <n v="37"/>
    <x v="1"/>
    <x v="2"/>
    <s v="Student"/>
    <d v="2018-04-12T00:00:00"/>
    <x v="6"/>
    <x v="30"/>
    <n v="49241"/>
    <s v="Low"/>
    <x v="1"/>
    <x v="1"/>
    <d v="2018-10-06T00:00:00"/>
    <n v="445329"/>
    <n v="739"/>
    <x v="0"/>
    <n v="419021"/>
    <x v="1"/>
  </r>
  <r>
    <s v="CUST0016"/>
    <s v="ACC00583"/>
    <s v="Ashlee Baird"/>
    <s v="Male"/>
    <n v="49"/>
    <x v="0"/>
    <x v="3"/>
    <s v="Banker"/>
    <d v="2019-06-27T00:00:00"/>
    <x v="2"/>
    <x v="23"/>
    <n v="54636"/>
    <s v="Low"/>
    <x v="1"/>
    <x v="1"/>
    <d v="2022-03-30T00:00:00"/>
    <n v="19610"/>
    <n v="395"/>
    <x v="1"/>
    <n v="0"/>
    <x v="3"/>
  </r>
  <r>
    <s v="CUST0477"/>
    <s v="ACC00584"/>
    <s v="Deborah King"/>
    <s v="Male"/>
    <n v="38"/>
    <x v="1"/>
    <x v="1"/>
    <s v="Banker"/>
    <d v="2015-11-17T00:00:00"/>
    <x v="10"/>
    <x v="277"/>
    <n v="176683"/>
    <s v="High"/>
    <x v="1"/>
    <x v="0"/>
    <d v="2023-09-24T00:00:00"/>
    <n v="177718"/>
    <n v="463"/>
    <x v="1"/>
    <n v="0"/>
    <x v="0"/>
  </r>
  <r>
    <s v="CUST0062"/>
    <s v="ACC00585"/>
    <s v="Tony Bell"/>
    <s v="Male"/>
    <n v="68"/>
    <x v="3"/>
    <x v="3"/>
    <s v="Trader"/>
    <d v="2024-11-01T00:00:00"/>
    <x v="7"/>
    <x v="312"/>
    <n v="108801"/>
    <s v="Medium"/>
    <x v="0"/>
    <x v="2"/>
    <d v="2018-09-19T00:00:00"/>
    <n v="498357"/>
    <n v="447"/>
    <x v="1"/>
    <n v="0"/>
    <x v="0"/>
  </r>
  <r>
    <s v="CUST0369"/>
    <s v="ACC00586"/>
    <s v="Heather Davis"/>
    <s v="Male"/>
    <n v="42"/>
    <x v="1"/>
    <x v="0"/>
    <s v="Engineer"/>
    <d v="2023-01-28T00:00:00"/>
    <x v="1"/>
    <x v="70"/>
    <n v="181099"/>
    <s v="High"/>
    <x v="0"/>
    <x v="1"/>
    <d v="2021-04-07T00:00:00"/>
    <n v="325329"/>
    <n v="829"/>
    <x v="4"/>
    <n v="0"/>
    <x v="0"/>
  </r>
  <r>
    <s v="CUST0432"/>
    <s v="ACC00587"/>
    <s v="Zachary Vasquez"/>
    <s v="Female"/>
    <n v="50"/>
    <x v="0"/>
    <x v="2"/>
    <s v="Trader"/>
    <d v="2017-06-01T00:00:00"/>
    <x v="0"/>
    <x v="24"/>
    <n v="81367"/>
    <s v="Medium"/>
    <x v="0"/>
    <x v="1"/>
    <d v="2023-09-13T00:00:00"/>
    <n v="334711"/>
    <n v="593"/>
    <x v="2"/>
    <n v="0"/>
    <x v="0"/>
  </r>
  <r>
    <s v="CUST0158"/>
    <s v="ACC00588"/>
    <s v="Michael Ward"/>
    <s v="Female"/>
    <n v="40"/>
    <x v="1"/>
    <x v="1"/>
    <s v="Engineer"/>
    <d v="2025-04-27T00:00:00"/>
    <x v="8"/>
    <x v="179"/>
    <n v="158563"/>
    <s v="High"/>
    <x v="1"/>
    <x v="0"/>
    <d v="2019-12-14T00:00:00"/>
    <n v="178646"/>
    <n v="494"/>
    <x v="1"/>
    <n v="0"/>
    <x v="0"/>
  </r>
  <r>
    <s v="CUST0268"/>
    <s v="ACC00589"/>
    <s v="Derek Gardner"/>
    <s v="Female"/>
    <n v="66"/>
    <x v="3"/>
    <x v="2"/>
    <s v="Banker"/>
    <d v="2019-12-20T00:00:00"/>
    <x v="2"/>
    <x v="240"/>
    <n v="177215"/>
    <s v="High"/>
    <x v="1"/>
    <x v="1"/>
    <d v="2018-07-16T00:00:00"/>
    <n v="222123"/>
    <n v="779"/>
    <x v="3"/>
    <n v="482397"/>
    <x v="0"/>
  </r>
  <r>
    <s v="CUST0035"/>
    <s v="ACC00590"/>
    <s v="Kevin Marshall"/>
    <s v="Female"/>
    <n v="72"/>
    <x v="3"/>
    <x v="2"/>
    <s v="Banker"/>
    <d v="2016-06-12T00:00:00"/>
    <x v="9"/>
    <x v="49"/>
    <n v="96898"/>
    <s v="Medium"/>
    <x v="0"/>
    <x v="0"/>
    <d v="2025-06-18T00:00:00"/>
    <n v="495236"/>
    <n v="422"/>
    <x v="1"/>
    <n v="94941"/>
    <x v="3"/>
  </r>
  <r>
    <s v="CUST0267"/>
    <s v="ACC00591"/>
    <s v="Nicholas Cherry"/>
    <s v="Female"/>
    <n v="36"/>
    <x v="1"/>
    <x v="2"/>
    <s v="Engineer"/>
    <d v="2021-08-29T00:00:00"/>
    <x v="3"/>
    <x v="239"/>
    <n v="126661"/>
    <s v="Medium"/>
    <x v="1"/>
    <x v="0"/>
    <d v="2025-08-21T00:00:00"/>
    <n v="298326"/>
    <n v="699"/>
    <x v="0"/>
    <n v="0"/>
    <x v="0"/>
  </r>
  <r>
    <s v="CUST0064"/>
    <s v="ACC00592"/>
    <s v="Joshua White"/>
    <s v="Male"/>
    <n v="39"/>
    <x v="1"/>
    <x v="0"/>
    <s v="Teacher"/>
    <d v="2023-03-12T00:00:00"/>
    <x v="1"/>
    <x v="313"/>
    <n v="114377"/>
    <s v="Medium"/>
    <x v="1"/>
    <x v="1"/>
    <d v="2023-04-09T00:00:00"/>
    <n v="378280"/>
    <n v="751"/>
    <x v="3"/>
    <n v="0"/>
    <x v="0"/>
  </r>
  <r>
    <s v="CUST0494"/>
    <s v="ACC00593"/>
    <s v="Hector May"/>
    <s v="Female"/>
    <n v="27"/>
    <x v="2"/>
    <x v="3"/>
    <s v="Banker"/>
    <d v="2021-03-12T00:00:00"/>
    <x v="3"/>
    <x v="219"/>
    <n v="32115"/>
    <s v="Low"/>
    <x v="1"/>
    <x v="3"/>
    <d v="2025-06-11T00:00:00"/>
    <n v="393786"/>
    <n v="403"/>
    <x v="1"/>
    <n v="0"/>
    <x v="1"/>
  </r>
  <r>
    <s v="CUST0050"/>
    <s v="ACC00594"/>
    <s v="Michele Kim"/>
    <s v="Female"/>
    <n v="33"/>
    <x v="1"/>
    <x v="3"/>
    <s v="Retired"/>
    <d v="2023-03-07T00:00:00"/>
    <x v="1"/>
    <x v="69"/>
    <n v="53660"/>
    <s v="Low"/>
    <x v="0"/>
    <x v="0"/>
    <d v="2015-10-10T00:00:00"/>
    <n v="491006"/>
    <n v="761"/>
    <x v="3"/>
    <n v="349572"/>
    <x v="0"/>
  </r>
  <r>
    <s v="CUST0469"/>
    <s v="ACC00595"/>
    <s v="Michael Davies"/>
    <s v="Male"/>
    <n v="44"/>
    <x v="1"/>
    <x v="2"/>
    <s v="Retired"/>
    <d v="2017-08-07T00:00:00"/>
    <x v="0"/>
    <x v="286"/>
    <n v="190102"/>
    <s v="High"/>
    <x v="2"/>
    <x v="1"/>
    <d v="2020-02-21T00:00:00"/>
    <n v="19288"/>
    <n v="695"/>
    <x v="0"/>
    <n v="0"/>
    <x v="0"/>
  </r>
  <r>
    <s v="CUST0255"/>
    <s v="ACC00596"/>
    <s v="Nathaniel Wolf"/>
    <s v="Male"/>
    <n v="40"/>
    <x v="1"/>
    <x v="0"/>
    <s v="Teacher"/>
    <d v="2016-10-30T00:00:00"/>
    <x v="9"/>
    <x v="311"/>
    <n v="25109"/>
    <s v="Low"/>
    <x v="1"/>
    <x v="0"/>
    <d v="2019-09-30T00:00:00"/>
    <n v="340968"/>
    <n v="636"/>
    <x v="2"/>
    <n v="0"/>
    <x v="0"/>
  </r>
  <r>
    <s v="CUST0149"/>
    <s v="ACC00597"/>
    <s v="Nicholas Hicks"/>
    <s v="Male"/>
    <n v="43"/>
    <x v="1"/>
    <x v="0"/>
    <s v="Teacher"/>
    <d v="2022-11-28T00:00:00"/>
    <x v="5"/>
    <x v="314"/>
    <n v="81246"/>
    <s v="Medium"/>
    <x v="0"/>
    <x v="2"/>
    <d v="2022-06-02T00:00:00"/>
    <n v="423093"/>
    <n v="441"/>
    <x v="1"/>
    <n v="0"/>
    <x v="0"/>
  </r>
  <r>
    <s v="CUST0325"/>
    <s v="ACC00598"/>
    <s v="Gregg Harris"/>
    <s v="Female"/>
    <n v="22"/>
    <x v="2"/>
    <x v="3"/>
    <s v="Teacher"/>
    <d v="2022-03-20T00:00:00"/>
    <x v="5"/>
    <x v="75"/>
    <n v="44826"/>
    <s v="Low"/>
    <x v="1"/>
    <x v="2"/>
    <d v="2016-09-19T00:00:00"/>
    <n v="84425"/>
    <n v="616"/>
    <x v="2"/>
    <n v="0"/>
    <x v="0"/>
  </r>
  <r>
    <s v="CUST0304"/>
    <s v="ACC00599"/>
    <s v="Linda Hansen"/>
    <s v="Female"/>
    <n v="40"/>
    <x v="1"/>
    <x v="2"/>
    <s v="Banker"/>
    <d v="2018-05-31T00:00:00"/>
    <x v="6"/>
    <x v="315"/>
    <n v="88577"/>
    <s v="Medium"/>
    <x v="0"/>
    <x v="1"/>
    <d v="2023-02-26T00:00:00"/>
    <n v="917"/>
    <n v="826"/>
    <x v="4"/>
    <n v="33481"/>
    <x v="0"/>
  </r>
  <r>
    <s v="CUST0276"/>
    <s v="ACC00600"/>
    <s v="Rebecca Bailey"/>
    <s v="Female"/>
    <n v="45"/>
    <x v="0"/>
    <x v="3"/>
    <s v="Student"/>
    <d v="2020-10-18T00:00:00"/>
    <x v="4"/>
    <x v="316"/>
    <n v="184053"/>
    <s v="High"/>
    <x v="1"/>
    <x v="3"/>
    <d v="2015-10-27T00:00:00"/>
    <n v="337746"/>
    <n v="700"/>
    <x v="0"/>
    <n v="0"/>
    <x v="1"/>
  </r>
  <r>
    <s v="CUST0357"/>
    <s v="ACC00601"/>
    <s v="Jordan Bates"/>
    <s v="Female"/>
    <n v="45"/>
    <x v="0"/>
    <x v="3"/>
    <s v="Trader"/>
    <d v="2020-12-25T00:00:00"/>
    <x v="4"/>
    <x v="317"/>
    <n v="40049"/>
    <s v="Low"/>
    <x v="1"/>
    <x v="0"/>
    <d v="2016-09-19T00:00:00"/>
    <n v="488256"/>
    <n v="609"/>
    <x v="2"/>
    <n v="0"/>
    <x v="3"/>
  </r>
  <r>
    <s v="CUST0451"/>
    <s v="ACC00602"/>
    <s v="Audrey Walters"/>
    <s v="Female"/>
    <n v="47"/>
    <x v="0"/>
    <x v="0"/>
    <s v="Engineer"/>
    <d v="2016-07-29T00:00:00"/>
    <x v="9"/>
    <x v="318"/>
    <n v="55946"/>
    <s v="Low"/>
    <x v="0"/>
    <x v="1"/>
    <d v="2021-02-27T00:00:00"/>
    <n v="326719"/>
    <n v="794"/>
    <x v="3"/>
    <n v="0"/>
    <x v="3"/>
  </r>
  <r>
    <s v="CUST0172"/>
    <s v="ACC00603"/>
    <s v="Kevin Castillo"/>
    <s v="Male"/>
    <n v="62"/>
    <x v="3"/>
    <x v="2"/>
    <s v="Engineer"/>
    <d v="2020-06-06T00:00:00"/>
    <x v="4"/>
    <x v="319"/>
    <n v="107266"/>
    <s v="Medium"/>
    <x v="1"/>
    <x v="1"/>
    <d v="2023-11-14T00:00:00"/>
    <n v="334662"/>
    <n v="408"/>
    <x v="1"/>
    <n v="0"/>
    <x v="1"/>
  </r>
  <r>
    <s v="CUST0417"/>
    <s v="ACC00604"/>
    <s v="Logan Fleming"/>
    <s v="Male"/>
    <n v="25"/>
    <x v="2"/>
    <x v="1"/>
    <s v="Teacher"/>
    <d v="2024-10-30T00:00:00"/>
    <x v="7"/>
    <x v="175"/>
    <n v="186205"/>
    <s v="High"/>
    <x v="2"/>
    <x v="1"/>
    <d v="2016-10-01T00:00:00"/>
    <n v="253187"/>
    <n v="671"/>
    <x v="0"/>
    <n v="0"/>
    <x v="0"/>
  </r>
  <r>
    <s v="CUST0201"/>
    <s v="ACC00605"/>
    <s v="Gary Johnson"/>
    <s v="Male"/>
    <n v="46"/>
    <x v="0"/>
    <x v="0"/>
    <s v="Teacher"/>
    <d v="2017-08-24T00:00:00"/>
    <x v="0"/>
    <x v="209"/>
    <n v="72930"/>
    <s v="Low"/>
    <x v="2"/>
    <x v="2"/>
    <d v="2019-07-27T00:00:00"/>
    <n v="39104"/>
    <n v="505"/>
    <x v="1"/>
    <n v="108475"/>
    <x v="0"/>
  </r>
  <r>
    <s v="CUST0445"/>
    <s v="ACC00606"/>
    <s v="Eric Goodwin"/>
    <s v="Female"/>
    <n v="22"/>
    <x v="2"/>
    <x v="1"/>
    <s v="Trader"/>
    <d v="2022-04-15T00:00:00"/>
    <x v="5"/>
    <x v="204"/>
    <n v="157348"/>
    <s v="High"/>
    <x v="0"/>
    <x v="1"/>
    <d v="2025-06-10T00:00:00"/>
    <n v="149134"/>
    <n v="342"/>
    <x v="1"/>
    <n v="0"/>
    <x v="2"/>
  </r>
  <r>
    <s v="CUST0393"/>
    <s v="ACC00607"/>
    <s v="Tina Adams"/>
    <s v="Female"/>
    <n v="58"/>
    <x v="0"/>
    <x v="3"/>
    <s v="Teacher"/>
    <d v="2021-12-15T00:00:00"/>
    <x v="3"/>
    <x v="262"/>
    <n v="196422"/>
    <s v="High"/>
    <x v="2"/>
    <x v="1"/>
    <d v="2019-03-27T00:00:00"/>
    <n v="279143"/>
    <n v="544"/>
    <x v="1"/>
    <n v="0"/>
    <x v="0"/>
  </r>
  <r>
    <s v="CUST0324"/>
    <s v="ACC00608"/>
    <s v="Erin Nelson"/>
    <s v="Female"/>
    <n v="19"/>
    <x v="2"/>
    <x v="1"/>
    <s v="Engineer"/>
    <d v="2017-03-23T00:00:00"/>
    <x v="0"/>
    <x v="80"/>
    <n v="81550"/>
    <s v="Medium"/>
    <x v="0"/>
    <x v="2"/>
    <d v="2020-12-04T00:00:00"/>
    <n v="262091"/>
    <n v="586"/>
    <x v="2"/>
    <n v="0"/>
    <x v="2"/>
  </r>
  <r>
    <s v="CUST0035"/>
    <s v="ACC00609"/>
    <s v="Kevin Marshall"/>
    <s v="Female"/>
    <n v="72"/>
    <x v="3"/>
    <x v="2"/>
    <s v="Banker"/>
    <d v="2016-06-12T00:00:00"/>
    <x v="9"/>
    <x v="49"/>
    <n v="96898"/>
    <s v="Medium"/>
    <x v="0"/>
    <x v="1"/>
    <d v="2019-05-01T00:00:00"/>
    <n v="455061"/>
    <n v="654"/>
    <x v="2"/>
    <n v="0"/>
    <x v="0"/>
  </r>
  <r>
    <s v="CUST0465"/>
    <s v="ACC00610"/>
    <s v="Janet Ray"/>
    <s v="Female"/>
    <n v="38"/>
    <x v="1"/>
    <x v="1"/>
    <s v="Banker"/>
    <d v="2025-05-24T00:00:00"/>
    <x v="8"/>
    <x v="306"/>
    <n v="198686"/>
    <s v="High"/>
    <x v="0"/>
    <x v="1"/>
    <d v="2024-12-11T00:00:00"/>
    <n v="403157"/>
    <n v="775"/>
    <x v="3"/>
    <n v="0"/>
    <x v="0"/>
  </r>
  <r>
    <s v="CUST0482"/>
    <s v="ACC00611"/>
    <s v="Thomas Johnson"/>
    <s v="Female"/>
    <n v="34"/>
    <x v="1"/>
    <x v="2"/>
    <s v="Engineer"/>
    <d v="2019-03-29T00:00:00"/>
    <x v="2"/>
    <x v="320"/>
    <n v="146945"/>
    <s v="High"/>
    <x v="1"/>
    <x v="1"/>
    <d v="2022-08-30T00:00:00"/>
    <n v="61169"/>
    <n v="382"/>
    <x v="1"/>
    <n v="0"/>
    <x v="0"/>
  </r>
  <r>
    <s v="CUST0216"/>
    <s v="ACC00612"/>
    <s v="Abigail Gallegos"/>
    <s v="Male"/>
    <n v="27"/>
    <x v="2"/>
    <x v="0"/>
    <s v="Banker"/>
    <d v="2015-11-03T00:00:00"/>
    <x v="10"/>
    <x v="217"/>
    <n v="153052"/>
    <s v="High"/>
    <x v="1"/>
    <x v="1"/>
    <d v="2017-03-02T00:00:00"/>
    <n v="154542"/>
    <n v="409"/>
    <x v="1"/>
    <n v="0"/>
    <x v="0"/>
  </r>
  <r>
    <s v="CUST0480"/>
    <s v="ACC00613"/>
    <s v="Lisa Crawford"/>
    <s v="Female"/>
    <n v="23"/>
    <x v="2"/>
    <x v="2"/>
    <s v="Trader"/>
    <d v="2024-07-03T00:00:00"/>
    <x v="7"/>
    <x v="321"/>
    <n v="186129"/>
    <s v="High"/>
    <x v="1"/>
    <x v="1"/>
    <d v="2025-07-05T00:00:00"/>
    <n v="129744"/>
    <n v="489"/>
    <x v="1"/>
    <n v="0"/>
    <x v="0"/>
  </r>
  <r>
    <s v="CUST0065"/>
    <s v="ACC00614"/>
    <s v="Crystal Smith"/>
    <s v="Male"/>
    <n v="39"/>
    <x v="1"/>
    <x v="2"/>
    <s v="Doctor"/>
    <d v="2020-10-15T00:00:00"/>
    <x v="4"/>
    <x v="88"/>
    <n v="49192"/>
    <s v="Low"/>
    <x v="1"/>
    <x v="0"/>
    <d v="2015-12-08T00:00:00"/>
    <n v="372828"/>
    <n v="550"/>
    <x v="1"/>
    <n v="0"/>
    <x v="0"/>
  </r>
  <r>
    <s v="CUST0008"/>
    <s v="ACC00615"/>
    <s v="William Horton"/>
    <s v="Male"/>
    <n v="59"/>
    <x v="0"/>
    <x v="1"/>
    <s v="Engineer"/>
    <d v="2024-06-05T00:00:00"/>
    <x v="7"/>
    <x v="13"/>
    <n v="144988"/>
    <s v="High"/>
    <x v="1"/>
    <x v="1"/>
    <d v="2017-11-20T00:00:00"/>
    <n v="59821"/>
    <n v="590"/>
    <x v="2"/>
    <n v="0"/>
    <x v="0"/>
  </r>
  <r>
    <s v="CUST0301"/>
    <s v="ACC00616"/>
    <s v="Regina Schultz"/>
    <s v="Male"/>
    <n v="48"/>
    <x v="0"/>
    <x v="3"/>
    <s v="Doctor"/>
    <d v="2024-02-12T00:00:00"/>
    <x v="7"/>
    <x v="50"/>
    <n v="70861"/>
    <s v="Low"/>
    <x v="1"/>
    <x v="1"/>
    <d v="2024-10-26T00:00:00"/>
    <n v="217741"/>
    <n v="500"/>
    <x v="1"/>
    <n v="0"/>
    <x v="1"/>
  </r>
  <r>
    <s v="CUST0343"/>
    <s v="ACC00617"/>
    <s v="Danielle Cox"/>
    <s v="Male"/>
    <n v="48"/>
    <x v="0"/>
    <x v="1"/>
    <s v="Engineer"/>
    <d v="2018-02-23T00:00:00"/>
    <x v="6"/>
    <x v="267"/>
    <n v="152632"/>
    <s v="High"/>
    <x v="1"/>
    <x v="2"/>
    <d v="2023-03-27T00:00:00"/>
    <n v="249265"/>
    <n v="625"/>
    <x v="2"/>
    <n v="0"/>
    <x v="1"/>
  </r>
  <r>
    <s v="CUST0431"/>
    <s v="ACC00618"/>
    <s v="Dana Robinson"/>
    <s v="Male"/>
    <n v="26"/>
    <x v="2"/>
    <x v="0"/>
    <s v="Trader"/>
    <d v="2023-07-26T00:00:00"/>
    <x v="1"/>
    <x v="281"/>
    <n v="106475"/>
    <s v="Medium"/>
    <x v="1"/>
    <x v="0"/>
    <d v="2020-09-15T00:00:00"/>
    <n v="437651"/>
    <n v="810"/>
    <x v="4"/>
    <n v="0"/>
    <x v="2"/>
  </r>
  <r>
    <s v="CUST0424"/>
    <s v="ACC00619"/>
    <s v="Matthew Martinez"/>
    <s v="Male"/>
    <n v="45"/>
    <x v="0"/>
    <x v="3"/>
    <s v="Doctor"/>
    <d v="2020-10-07T00:00:00"/>
    <x v="4"/>
    <x v="230"/>
    <n v="121520"/>
    <s v="Medium"/>
    <x v="0"/>
    <x v="0"/>
    <d v="2023-04-30T00:00:00"/>
    <n v="397745"/>
    <n v="708"/>
    <x v="0"/>
    <n v="333634"/>
    <x v="0"/>
  </r>
  <r>
    <s v="CUST0332"/>
    <s v="ACC00620"/>
    <s v="Amber Myers"/>
    <s v="Male"/>
    <n v="62"/>
    <x v="3"/>
    <x v="0"/>
    <s v="Doctor"/>
    <d v="2021-09-09T00:00:00"/>
    <x v="3"/>
    <x v="322"/>
    <n v="101941"/>
    <s v="Medium"/>
    <x v="1"/>
    <x v="0"/>
    <d v="2023-04-18T00:00:00"/>
    <n v="214127"/>
    <n v="807"/>
    <x v="4"/>
    <n v="0"/>
    <x v="1"/>
  </r>
  <r>
    <s v="CUST0438"/>
    <s v="ACC00621"/>
    <s v="Monica Perez"/>
    <s v="Female"/>
    <n v="46"/>
    <x v="0"/>
    <x v="2"/>
    <s v="Teacher"/>
    <d v="2023-04-21T00:00:00"/>
    <x v="1"/>
    <x v="323"/>
    <n v="102189"/>
    <s v="Medium"/>
    <x v="1"/>
    <x v="1"/>
    <d v="2016-02-16T00:00:00"/>
    <n v="274336"/>
    <n v="371"/>
    <x v="1"/>
    <n v="0"/>
    <x v="0"/>
  </r>
  <r>
    <s v="CUST0076"/>
    <s v="ACC00622"/>
    <s v="Pamela Johnson"/>
    <s v="Female"/>
    <n v="70"/>
    <x v="3"/>
    <x v="0"/>
    <s v="Trader"/>
    <d v="2017-07-01T00:00:00"/>
    <x v="0"/>
    <x v="12"/>
    <n v="172826"/>
    <s v="High"/>
    <x v="1"/>
    <x v="0"/>
    <d v="2019-06-23T00:00:00"/>
    <n v="336246"/>
    <n v="546"/>
    <x v="1"/>
    <n v="261323"/>
    <x v="0"/>
  </r>
  <r>
    <s v="CUST0174"/>
    <s v="ACC00623"/>
    <s v="Evan Holt"/>
    <s v="Female"/>
    <n v="33"/>
    <x v="1"/>
    <x v="0"/>
    <s v="Retired"/>
    <d v="2019-10-29T00:00:00"/>
    <x v="2"/>
    <x v="136"/>
    <n v="120732"/>
    <s v="Medium"/>
    <x v="0"/>
    <x v="0"/>
    <d v="2019-08-21T00:00:00"/>
    <n v="203834"/>
    <n v="643"/>
    <x v="2"/>
    <n v="356224"/>
    <x v="0"/>
  </r>
  <r>
    <s v="CUST0047"/>
    <s v="ACC00624"/>
    <s v="Patricia Schneider"/>
    <s v="Female"/>
    <n v="18"/>
    <x v="2"/>
    <x v="0"/>
    <s v="Doctor"/>
    <d v="2017-04-06T00:00:00"/>
    <x v="0"/>
    <x v="62"/>
    <n v="81413"/>
    <s v="Medium"/>
    <x v="1"/>
    <x v="1"/>
    <d v="2024-03-28T00:00:00"/>
    <n v="234538"/>
    <n v="353"/>
    <x v="1"/>
    <n v="0"/>
    <x v="0"/>
  </r>
  <r>
    <s v="CUST0015"/>
    <s v="ACC00625"/>
    <s v="Ms. Renee Cardenas PhD"/>
    <s v="Female"/>
    <n v="67"/>
    <x v="3"/>
    <x v="2"/>
    <s v="Trader"/>
    <d v="2019-07-27T00:00:00"/>
    <x v="2"/>
    <x v="324"/>
    <n v="180829"/>
    <s v="High"/>
    <x v="0"/>
    <x v="3"/>
    <d v="2024-10-05T00:00:00"/>
    <n v="377038"/>
    <n v="827"/>
    <x v="4"/>
    <n v="0"/>
    <x v="1"/>
  </r>
  <r>
    <s v="CUST0361"/>
    <s v="ACC00626"/>
    <s v="Jack Smith"/>
    <s v="Female"/>
    <n v="58"/>
    <x v="0"/>
    <x v="2"/>
    <s v="Student"/>
    <d v="2024-04-10T00:00:00"/>
    <x v="7"/>
    <x v="310"/>
    <n v="188484"/>
    <s v="High"/>
    <x v="1"/>
    <x v="1"/>
    <d v="2024-01-05T00:00:00"/>
    <n v="86795"/>
    <n v="831"/>
    <x v="4"/>
    <n v="0"/>
    <x v="3"/>
  </r>
  <r>
    <s v="CUST0147"/>
    <s v="ACC00627"/>
    <s v="Christina Wood"/>
    <s v="Male"/>
    <n v="29"/>
    <x v="1"/>
    <x v="3"/>
    <s v="Doctor"/>
    <d v="2020-02-27T00:00:00"/>
    <x v="4"/>
    <x v="295"/>
    <n v="193279"/>
    <s v="High"/>
    <x v="2"/>
    <x v="2"/>
    <d v="2020-12-25T00:00:00"/>
    <n v="165159"/>
    <n v="492"/>
    <x v="1"/>
    <n v="0"/>
    <x v="0"/>
  </r>
  <r>
    <s v="CUST0026"/>
    <s v="ACC00628"/>
    <s v="Charles Fields"/>
    <s v="Female"/>
    <n v="57"/>
    <x v="0"/>
    <x v="3"/>
    <s v="Doctor"/>
    <d v="2021-09-30T00:00:00"/>
    <x v="3"/>
    <x v="37"/>
    <n v="60042"/>
    <s v="Low"/>
    <x v="0"/>
    <x v="1"/>
    <d v="2015-11-09T00:00:00"/>
    <n v="328821"/>
    <n v="357"/>
    <x v="1"/>
    <n v="0"/>
    <x v="0"/>
  </r>
  <r>
    <s v="CUST0308"/>
    <s v="ACC00629"/>
    <s v="Daniel Miller"/>
    <s v="Female"/>
    <n v="35"/>
    <x v="1"/>
    <x v="1"/>
    <s v="Banker"/>
    <d v="2015-08-23T00:00:00"/>
    <x v="10"/>
    <x v="73"/>
    <n v="71047"/>
    <s v="Low"/>
    <x v="1"/>
    <x v="2"/>
    <d v="2017-12-03T00:00:00"/>
    <n v="135699"/>
    <n v="736"/>
    <x v="0"/>
    <n v="0"/>
    <x v="0"/>
  </r>
  <r>
    <s v="CUST0093"/>
    <s v="ACC00630"/>
    <s v="Miguel Rodriguez"/>
    <s v="Female"/>
    <n v="30"/>
    <x v="1"/>
    <x v="2"/>
    <s v="Teacher"/>
    <d v="2018-01-02T00:00:00"/>
    <x v="6"/>
    <x v="325"/>
    <n v="104082"/>
    <s v="Medium"/>
    <x v="1"/>
    <x v="0"/>
    <d v="2018-05-26T00:00:00"/>
    <n v="449757"/>
    <n v="410"/>
    <x v="1"/>
    <n v="0"/>
    <x v="3"/>
  </r>
  <r>
    <s v="CUST0406"/>
    <s v="ACC00631"/>
    <s v="Katherine Freeman"/>
    <s v="Female"/>
    <n v="28"/>
    <x v="2"/>
    <x v="2"/>
    <s v="Retired"/>
    <d v="2022-12-07T00:00:00"/>
    <x v="5"/>
    <x v="7"/>
    <n v="39975"/>
    <s v="Low"/>
    <x v="0"/>
    <x v="2"/>
    <d v="2023-10-09T00:00:00"/>
    <n v="243877"/>
    <n v="428"/>
    <x v="1"/>
    <n v="290291"/>
    <x v="0"/>
  </r>
  <r>
    <s v="CUST0232"/>
    <s v="ACC00632"/>
    <s v="Misty Jacobs"/>
    <s v="Female"/>
    <n v="74"/>
    <x v="3"/>
    <x v="2"/>
    <s v="Doctor"/>
    <d v="2018-08-23T00:00:00"/>
    <x v="6"/>
    <x v="226"/>
    <n v="102970"/>
    <s v="Medium"/>
    <x v="0"/>
    <x v="1"/>
    <d v="2017-03-29T00:00:00"/>
    <n v="199298"/>
    <n v="625"/>
    <x v="2"/>
    <n v="0"/>
    <x v="3"/>
  </r>
  <r>
    <s v="CUST0021"/>
    <s v="ACC00633"/>
    <s v="Elizabeth Smith"/>
    <s v="Female"/>
    <n v="44"/>
    <x v="1"/>
    <x v="2"/>
    <s v="Trader"/>
    <d v="2024-05-02T00:00:00"/>
    <x v="7"/>
    <x v="31"/>
    <n v="189269"/>
    <s v="High"/>
    <x v="1"/>
    <x v="0"/>
    <d v="2019-09-04T00:00:00"/>
    <n v="498843"/>
    <n v="307"/>
    <x v="1"/>
    <n v="0"/>
    <x v="0"/>
  </r>
  <r>
    <s v="CUST0307"/>
    <s v="ACC00634"/>
    <s v="Angela Garcia"/>
    <s v="Female"/>
    <n v="28"/>
    <x v="2"/>
    <x v="0"/>
    <s v="Teacher"/>
    <d v="2015-10-16T00:00:00"/>
    <x v="10"/>
    <x v="260"/>
    <n v="82768"/>
    <s v="Medium"/>
    <x v="1"/>
    <x v="0"/>
    <d v="2016-12-14T00:00:00"/>
    <n v="396471"/>
    <n v="328"/>
    <x v="1"/>
    <n v="249172"/>
    <x v="0"/>
  </r>
  <r>
    <s v="CUST0038"/>
    <s v="ACC00635"/>
    <s v="Adam Garcia"/>
    <s v="Male"/>
    <n v="67"/>
    <x v="3"/>
    <x v="2"/>
    <s v="Student"/>
    <d v="2021-11-07T00:00:00"/>
    <x v="3"/>
    <x v="293"/>
    <n v="46172"/>
    <s v="Low"/>
    <x v="0"/>
    <x v="2"/>
    <d v="2019-08-28T00:00:00"/>
    <n v="188505"/>
    <n v="411"/>
    <x v="1"/>
    <n v="0"/>
    <x v="0"/>
  </r>
  <r>
    <s v="CUST0276"/>
    <s v="ACC00636"/>
    <s v="Rebecca Bailey"/>
    <s v="Female"/>
    <n v="45"/>
    <x v="0"/>
    <x v="3"/>
    <s v="Student"/>
    <d v="2020-10-18T00:00:00"/>
    <x v="4"/>
    <x v="316"/>
    <n v="184053"/>
    <s v="High"/>
    <x v="1"/>
    <x v="0"/>
    <d v="2025-03-28T00:00:00"/>
    <n v="136285"/>
    <n v="430"/>
    <x v="1"/>
    <n v="95925"/>
    <x v="3"/>
  </r>
  <r>
    <s v="CUST0157"/>
    <s v="ACC00637"/>
    <s v="Samantha Conway"/>
    <s v="Male"/>
    <n v="54"/>
    <x v="0"/>
    <x v="0"/>
    <s v="Banker"/>
    <d v="2018-03-13T00:00:00"/>
    <x v="6"/>
    <x v="326"/>
    <n v="135953"/>
    <s v="Medium"/>
    <x v="0"/>
    <x v="0"/>
    <d v="2024-10-21T00:00:00"/>
    <n v="102412"/>
    <n v="487"/>
    <x v="1"/>
    <n v="0"/>
    <x v="1"/>
  </r>
  <r>
    <s v="CUST0179"/>
    <s v="ACC00638"/>
    <s v="Deborah Fisher"/>
    <s v="Male"/>
    <n v="66"/>
    <x v="3"/>
    <x v="2"/>
    <s v="Doctor"/>
    <d v="2017-03-09T00:00:00"/>
    <x v="0"/>
    <x v="327"/>
    <n v="27813"/>
    <s v="Low"/>
    <x v="2"/>
    <x v="0"/>
    <d v="2018-03-18T00:00:00"/>
    <n v="19404"/>
    <n v="774"/>
    <x v="3"/>
    <n v="0"/>
    <x v="0"/>
  </r>
  <r>
    <s v="CUST0132"/>
    <s v="ACC00639"/>
    <s v="Kendra Diaz"/>
    <s v="Male"/>
    <n v="33"/>
    <x v="1"/>
    <x v="1"/>
    <s v="Trader"/>
    <d v="2018-02-12T00:00:00"/>
    <x v="6"/>
    <x v="328"/>
    <n v="111659"/>
    <s v="Medium"/>
    <x v="1"/>
    <x v="1"/>
    <d v="2016-02-23T00:00:00"/>
    <n v="116545"/>
    <n v="663"/>
    <x v="2"/>
    <n v="0"/>
    <x v="0"/>
  </r>
  <r>
    <s v="CUST0311"/>
    <s v="ACC00640"/>
    <s v="Dr. Jeremy Miller"/>
    <s v="Female"/>
    <n v="26"/>
    <x v="2"/>
    <x v="1"/>
    <s v="Doctor"/>
    <d v="2017-05-06T00:00:00"/>
    <x v="0"/>
    <x v="329"/>
    <n v="152997"/>
    <s v="High"/>
    <x v="0"/>
    <x v="0"/>
    <d v="2016-08-25T00:00:00"/>
    <n v="418596"/>
    <n v="503"/>
    <x v="1"/>
    <n v="0"/>
    <x v="0"/>
  </r>
  <r>
    <s v="CUST0455"/>
    <s v="ACC00641"/>
    <s v="Ralph Johnson"/>
    <s v="Male"/>
    <n v="72"/>
    <x v="3"/>
    <x v="1"/>
    <s v="Student"/>
    <d v="2021-12-27T00:00:00"/>
    <x v="3"/>
    <x v="330"/>
    <n v="29847"/>
    <s v="Low"/>
    <x v="0"/>
    <x v="1"/>
    <d v="2019-06-19T00:00:00"/>
    <n v="222128"/>
    <n v="511"/>
    <x v="1"/>
    <n v="0"/>
    <x v="0"/>
  </r>
  <r>
    <s v="CUST0348"/>
    <s v="ACC00642"/>
    <s v="Jenna Cochran"/>
    <s v="Female"/>
    <n v="44"/>
    <x v="1"/>
    <x v="2"/>
    <s v="Banker"/>
    <d v="2019-01-20T00:00:00"/>
    <x v="2"/>
    <x v="331"/>
    <n v="171094"/>
    <s v="High"/>
    <x v="0"/>
    <x v="3"/>
    <d v="2025-04-19T00:00:00"/>
    <n v="150245"/>
    <n v="575"/>
    <x v="1"/>
    <n v="0"/>
    <x v="0"/>
  </r>
  <r>
    <s v="CUST0028"/>
    <s v="ACC00643"/>
    <s v="Edward Haynes"/>
    <s v="Female"/>
    <n v="26"/>
    <x v="2"/>
    <x v="1"/>
    <s v="Student"/>
    <d v="2019-08-21T00:00:00"/>
    <x v="2"/>
    <x v="39"/>
    <n v="136953"/>
    <s v="Medium"/>
    <x v="1"/>
    <x v="2"/>
    <d v="2025-03-15T00:00:00"/>
    <n v="184099"/>
    <n v="372"/>
    <x v="1"/>
    <n v="0"/>
    <x v="2"/>
  </r>
  <r>
    <s v="CUST0260"/>
    <s v="ACC00644"/>
    <s v="Nicholas Stone"/>
    <s v="Male"/>
    <n v="34"/>
    <x v="1"/>
    <x v="3"/>
    <s v="Teacher"/>
    <d v="2022-01-27T00:00:00"/>
    <x v="5"/>
    <x v="56"/>
    <n v="105708"/>
    <s v="Medium"/>
    <x v="1"/>
    <x v="3"/>
    <d v="2021-06-09T00:00:00"/>
    <n v="286133"/>
    <n v="542"/>
    <x v="1"/>
    <n v="0"/>
    <x v="0"/>
  </r>
  <r>
    <s v="CUST0406"/>
    <s v="ACC00645"/>
    <s v="Katherine Freeman"/>
    <s v="Female"/>
    <n v="28"/>
    <x v="2"/>
    <x v="2"/>
    <s v="Retired"/>
    <d v="2022-12-07T00:00:00"/>
    <x v="5"/>
    <x v="7"/>
    <n v="39975"/>
    <s v="Low"/>
    <x v="0"/>
    <x v="1"/>
    <d v="2018-01-09T00:00:00"/>
    <n v="261657"/>
    <n v="401"/>
    <x v="1"/>
    <n v="0"/>
    <x v="0"/>
  </r>
  <r>
    <s v="CUST0076"/>
    <s v="ACC00646"/>
    <s v="Pamela Johnson"/>
    <s v="Female"/>
    <n v="70"/>
    <x v="3"/>
    <x v="0"/>
    <s v="Trader"/>
    <d v="2017-07-01T00:00:00"/>
    <x v="0"/>
    <x v="12"/>
    <n v="172826"/>
    <s v="High"/>
    <x v="1"/>
    <x v="2"/>
    <d v="2024-04-24T00:00:00"/>
    <n v="370250"/>
    <n v="470"/>
    <x v="1"/>
    <n v="0"/>
    <x v="0"/>
  </r>
  <r>
    <s v="CUST0429"/>
    <s v="ACC00647"/>
    <s v="Courtney Carr"/>
    <s v="Male"/>
    <n v="71"/>
    <x v="3"/>
    <x v="3"/>
    <s v="Retired"/>
    <d v="2017-08-24T00:00:00"/>
    <x v="0"/>
    <x v="209"/>
    <n v="164832"/>
    <s v="High"/>
    <x v="1"/>
    <x v="2"/>
    <d v="2022-01-31T00:00:00"/>
    <n v="286663"/>
    <n v="487"/>
    <x v="1"/>
    <n v="0"/>
    <x v="1"/>
  </r>
  <r>
    <s v="CUST0067"/>
    <s v="ACC00648"/>
    <s v="Jessica Williams"/>
    <s v="Female"/>
    <n v="69"/>
    <x v="3"/>
    <x v="3"/>
    <s v="Teacher"/>
    <d v="2023-03-11T00:00:00"/>
    <x v="1"/>
    <x v="91"/>
    <n v="147015"/>
    <s v="High"/>
    <x v="1"/>
    <x v="0"/>
    <d v="2023-09-20T00:00:00"/>
    <n v="256875"/>
    <n v="740"/>
    <x v="3"/>
    <n v="0"/>
    <x v="0"/>
  </r>
  <r>
    <s v="CUST0342"/>
    <s v="ACC00649"/>
    <s v="Perry Alvarez"/>
    <s v="Female"/>
    <n v="23"/>
    <x v="2"/>
    <x v="1"/>
    <s v="Banker"/>
    <d v="2023-04-01T00:00:00"/>
    <x v="1"/>
    <x v="148"/>
    <n v="130091"/>
    <s v="Medium"/>
    <x v="0"/>
    <x v="0"/>
    <d v="2020-08-01T00:00:00"/>
    <n v="284583"/>
    <n v="385"/>
    <x v="1"/>
    <n v="270976"/>
    <x v="0"/>
  </r>
  <r>
    <s v="CUST0492"/>
    <s v="ACC00650"/>
    <s v="Michelle Allen"/>
    <s v="Male"/>
    <n v="54"/>
    <x v="0"/>
    <x v="3"/>
    <s v="Engineer"/>
    <d v="2022-10-25T00:00:00"/>
    <x v="5"/>
    <x v="191"/>
    <n v="29110"/>
    <s v="Low"/>
    <x v="1"/>
    <x v="1"/>
    <d v="2019-01-13T00:00:00"/>
    <n v="380714"/>
    <n v="775"/>
    <x v="3"/>
    <n v="37332"/>
    <x v="0"/>
  </r>
  <r>
    <s v="CUST0194"/>
    <s v="ACC00651"/>
    <s v="Oscar Young"/>
    <s v="Male"/>
    <n v="20"/>
    <x v="2"/>
    <x v="2"/>
    <s v="Banker"/>
    <d v="2024-06-03T00:00:00"/>
    <x v="7"/>
    <x v="332"/>
    <n v="95932"/>
    <s v="Medium"/>
    <x v="1"/>
    <x v="2"/>
    <d v="2025-03-02T00:00:00"/>
    <n v="470165"/>
    <n v="351"/>
    <x v="1"/>
    <n v="0"/>
    <x v="0"/>
  </r>
  <r>
    <s v="CUST0472"/>
    <s v="ACC00652"/>
    <s v="Anna Mitchell"/>
    <s v="Female"/>
    <n v="50"/>
    <x v="0"/>
    <x v="1"/>
    <s v="Banker"/>
    <d v="2018-09-26T00:00:00"/>
    <x v="6"/>
    <x v="184"/>
    <n v="179476"/>
    <s v="High"/>
    <x v="1"/>
    <x v="0"/>
    <d v="2019-03-21T00:00:00"/>
    <n v="14995"/>
    <n v="410"/>
    <x v="1"/>
    <n v="0"/>
    <x v="2"/>
  </r>
  <r>
    <s v="CUST0162"/>
    <s v="ACC00653"/>
    <s v="Lauren Lutz"/>
    <s v="Male"/>
    <n v="53"/>
    <x v="0"/>
    <x v="1"/>
    <s v="Retired"/>
    <d v="2015-09-01T00:00:00"/>
    <x v="10"/>
    <x v="183"/>
    <n v="29077"/>
    <s v="Low"/>
    <x v="0"/>
    <x v="1"/>
    <d v="2023-09-26T00:00:00"/>
    <n v="23559"/>
    <n v="342"/>
    <x v="1"/>
    <n v="0"/>
    <x v="0"/>
  </r>
  <r>
    <s v="CUST0347"/>
    <s v="ACC00654"/>
    <s v="Oscar Ortiz"/>
    <s v="Male"/>
    <n v="56"/>
    <x v="0"/>
    <x v="3"/>
    <s v="Engineer"/>
    <d v="2024-09-25T00:00:00"/>
    <x v="7"/>
    <x v="165"/>
    <n v="182962"/>
    <s v="High"/>
    <x v="0"/>
    <x v="1"/>
    <d v="2017-12-02T00:00:00"/>
    <n v="351193"/>
    <n v="510"/>
    <x v="1"/>
    <n v="82994"/>
    <x v="0"/>
  </r>
  <r>
    <s v="CUST0439"/>
    <s v="ACC00655"/>
    <s v="Mallory Miller"/>
    <s v="Male"/>
    <n v="30"/>
    <x v="1"/>
    <x v="2"/>
    <s v="Retired"/>
    <d v="2024-02-06T00:00:00"/>
    <x v="7"/>
    <x v="152"/>
    <n v="96367"/>
    <s v="Medium"/>
    <x v="1"/>
    <x v="3"/>
    <d v="2024-06-26T00:00:00"/>
    <n v="398237"/>
    <n v="499"/>
    <x v="1"/>
    <n v="0"/>
    <x v="0"/>
  </r>
  <r>
    <s v="CUST0361"/>
    <s v="ACC00656"/>
    <s v="Jack Smith"/>
    <s v="Female"/>
    <n v="58"/>
    <x v="0"/>
    <x v="2"/>
    <s v="Student"/>
    <d v="2024-04-10T00:00:00"/>
    <x v="7"/>
    <x v="310"/>
    <n v="188484"/>
    <s v="High"/>
    <x v="1"/>
    <x v="2"/>
    <d v="2022-01-19T00:00:00"/>
    <n v="98000"/>
    <n v="325"/>
    <x v="1"/>
    <n v="0"/>
    <x v="0"/>
  </r>
  <r>
    <s v="CUST0257"/>
    <s v="ACC00657"/>
    <s v="Lisa Stevens"/>
    <s v="Male"/>
    <n v="52"/>
    <x v="0"/>
    <x v="3"/>
    <s v="Banker"/>
    <d v="2017-08-06T00:00:00"/>
    <x v="0"/>
    <x v="333"/>
    <n v="74615"/>
    <s v="Low"/>
    <x v="1"/>
    <x v="3"/>
    <d v="2024-08-04T00:00:00"/>
    <n v="152191"/>
    <n v="598"/>
    <x v="2"/>
    <n v="0"/>
    <x v="3"/>
  </r>
  <r>
    <s v="CUST0072"/>
    <s v="ACC00658"/>
    <s v="Billy Hendrix Jr."/>
    <s v="Female"/>
    <n v="60"/>
    <x v="0"/>
    <x v="1"/>
    <s v="Doctor"/>
    <d v="2016-03-28T00:00:00"/>
    <x v="9"/>
    <x v="98"/>
    <n v="45559"/>
    <s v="Low"/>
    <x v="0"/>
    <x v="0"/>
    <d v="2024-10-28T00:00:00"/>
    <n v="444755"/>
    <n v="376"/>
    <x v="1"/>
    <n v="0"/>
    <x v="0"/>
  </r>
  <r>
    <s v="CUST0087"/>
    <s v="ACC00659"/>
    <s v="Jack Coleman"/>
    <s v="Female"/>
    <n v="64"/>
    <x v="3"/>
    <x v="3"/>
    <s v="Banker"/>
    <d v="2025-06-03T00:00:00"/>
    <x v="8"/>
    <x v="115"/>
    <n v="106988"/>
    <s v="Medium"/>
    <x v="1"/>
    <x v="1"/>
    <d v="2023-10-05T00:00:00"/>
    <n v="488051"/>
    <n v="436"/>
    <x v="1"/>
    <n v="0"/>
    <x v="1"/>
  </r>
  <r>
    <s v="CUST0422"/>
    <s v="ACC00660"/>
    <s v="Amanda Thompson"/>
    <s v="Female"/>
    <n v="67"/>
    <x v="3"/>
    <x v="2"/>
    <s v="Doctor"/>
    <d v="2021-11-23T00:00:00"/>
    <x v="3"/>
    <x v="304"/>
    <n v="121459"/>
    <s v="Medium"/>
    <x v="0"/>
    <x v="1"/>
    <d v="2025-05-02T00:00:00"/>
    <n v="301494"/>
    <n v="319"/>
    <x v="1"/>
    <n v="0"/>
    <x v="0"/>
  </r>
  <r>
    <s v="CUST0262"/>
    <s v="ACC00661"/>
    <s v="Joy Lopez"/>
    <s v="Female"/>
    <n v="37"/>
    <x v="1"/>
    <x v="2"/>
    <s v="Teacher"/>
    <d v="2024-08-12T00:00:00"/>
    <x v="7"/>
    <x v="236"/>
    <n v="177661"/>
    <s v="High"/>
    <x v="1"/>
    <x v="1"/>
    <d v="2016-04-05T00:00:00"/>
    <n v="439439"/>
    <n v="739"/>
    <x v="0"/>
    <n v="0"/>
    <x v="0"/>
  </r>
  <r>
    <s v="CUST0214"/>
    <s v="ACC00662"/>
    <s v="Sarah Wilson"/>
    <s v="Male"/>
    <n v="46"/>
    <x v="0"/>
    <x v="0"/>
    <s v="Trader"/>
    <d v="2022-08-26T00:00:00"/>
    <x v="5"/>
    <x v="216"/>
    <n v="32857"/>
    <s v="Low"/>
    <x v="1"/>
    <x v="1"/>
    <d v="2016-12-24T00:00:00"/>
    <n v="25517"/>
    <n v="510"/>
    <x v="1"/>
    <n v="0"/>
    <x v="0"/>
  </r>
  <r>
    <s v="CUST0153"/>
    <s v="ACC00663"/>
    <s v="Patrick Pope"/>
    <s v="Male"/>
    <n v="56"/>
    <x v="0"/>
    <x v="0"/>
    <s v="Retired"/>
    <d v="2015-12-27T00:00:00"/>
    <x v="10"/>
    <x v="334"/>
    <n v="156156"/>
    <s v="High"/>
    <x v="0"/>
    <x v="1"/>
    <d v="2022-01-11T00:00:00"/>
    <n v="471869"/>
    <n v="734"/>
    <x v="0"/>
    <n v="0"/>
    <x v="0"/>
  </r>
  <r>
    <s v="CUST0210"/>
    <s v="ACC00664"/>
    <s v="Joanne Ray"/>
    <s v="Male"/>
    <n v="40"/>
    <x v="1"/>
    <x v="0"/>
    <s v="Teacher"/>
    <d v="2019-10-04T00:00:00"/>
    <x v="2"/>
    <x v="214"/>
    <n v="183268"/>
    <s v="High"/>
    <x v="0"/>
    <x v="1"/>
    <d v="2018-06-22T00:00:00"/>
    <n v="415466"/>
    <n v="506"/>
    <x v="1"/>
    <n v="0"/>
    <x v="1"/>
  </r>
  <r>
    <s v="CUST0401"/>
    <s v="ACC00665"/>
    <s v="Kelsey Rodriguez"/>
    <s v="Female"/>
    <n v="71"/>
    <x v="3"/>
    <x v="0"/>
    <s v="Retired"/>
    <d v="2020-09-26T00:00:00"/>
    <x v="4"/>
    <x v="53"/>
    <n v="199436"/>
    <s v="High"/>
    <x v="2"/>
    <x v="0"/>
    <d v="2024-05-05T00:00:00"/>
    <n v="215558"/>
    <n v="738"/>
    <x v="0"/>
    <n v="0"/>
    <x v="0"/>
  </r>
  <r>
    <s v="CUST0061"/>
    <s v="ACC00666"/>
    <s v="Ricky Fisher"/>
    <s v="Male"/>
    <n v="39"/>
    <x v="1"/>
    <x v="1"/>
    <s v="Retired"/>
    <d v="2022-11-13T00:00:00"/>
    <x v="5"/>
    <x v="78"/>
    <n v="123320"/>
    <s v="Medium"/>
    <x v="1"/>
    <x v="3"/>
    <d v="2020-08-06T00:00:00"/>
    <n v="476111"/>
    <n v="341"/>
    <x v="1"/>
    <n v="390751"/>
    <x v="0"/>
  </r>
  <r>
    <s v="CUST0268"/>
    <s v="ACC00667"/>
    <s v="Derek Gardner"/>
    <s v="Female"/>
    <n v="66"/>
    <x v="3"/>
    <x v="2"/>
    <s v="Banker"/>
    <d v="2019-12-20T00:00:00"/>
    <x v="2"/>
    <x v="240"/>
    <n v="177215"/>
    <s v="High"/>
    <x v="1"/>
    <x v="0"/>
    <d v="2024-04-18T00:00:00"/>
    <n v="351276"/>
    <n v="710"/>
    <x v="0"/>
    <n v="330188"/>
    <x v="1"/>
  </r>
  <r>
    <s v="CUST0262"/>
    <s v="ACC00668"/>
    <s v="Joy Lopez"/>
    <s v="Female"/>
    <n v="37"/>
    <x v="1"/>
    <x v="2"/>
    <s v="Teacher"/>
    <d v="2024-08-12T00:00:00"/>
    <x v="7"/>
    <x v="236"/>
    <n v="177661"/>
    <s v="High"/>
    <x v="1"/>
    <x v="2"/>
    <d v="2019-11-03T00:00:00"/>
    <n v="484282"/>
    <n v="822"/>
    <x v="4"/>
    <n v="0"/>
    <x v="0"/>
  </r>
  <r>
    <s v="CUST0218"/>
    <s v="ACC00669"/>
    <s v="Samantha Castro"/>
    <s v="Male"/>
    <n v="51"/>
    <x v="0"/>
    <x v="2"/>
    <s v="Student"/>
    <d v="2016-08-04T00:00:00"/>
    <x v="9"/>
    <x v="197"/>
    <n v="46431"/>
    <s v="Low"/>
    <x v="2"/>
    <x v="0"/>
    <d v="2017-01-16T00:00:00"/>
    <n v="460014"/>
    <n v="726"/>
    <x v="0"/>
    <n v="0"/>
    <x v="0"/>
  </r>
  <r>
    <s v="CUST0283"/>
    <s v="ACC00670"/>
    <s v="Kristen Spencer"/>
    <s v="Female"/>
    <n v="70"/>
    <x v="3"/>
    <x v="3"/>
    <s v="Teacher"/>
    <d v="2017-01-19T00:00:00"/>
    <x v="0"/>
    <x v="153"/>
    <n v="116347"/>
    <s v="Medium"/>
    <x v="1"/>
    <x v="1"/>
    <d v="2017-02-03T00:00:00"/>
    <n v="447415"/>
    <n v="574"/>
    <x v="1"/>
    <n v="0"/>
    <x v="1"/>
  </r>
  <r>
    <s v="CUST0136"/>
    <s v="ACC00671"/>
    <s v="Andrea Taylor"/>
    <s v="Male"/>
    <n v="74"/>
    <x v="3"/>
    <x v="3"/>
    <s v="Student"/>
    <d v="2024-05-27T00:00:00"/>
    <x v="7"/>
    <x v="335"/>
    <n v="148232"/>
    <s v="High"/>
    <x v="0"/>
    <x v="1"/>
    <d v="2017-06-28T00:00:00"/>
    <n v="321690"/>
    <n v="747"/>
    <x v="3"/>
    <n v="366484"/>
    <x v="0"/>
  </r>
  <r>
    <s v="CUST0467"/>
    <s v="ACC00672"/>
    <s v="Dr. Christina Erickson"/>
    <s v="Female"/>
    <n v="42"/>
    <x v="1"/>
    <x v="0"/>
    <s v="Doctor"/>
    <d v="2021-10-29T00:00:00"/>
    <x v="3"/>
    <x v="336"/>
    <n v="20281"/>
    <s v="Low"/>
    <x v="0"/>
    <x v="1"/>
    <d v="2023-08-10T00:00:00"/>
    <n v="105686"/>
    <n v="668"/>
    <x v="2"/>
    <n v="0"/>
    <x v="1"/>
  </r>
  <r>
    <s v="CUST0380"/>
    <s v="ACC00673"/>
    <s v="Brandon Morales"/>
    <s v="Male"/>
    <n v="38"/>
    <x v="1"/>
    <x v="3"/>
    <s v="Retired"/>
    <d v="2021-12-08T00:00:00"/>
    <x v="3"/>
    <x v="266"/>
    <n v="134225"/>
    <s v="Medium"/>
    <x v="0"/>
    <x v="1"/>
    <d v="2022-01-02T00:00:00"/>
    <n v="88151"/>
    <n v="519"/>
    <x v="1"/>
    <n v="0"/>
    <x v="0"/>
  </r>
  <r>
    <s v="CUST0362"/>
    <s v="ACC00674"/>
    <s v="Arthur Green"/>
    <s v="Male"/>
    <n v="56"/>
    <x v="0"/>
    <x v="1"/>
    <s v="Teacher"/>
    <d v="2015-10-18T00:00:00"/>
    <x v="10"/>
    <x v="337"/>
    <n v="22920"/>
    <s v="Low"/>
    <x v="1"/>
    <x v="0"/>
    <d v="2020-06-28T00:00:00"/>
    <n v="265471"/>
    <n v="531"/>
    <x v="1"/>
    <n v="0"/>
    <x v="3"/>
  </r>
  <r>
    <s v="CUST0449"/>
    <s v="ACC00675"/>
    <s v="Heather Allen"/>
    <s v="Male"/>
    <n v="27"/>
    <x v="2"/>
    <x v="1"/>
    <s v="Banker"/>
    <d v="2020-07-20T00:00:00"/>
    <x v="4"/>
    <x v="338"/>
    <n v="91635"/>
    <s v="Medium"/>
    <x v="1"/>
    <x v="1"/>
    <d v="2015-12-27T00:00:00"/>
    <n v="120318"/>
    <n v="627"/>
    <x v="2"/>
    <n v="0"/>
    <x v="0"/>
  </r>
  <r>
    <s v="CUST0441"/>
    <s v="ACC00676"/>
    <s v="Emily Sellers"/>
    <s v="Male"/>
    <n v="52"/>
    <x v="0"/>
    <x v="1"/>
    <s v="Trader"/>
    <d v="2023-02-07T00:00:00"/>
    <x v="1"/>
    <x v="171"/>
    <n v="96619"/>
    <s v="Medium"/>
    <x v="1"/>
    <x v="1"/>
    <d v="2017-12-23T00:00:00"/>
    <n v="422984"/>
    <n v="742"/>
    <x v="3"/>
    <n v="274579"/>
    <x v="0"/>
  </r>
  <r>
    <s v="CUST0093"/>
    <s v="ACC00677"/>
    <s v="Miguel Rodriguez"/>
    <s v="Female"/>
    <n v="30"/>
    <x v="1"/>
    <x v="2"/>
    <s v="Teacher"/>
    <d v="2018-01-02T00:00:00"/>
    <x v="6"/>
    <x v="325"/>
    <n v="104082"/>
    <s v="Medium"/>
    <x v="1"/>
    <x v="1"/>
    <d v="2017-12-19T00:00:00"/>
    <n v="195490"/>
    <n v="351"/>
    <x v="1"/>
    <n v="0"/>
    <x v="0"/>
  </r>
  <r>
    <s v="CUST0109"/>
    <s v="ACC00678"/>
    <s v="Emily Scott"/>
    <s v="Female"/>
    <n v="29"/>
    <x v="1"/>
    <x v="1"/>
    <s v="Engineer"/>
    <d v="2020-09-03T00:00:00"/>
    <x v="4"/>
    <x v="10"/>
    <n v="131785"/>
    <s v="Medium"/>
    <x v="0"/>
    <x v="3"/>
    <d v="2019-05-23T00:00:00"/>
    <n v="487602"/>
    <n v="675"/>
    <x v="0"/>
    <n v="0"/>
    <x v="0"/>
  </r>
  <r>
    <s v="CUST0241"/>
    <s v="ACC00679"/>
    <s v="Jeff Coleman"/>
    <s v="Female"/>
    <n v="65"/>
    <x v="3"/>
    <x v="2"/>
    <s v="Teacher"/>
    <d v="2024-05-08T00:00:00"/>
    <x v="7"/>
    <x v="339"/>
    <n v="166323"/>
    <s v="High"/>
    <x v="1"/>
    <x v="2"/>
    <d v="2016-07-19T00:00:00"/>
    <n v="173860"/>
    <n v="562"/>
    <x v="1"/>
    <n v="0"/>
    <x v="0"/>
  </r>
  <r>
    <s v="CUST0355"/>
    <s v="ACC00680"/>
    <s v="Rebecca Doyle"/>
    <s v="Female"/>
    <n v="30"/>
    <x v="1"/>
    <x v="0"/>
    <s v="Teacher"/>
    <d v="2020-01-17T00:00:00"/>
    <x v="4"/>
    <x v="131"/>
    <n v="112447"/>
    <s v="Medium"/>
    <x v="1"/>
    <x v="2"/>
    <d v="2024-04-10T00:00:00"/>
    <n v="115945"/>
    <n v="566"/>
    <x v="1"/>
    <n v="0"/>
    <x v="0"/>
  </r>
  <r>
    <s v="CUST0424"/>
    <s v="ACC00681"/>
    <s v="Matthew Martinez"/>
    <s v="Male"/>
    <n v="45"/>
    <x v="0"/>
    <x v="3"/>
    <s v="Doctor"/>
    <d v="2020-10-07T00:00:00"/>
    <x v="4"/>
    <x v="230"/>
    <n v="121520"/>
    <s v="Medium"/>
    <x v="0"/>
    <x v="1"/>
    <d v="2016-03-31T00:00:00"/>
    <n v="213456"/>
    <n v="658"/>
    <x v="2"/>
    <n v="0"/>
    <x v="2"/>
  </r>
  <r>
    <s v="CUST0142"/>
    <s v="ACC00682"/>
    <s v="Charles Chapman"/>
    <s v="Male"/>
    <n v="66"/>
    <x v="3"/>
    <x v="1"/>
    <s v="Retired"/>
    <d v="2024-09-25T00:00:00"/>
    <x v="7"/>
    <x v="165"/>
    <n v="83852"/>
    <s v="Medium"/>
    <x v="1"/>
    <x v="2"/>
    <d v="2022-01-19T00:00:00"/>
    <n v="308974"/>
    <n v="616"/>
    <x v="2"/>
    <n v="0"/>
    <x v="0"/>
  </r>
  <r>
    <s v="CUST0291"/>
    <s v="ACC00683"/>
    <s v="Sherry Watson"/>
    <s v="Male"/>
    <n v="70"/>
    <x v="3"/>
    <x v="3"/>
    <s v="Engineer"/>
    <d v="2019-02-03T00:00:00"/>
    <x v="2"/>
    <x v="340"/>
    <n v="26368"/>
    <s v="Low"/>
    <x v="0"/>
    <x v="2"/>
    <d v="2023-07-11T00:00:00"/>
    <n v="52446"/>
    <n v="623"/>
    <x v="2"/>
    <n v="254717"/>
    <x v="0"/>
  </r>
  <r>
    <s v="CUST0432"/>
    <s v="ACC00684"/>
    <s v="Zachary Vasquez"/>
    <s v="Female"/>
    <n v="50"/>
    <x v="0"/>
    <x v="2"/>
    <s v="Trader"/>
    <d v="2017-06-01T00:00:00"/>
    <x v="0"/>
    <x v="24"/>
    <n v="81367"/>
    <s v="Medium"/>
    <x v="0"/>
    <x v="0"/>
    <d v="2024-05-19T00:00:00"/>
    <n v="498294"/>
    <n v="720"/>
    <x v="0"/>
    <n v="139479"/>
    <x v="0"/>
  </r>
  <r>
    <s v="CUST0237"/>
    <s v="ACC00685"/>
    <s v="Nicholas Washington"/>
    <s v="Female"/>
    <n v="41"/>
    <x v="1"/>
    <x v="0"/>
    <s v="Doctor"/>
    <d v="2024-10-14T00:00:00"/>
    <x v="7"/>
    <x v="341"/>
    <n v="189899"/>
    <s v="High"/>
    <x v="0"/>
    <x v="3"/>
    <d v="2022-06-09T00:00:00"/>
    <n v="408376"/>
    <n v="345"/>
    <x v="1"/>
    <n v="0"/>
    <x v="0"/>
  </r>
  <r>
    <s v="CUST0340"/>
    <s v="ACC00686"/>
    <s v="Kyle Hendricks"/>
    <s v="Female"/>
    <n v="21"/>
    <x v="2"/>
    <x v="1"/>
    <s v="Teacher"/>
    <d v="2017-07-11T00:00:00"/>
    <x v="0"/>
    <x v="342"/>
    <n v="92715"/>
    <s v="Medium"/>
    <x v="1"/>
    <x v="1"/>
    <d v="2020-10-13T00:00:00"/>
    <n v="187655"/>
    <n v="568"/>
    <x v="1"/>
    <n v="0"/>
    <x v="0"/>
  </r>
  <r>
    <s v="CUST0312"/>
    <s v="ACC00687"/>
    <s v="Jennifer Foster"/>
    <s v="Male"/>
    <n v="27"/>
    <x v="2"/>
    <x v="3"/>
    <s v="Trader"/>
    <d v="2019-10-29T00:00:00"/>
    <x v="2"/>
    <x v="136"/>
    <n v="137832"/>
    <s v="Medium"/>
    <x v="1"/>
    <x v="3"/>
    <d v="2023-09-22T00:00:00"/>
    <n v="427214"/>
    <n v="680"/>
    <x v="0"/>
    <n v="0"/>
    <x v="0"/>
  </r>
  <r>
    <s v="CUST0177"/>
    <s v="ACC00688"/>
    <s v="Chad Walsh"/>
    <s v="Male"/>
    <n v="72"/>
    <x v="3"/>
    <x v="3"/>
    <s v="Student"/>
    <d v="2024-09-03T00:00:00"/>
    <x v="7"/>
    <x v="195"/>
    <n v="143786"/>
    <s v="High"/>
    <x v="1"/>
    <x v="3"/>
    <d v="2015-09-04T00:00:00"/>
    <n v="420446"/>
    <n v="417"/>
    <x v="1"/>
    <n v="0"/>
    <x v="0"/>
  </r>
  <r>
    <s v="CUST0141"/>
    <s v="ACC00689"/>
    <s v="Nicole Huynh"/>
    <s v="Female"/>
    <n v="64"/>
    <x v="3"/>
    <x v="2"/>
    <s v="Banker"/>
    <d v="2018-08-14T00:00:00"/>
    <x v="6"/>
    <x v="343"/>
    <n v="51575"/>
    <s v="Low"/>
    <x v="0"/>
    <x v="1"/>
    <d v="2024-01-14T00:00:00"/>
    <n v="140148"/>
    <n v="415"/>
    <x v="1"/>
    <n v="0"/>
    <x v="2"/>
  </r>
  <r>
    <s v="CUST0189"/>
    <s v="ACC00690"/>
    <s v="Ryan Doyle"/>
    <s v="Male"/>
    <n v="50"/>
    <x v="0"/>
    <x v="0"/>
    <s v="Retired"/>
    <d v="2024-08-31T00:00:00"/>
    <x v="7"/>
    <x v="201"/>
    <n v="165360"/>
    <s v="High"/>
    <x v="1"/>
    <x v="0"/>
    <d v="2024-05-06T00:00:00"/>
    <n v="69341"/>
    <n v="559"/>
    <x v="1"/>
    <n v="0"/>
    <x v="0"/>
  </r>
  <r>
    <s v="CUST0486"/>
    <s v="ACC00691"/>
    <s v="Ronald Craig"/>
    <s v="Female"/>
    <n v="55"/>
    <x v="0"/>
    <x v="2"/>
    <s v="Retired"/>
    <d v="2024-11-25T00:00:00"/>
    <x v="7"/>
    <x v="16"/>
    <n v="166470"/>
    <s v="High"/>
    <x v="1"/>
    <x v="3"/>
    <d v="2022-07-24T00:00:00"/>
    <n v="31085"/>
    <n v="374"/>
    <x v="1"/>
    <n v="0"/>
    <x v="0"/>
  </r>
  <r>
    <s v="CUST0049"/>
    <s v="ACC00692"/>
    <s v="Samantha Davis"/>
    <s v="Female"/>
    <n v="63"/>
    <x v="3"/>
    <x v="3"/>
    <s v="Banker"/>
    <d v="2017-01-15T00:00:00"/>
    <x v="0"/>
    <x v="68"/>
    <n v="27287"/>
    <s v="Low"/>
    <x v="1"/>
    <x v="1"/>
    <d v="2022-10-04T00:00:00"/>
    <n v="317715"/>
    <n v="779"/>
    <x v="3"/>
    <n v="0"/>
    <x v="0"/>
  </r>
  <r>
    <s v="CUST0302"/>
    <s v="ACC00693"/>
    <s v="Austin James"/>
    <s v="Male"/>
    <n v="22"/>
    <x v="2"/>
    <x v="3"/>
    <s v="Engineer"/>
    <d v="2021-10-04T00:00:00"/>
    <x v="3"/>
    <x v="102"/>
    <n v="95897"/>
    <s v="Medium"/>
    <x v="1"/>
    <x v="0"/>
    <d v="2024-01-01T00:00:00"/>
    <n v="407931"/>
    <n v="604"/>
    <x v="2"/>
    <n v="0"/>
    <x v="0"/>
  </r>
  <r>
    <s v="CUST0369"/>
    <s v="ACC00694"/>
    <s v="Heather Davis"/>
    <s v="Male"/>
    <n v="42"/>
    <x v="1"/>
    <x v="0"/>
    <s v="Engineer"/>
    <d v="2023-01-28T00:00:00"/>
    <x v="1"/>
    <x v="70"/>
    <n v="181099"/>
    <s v="High"/>
    <x v="0"/>
    <x v="3"/>
    <d v="2023-10-03T00:00:00"/>
    <n v="390452"/>
    <n v="306"/>
    <x v="1"/>
    <n v="0"/>
    <x v="2"/>
  </r>
  <r>
    <s v="CUST0190"/>
    <s v="ACC00695"/>
    <s v="Cesar Silva"/>
    <s v="Female"/>
    <n v="68"/>
    <x v="3"/>
    <x v="1"/>
    <s v="Teacher"/>
    <d v="2017-09-30T00:00:00"/>
    <x v="0"/>
    <x v="202"/>
    <n v="109186"/>
    <s v="Medium"/>
    <x v="1"/>
    <x v="0"/>
    <d v="2019-04-15T00:00:00"/>
    <n v="5750"/>
    <n v="665"/>
    <x v="2"/>
    <n v="367612"/>
    <x v="0"/>
  </r>
  <r>
    <s v="CUST0136"/>
    <s v="ACC00696"/>
    <s v="Andrea Taylor"/>
    <s v="Male"/>
    <n v="74"/>
    <x v="3"/>
    <x v="3"/>
    <s v="Student"/>
    <d v="2024-05-27T00:00:00"/>
    <x v="7"/>
    <x v="335"/>
    <n v="148232"/>
    <s v="High"/>
    <x v="0"/>
    <x v="1"/>
    <d v="2023-11-24T00:00:00"/>
    <n v="376075"/>
    <n v="822"/>
    <x v="4"/>
    <n v="396351"/>
    <x v="0"/>
  </r>
  <r>
    <s v="CUST0043"/>
    <s v="ACC00697"/>
    <s v="Stephanie Ashley"/>
    <s v="Female"/>
    <n v="74"/>
    <x v="3"/>
    <x v="2"/>
    <s v="Engineer"/>
    <d v="2022-07-10T00:00:00"/>
    <x v="5"/>
    <x v="63"/>
    <n v="132855"/>
    <s v="Medium"/>
    <x v="0"/>
    <x v="0"/>
    <d v="2023-10-21T00:00:00"/>
    <n v="340912"/>
    <n v="647"/>
    <x v="2"/>
    <n v="0"/>
    <x v="1"/>
  </r>
  <r>
    <s v="CUST0404"/>
    <s v="ACC00698"/>
    <s v="Jessica Lee"/>
    <s v="Male"/>
    <n v="40"/>
    <x v="1"/>
    <x v="3"/>
    <s v="Student"/>
    <d v="2021-03-13T00:00:00"/>
    <x v="3"/>
    <x v="274"/>
    <n v="77056"/>
    <s v="Medium"/>
    <x v="1"/>
    <x v="1"/>
    <d v="2021-12-24T00:00:00"/>
    <n v="35903"/>
    <n v="737"/>
    <x v="0"/>
    <n v="0"/>
    <x v="0"/>
  </r>
  <r>
    <s v="CUST0380"/>
    <s v="ACC00699"/>
    <s v="Brandon Morales"/>
    <s v="Male"/>
    <n v="38"/>
    <x v="1"/>
    <x v="3"/>
    <s v="Retired"/>
    <d v="2021-12-08T00:00:00"/>
    <x v="3"/>
    <x v="266"/>
    <n v="134225"/>
    <s v="Medium"/>
    <x v="0"/>
    <x v="0"/>
    <d v="2016-01-16T00:00:00"/>
    <n v="203561"/>
    <n v="514"/>
    <x v="1"/>
    <n v="452603"/>
    <x v="1"/>
  </r>
  <r>
    <s v="CUST0353"/>
    <s v="ACC00700"/>
    <s v="Mrs. Valerie Dunlap MD"/>
    <s v="Male"/>
    <n v="20"/>
    <x v="2"/>
    <x v="1"/>
    <s v="Doctor"/>
    <d v="2019-09-19T00:00:00"/>
    <x v="2"/>
    <x v="269"/>
    <n v="22356"/>
    <s v="Low"/>
    <x v="1"/>
    <x v="1"/>
    <d v="2020-01-17T00:00:00"/>
    <n v="425309"/>
    <n v="728"/>
    <x v="0"/>
    <n v="0"/>
    <x v="0"/>
  </r>
  <r>
    <s v="CUST0090"/>
    <s v="ACC00701"/>
    <s v="Edward Ramirez"/>
    <s v="Female"/>
    <n v="57"/>
    <x v="0"/>
    <x v="2"/>
    <s v="Student"/>
    <d v="2015-08-23T00:00:00"/>
    <x v="10"/>
    <x v="73"/>
    <n v="160588"/>
    <s v="High"/>
    <x v="1"/>
    <x v="0"/>
    <d v="2020-12-13T00:00:00"/>
    <n v="91036"/>
    <n v="797"/>
    <x v="3"/>
    <n v="0"/>
    <x v="3"/>
  </r>
  <r>
    <s v="CUST0295"/>
    <s v="ACC00702"/>
    <s v="Donna Clark"/>
    <s v="Female"/>
    <n v="56"/>
    <x v="0"/>
    <x v="3"/>
    <s v="Student"/>
    <d v="2016-05-20T00:00:00"/>
    <x v="9"/>
    <x v="122"/>
    <n v="132755"/>
    <s v="Medium"/>
    <x v="1"/>
    <x v="0"/>
    <d v="2023-10-05T00:00:00"/>
    <n v="87954"/>
    <n v="839"/>
    <x v="4"/>
    <n v="0"/>
    <x v="0"/>
  </r>
  <r>
    <s v="CUST0341"/>
    <s v="ACC00703"/>
    <s v="Paul Payne"/>
    <s v="Male"/>
    <n v="53"/>
    <x v="0"/>
    <x v="1"/>
    <s v="Teacher"/>
    <d v="2017-10-01T00:00:00"/>
    <x v="0"/>
    <x v="200"/>
    <n v="161398"/>
    <s v="High"/>
    <x v="1"/>
    <x v="2"/>
    <d v="2017-06-20T00:00:00"/>
    <n v="427530"/>
    <n v="666"/>
    <x v="2"/>
    <n v="449958"/>
    <x v="0"/>
  </r>
  <r>
    <s v="CUST0245"/>
    <s v="ACC00704"/>
    <s v="Kenneth Garza"/>
    <s v="Male"/>
    <n v="56"/>
    <x v="0"/>
    <x v="3"/>
    <s v="Engineer"/>
    <d v="2018-10-22T00:00:00"/>
    <x v="6"/>
    <x v="97"/>
    <n v="67837"/>
    <s v="Low"/>
    <x v="0"/>
    <x v="0"/>
    <d v="2016-12-08T00:00:00"/>
    <n v="441441"/>
    <n v="612"/>
    <x v="2"/>
    <n v="307666"/>
    <x v="0"/>
  </r>
  <r>
    <s v="CUST0433"/>
    <s v="ACC00705"/>
    <s v="Brendan Shepard MD"/>
    <s v="Male"/>
    <n v="70"/>
    <x v="3"/>
    <x v="2"/>
    <s v="Banker"/>
    <d v="2019-11-05T00:00:00"/>
    <x v="2"/>
    <x v="344"/>
    <n v="163660"/>
    <s v="High"/>
    <x v="0"/>
    <x v="0"/>
    <d v="2019-02-07T00:00:00"/>
    <n v="481201"/>
    <n v="837"/>
    <x v="4"/>
    <n v="0"/>
    <x v="0"/>
  </r>
  <r>
    <s v="CUST0192"/>
    <s v="ACC00706"/>
    <s v="Kim Hubbard"/>
    <s v="Male"/>
    <n v="54"/>
    <x v="0"/>
    <x v="3"/>
    <s v="Engineer"/>
    <d v="2025-08-22T00:00:00"/>
    <x v="8"/>
    <x v="21"/>
    <n v="117768"/>
    <s v="Medium"/>
    <x v="1"/>
    <x v="0"/>
    <d v="2018-05-01T00:00:00"/>
    <n v="345158"/>
    <n v="353"/>
    <x v="1"/>
    <n v="0"/>
    <x v="0"/>
  </r>
  <r>
    <s v="CUST0318"/>
    <s v="ACC00707"/>
    <s v="Jay Gray"/>
    <s v="Male"/>
    <n v="30"/>
    <x v="1"/>
    <x v="2"/>
    <s v="Teacher"/>
    <d v="2016-01-12T00:00:00"/>
    <x v="9"/>
    <x v="345"/>
    <n v="110827"/>
    <s v="Medium"/>
    <x v="0"/>
    <x v="1"/>
    <d v="2022-07-18T00:00:00"/>
    <n v="428395"/>
    <n v="840"/>
    <x v="4"/>
    <n v="0"/>
    <x v="0"/>
  </r>
  <r>
    <s v="CUST0106"/>
    <s v="ACC00708"/>
    <s v="Linda Lopez"/>
    <s v="Female"/>
    <n v="70"/>
    <x v="3"/>
    <x v="0"/>
    <s v="Banker"/>
    <d v="2017-07-24T00:00:00"/>
    <x v="0"/>
    <x v="137"/>
    <n v="184202"/>
    <s v="High"/>
    <x v="1"/>
    <x v="0"/>
    <d v="2023-12-12T00:00:00"/>
    <n v="117305"/>
    <n v="766"/>
    <x v="3"/>
    <n v="0"/>
    <x v="3"/>
  </r>
  <r>
    <s v="CUST0363"/>
    <s v="ACC00709"/>
    <s v="William Fuller"/>
    <s v="Male"/>
    <n v="18"/>
    <x v="2"/>
    <x v="3"/>
    <s v="Trader"/>
    <d v="2016-07-30T00:00:00"/>
    <x v="9"/>
    <x v="170"/>
    <n v="99561"/>
    <s v="Medium"/>
    <x v="2"/>
    <x v="1"/>
    <d v="2017-03-16T00:00:00"/>
    <n v="418554"/>
    <n v="463"/>
    <x v="1"/>
    <n v="366541"/>
    <x v="0"/>
  </r>
  <r>
    <s v="CUST0310"/>
    <s v="ACC00710"/>
    <s v="Joshua Morales"/>
    <s v="Female"/>
    <n v="29"/>
    <x v="1"/>
    <x v="2"/>
    <s v="Doctor"/>
    <d v="2016-12-16T00:00:00"/>
    <x v="9"/>
    <x v="346"/>
    <n v="77660"/>
    <s v="Medium"/>
    <x v="1"/>
    <x v="3"/>
    <d v="2019-08-21T00:00:00"/>
    <n v="485651"/>
    <n v="633"/>
    <x v="2"/>
    <n v="8880"/>
    <x v="2"/>
  </r>
  <r>
    <s v="CUST0382"/>
    <s v="ACC00711"/>
    <s v="Wendy Hodge"/>
    <s v="Female"/>
    <n v="71"/>
    <x v="3"/>
    <x v="1"/>
    <s v="Engineer"/>
    <d v="2020-06-13T00:00:00"/>
    <x v="4"/>
    <x v="275"/>
    <n v="100818"/>
    <s v="Medium"/>
    <x v="1"/>
    <x v="1"/>
    <d v="2015-10-28T00:00:00"/>
    <n v="200753"/>
    <n v="846"/>
    <x v="4"/>
    <n v="0"/>
    <x v="0"/>
  </r>
  <r>
    <s v="CUST0233"/>
    <s v="ACC00712"/>
    <s v="Kenneth Harrington"/>
    <s v="Female"/>
    <n v="53"/>
    <x v="0"/>
    <x v="3"/>
    <s v="Student"/>
    <d v="2017-07-16T00:00:00"/>
    <x v="0"/>
    <x v="347"/>
    <n v="105553"/>
    <s v="Medium"/>
    <x v="1"/>
    <x v="0"/>
    <d v="2020-12-15T00:00:00"/>
    <n v="32101"/>
    <n v="647"/>
    <x v="2"/>
    <n v="453927"/>
    <x v="0"/>
  </r>
  <r>
    <s v="CUST0265"/>
    <s v="ACC00713"/>
    <s v="Mr. Carlos Wood"/>
    <s v="Male"/>
    <n v="39"/>
    <x v="1"/>
    <x v="1"/>
    <s v="Student"/>
    <d v="2020-09-28T00:00:00"/>
    <x v="4"/>
    <x v="238"/>
    <n v="103309"/>
    <s v="Medium"/>
    <x v="1"/>
    <x v="0"/>
    <d v="2017-10-12T00:00:00"/>
    <n v="2775"/>
    <n v="572"/>
    <x v="1"/>
    <n v="0"/>
    <x v="0"/>
  </r>
  <r>
    <s v="CUST0344"/>
    <s v="ACC00714"/>
    <s v="Christian Mendez"/>
    <s v="Female"/>
    <n v="36"/>
    <x v="1"/>
    <x v="2"/>
    <s v="Engineer"/>
    <d v="2017-11-13T00:00:00"/>
    <x v="0"/>
    <x v="228"/>
    <n v="99148"/>
    <s v="Medium"/>
    <x v="2"/>
    <x v="0"/>
    <d v="2023-05-17T00:00:00"/>
    <n v="111497"/>
    <n v="713"/>
    <x v="0"/>
    <n v="0"/>
    <x v="0"/>
  </r>
  <r>
    <s v="CUST0037"/>
    <s v="ACC00715"/>
    <s v="Dawn Navarro"/>
    <s v="Female"/>
    <n v="52"/>
    <x v="0"/>
    <x v="2"/>
    <s v="Teacher"/>
    <d v="2017-07-06T00:00:00"/>
    <x v="0"/>
    <x v="348"/>
    <n v="50448"/>
    <s v="Low"/>
    <x v="1"/>
    <x v="1"/>
    <d v="2022-11-29T00:00:00"/>
    <n v="490399"/>
    <n v="799"/>
    <x v="3"/>
    <n v="466537"/>
    <x v="3"/>
  </r>
  <r>
    <s v="CUST0305"/>
    <s v="ACC00716"/>
    <s v="Erica Perez"/>
    <s v="Female"/>
    <n v="46"/>
    <x v="0"/>
    <x v="0"/>
    <s v="Trader"/>
    <d v="2017-11-02T00:00:00"/>
    <x v="0"/>
    <x v="0"/>
    <n v="29078"/>
    <s v="Low"/>
    <x v="0"/>
    <x v="0"/>
    <d v="2020-12-05T00:00:00"/>
    <n v="45619"/>
    <n v="392"/>
    <x v="1"/>
    <n v="0"/>
    <x v="0"/>
  </r>
  <r>
    <s v="CUST0041"/>
    <s v="ACC00717"/>
    <s v="Dr. Nicole Mendez"/>
    <s v="Male"/>
    <n v="30"/>
    <x v="1"/>
    <x v="3"/>
    <s v="Retired"/>
    <d v="2017-04-28T00:00:00"/>
    <x v="0"/>
    <x v="59"/>
    <n v="176497"/>
    <s v="High"/>
    <x v="0"/>
    <x v="0"/>
    <d v="2018-12-25T00:00:00"/>
    <n v="439054"/>
    <n v="378"/>
    <x v="1"/>
    <n v="0"/>
    <x v="0"/>
  </r>
  <r>
    <s v="CUST0017"/>
    <s v="ACC00718"/>
    <s v="Michael Conner"/>
    <s v="Female"/>
    <n v="64"/>
    <x v="3"/>
    <x v="3"/>
    <s v="Banker"/>
    <d v="2021-06-28T00:00:00"/>
    <x v="3"/>
    <x v="25"/>
    <n v="199352"/>
    <s v="High"/>
    <x v="1"/>
    <x v="2"/>
    <d v="2019-06-19T00:00:00"/>
    <n v="252388"/>
    <n v="516"/>
    <x v="1"/>
    <n v="0"/>
    <x v="0"/>
  </r>
  <r>
    <s v="CUST0344"/>
    <s v="ACC00719"/>
    <s v="Christian Mendez"/>
    <s v="Female"/>
    <n v="36"/>
    <x v="1"/>
    <x v="2"/>
    <s v="Engineer"/>
    <d v="2017-11-13T00:00:00"/>
    <x v="0"/>
    <x v="228"/>
    <n v="99148"/>
    <s v="Medium"/>
    <x v="2"/>
    <x v="1"/>
    <d v="2015-10-28T00:00:00"/>
    <n v="412755"/>
    <n v="657"/>
    <x v="2"/>
    <n v="458318"/>
    <x v="0"/>
  </r>
  <r>
    <s v="CUST0277"/>
    <s v="ACC00720"/>
    <s v="Brandon Bennett"/>
    <s v="Male"/>
    <n v="31"/>
    <x v="1"/>
    <x v="0"/>
    <s v="Banker"/>
    <d v="2017-12-14T00:00:00"/>
    <x v="0"/>
    <x v="235"/>
    <n v="89298"/>
    <s v="Medium"/>
    <x v="1"/>
    <x v="0"/>
    <d v="2021-02-14T00:00:00"/>
    <n v="233346"/>
    <n v="806"/>
    <x v="4"/>
    <n v="0"/>
    <x v="1"/>
  </r>
  <r>
    <s v="CUST0307"/>
    <s v="ACC00721"/>
    <s v="Angela Garcia"/>
    <s v="Female"/>
    <n v="28"/>
    <x v="2"/>
    <x v="0"/>
    <s v="Teacher"/>
    <d v="2015-10-16T00:00:00"/>
    <x v="10"/>
    <x v="260"/>
    <n v="82768"/>
    <s v="Medium"/>
    <x v="1"/>
    <x v="0"/>
    <d v="2024-09-01T00:00:00"/>
    <n v="319268"/>
    <n v="480"/>
    <x v="1"/>
    <n v="0"/>
    <x v="0"/>
  </r>
  <r>
    <s v="CUST0059"/>
    <s v="ACC00722"/>
    <s v="Matthew Sanchez"/>
    <s v="Male"/>
    <n v="49"/>
    <x v="0"/>
    <x v="3"/>
    <s v="Engineer"/>
    <d v="2024-03-09T00:00:00"/>
    <x v="7"/>
    <x v="82"/>
    <n v="85160"/>
    <s v="Medium"/>
    <x v="0"/>
    <x v="0"/>
    <d v="2016-08-01T00:00:00"/>
    <n v="65149"/>
    <n v="545"/>
    <x v="1"/>
    <n v="0"/>
    <x v="0"/>
  </r>
  <r>
    <s v="CUST0423"/>
    <s v="ACC00723"/>
    <s v="Matthew Martinez"/>
    <s v="Female"/>
    <n v="45"/>
    <x v="0"/>
    <x v="3"/>
    <s v="Teacher"/>
    <d v="2021-11-13T00:00:00"/>
    <x v="3"/>
    <x v="47"/>
    <n v="65893"/>
    <s v="Low"/>
    <x v="0"/>
    <x v="0"/>
    <d v="2018-11-01T00:00:00"/>
    <n v="26616"/>
    <n v="543"/>
    <x v="1"/>
    <n v="0"/>
    <x v="0"/>
  </r>
  <r>
    <s v="CUST0183"/>
    <s v="ACC00724"/>
    <s v="Victor Thomas"/>
    <s v="Female"/>
    <n v="37"/>
    <x v="1"/>
    <x v="2"/>
    <s v="Student"/>
    <d v="2018-04-12T00:00:00"/>
    <x v="6"/>
    <x v="30"/>
    <n v="49241"/>
    <s v="Low"/>
    <x v="1"/>
    <x v="0"/>
    <d v="2023-08-01T00:00:00"/>
    <n v="472871"/>
    <n v="805"/>
    <x v="4"/>
    <n v="0"/>
    <x v="0"/>
  </r>
  <r>
    <s v="CUST0041"/>
    <s v="ACC00725"/>
    <s v="Dr. Nicole Mendez"/>
    <s v="Male"/>
    <n v="30"/>
    <x v="1"/>
    <x v="3"/>
    <s v="Retired"/>
    <d v="2017-04-28T00:00:00"/>
    <x v="0"/>
    <x v="59"/>
    <n v="176497"/>
    <s v="High"/>
    <x v="0"/>
    <x v="1"/>
    <d v="2022-03-18T00:00:00"/>
    <n v="221767"/>
    <n v="721"/>
    <x v="0"/>
    <n v="0"/>
    <x v="0"/>
  </r>
  <r>
    <s v="CUST0039"/>
    <s v="ACC00726"/>
    <s v="Jorge James"/>
    <s v="Male"/>
    <n v="42"/>
    <x v="1"/>
    <x v="1"/>
    <s v="Trader"/>
    <d v="2020-08-31T00:00:00"/>
    <x v="4"/>
    <x v="55"/>
    <n v="193946"/>
    <s v="High"/>
    <x v="0"/>
    <x v="1"/>
    <d v="2022-01-12T00:00:00"/>
    <n v="185639"/>
    <n v="619"/>
    <x v="2"/>
    <n v="0"/>
    <x v="0"/>
  </r>
  <r>
    <s v="CUST0397"/>
    <s v="ACC00727"/>
    <s v="Amanda Walls"/>
    <s v="Female"/>
    <n v="48"/>
    <x v="0"/>
    <x v="0"/>
    <s v="Retired"/>
    <d v="2020-12-11T00:00:00"/>
    <x v="4"/>
    <x v="349"/>
    <n v="196313"/>
    <s v="High"/>
    <x v="0"/>
    <x v="1"/>
    <d v="2023-06-05T00:00:00"/>
    <n v="168171"/>
    <n v="386"/>
    <x v="1"/>
    <n v="0"/>
    <x v="3"/>
  </r>
  <r>
    <s v="CUST0192"/>
    <s v="ACC00728"/>
    <s v="Kim Hubbard"/>
    <s v="Male"/>
    <n v="54"/>
    <x v="0"/>
    <x v="3"/>
    <s v="Engineer"/>
    <d v="2025-08-22T00:00:00"/>
    <x v="8"/>
    <x v="21"/>
    <n v="117768"/>
    <s v="Medium"/>
    <x v="1"/>
    <x v="1"/>
    <d v="2016-11-23T00:00:00"/>
    <n v="206903"/>
    <n v="516"/>
    <x v="1"/>
    <n v="0"/>
    <x v="0"/>
  </r>
  <r>
    <s v="CUST0267"/>
    <s v="ACC00729"/>
    <s v="Nicholas Cherry"/>
    <s v="Female"/>
    <n v="36"/>
    <x v="1"/>
    <x v="2"/>
    <s v="Engineer"/>
    <d v="2021-08-29T00:00:00"/>
    <x v="3"/>
    <x v="239"/>
    <n v="126661"/>
    <s v="Medium"/>
    <x v="1"/>
    <x v="0"/>
    <d v="2021-04-28T00:00:00"/>
    <n v="231318"/>
    <n v="789"/>
    <x v="3"/>
    <n v="417289"/>
    <x v="0"/>
  </r>
  <r>
    <s v="CUST0494"/>
    <s v="ACC00730"/>
    <s v="Hector May"/>
    <s v="Female"/>
    <n v="27"/>
    <x v="2"/>
    <x v="3"/>
    <s v="Banker"/>
    <d v="2021-03-12T00:00:00"/>
    <x v="3"/>
    <x v="219"/>
    <n v="32115"/>
    <s v="Low"/>
    <x v="1"/>
    <x v="0"/>
    <d v="2017-03-06T00:00:00"/>
    <n v="323943"/>
    <n v="818"/>
    <x v="4"/>
    <n v="369543"/>
    <x v="0"/>
  </r>
  <r>
    <s v="CUST0147"/>
    <s v="ACC00731"/>
    <s v="Christina Wood"/>
    <s v="Male"/>
    <n v="29"/>
    <x v="1"/>
    <x v="3"/>
    <s v="Doctor"/>
    <d v="2020-02-27T00:00:00"/>
    <x v="4"/>
    <x v="295"/>
    <n v="193279"/>
    <s v="High"/>
    <x v="2"/>
    <x v="1"/>
    <d v="2017-11-28T00:00:00"/>
    <n v="352365"/>
    <n v="577"/>
    <x v="1"/>
    <n v="0"/>
    <x v="0"/>
  </r>
  <r>
    <s v="CUST0395"/>
    <s v="ACC00732"/>
    <s v="Patricia Bush"/>
    <s v="Male"/>
    <n v="31"/>
    <x v="1"/>
    <x v="3"/>
    <s v="Banker"/>
    <d v="2024-03-21T00:00:00"/>
    <x v="7"/>
    <x v="270"/>
    <n v="49426"/>
    <s v="Low"/>
    <x v="1"/>
    <x v="3"/>
    <d v="2021-08-12T00:00:00"/>
    <n v="377023"/>
    <n v="468"/>
    <x v="1"/>
    <n v="0"/>
    <x v="0"/>
  </r>
  <r>
    <s v="CUST0333"/>
    <s v="ACC00733"/>
    <s v="Ronald Bennett"/>
    <s v="Female"/>
    <n v="18"/>
    <x v="2"/>
    <x v="3"/>
    <s v="Engineer"/>
    <d v="2015-12-09T00:00:00"/>
    <x v="10"/>
    <x v="264"/>
    <n v="53662"/>
    <s v="Low"/>
    <x v="1"/>
    <x v="1"/>
    <d v="2023-09-26T00:00:00"/>
    <n v="287623"/>
    <n v="629"/>
    <x v="2"/>
    <n v="0"/>
    <x v="0"/>
  </r>
  <r>
    <s v="CUST0127"/>
    <s v="ACC00734"/>
    <s v="Jennifer Watkins DDS"/>
    <s v="Female"/>
    <n v="46"/>
    <x v="0"/>
    <x v="3"/>
    <s v="Doctor"/>
    <d v="2016-01-05T00:00:00"/>
    <x v="9"/>
    <x v="155"/>
    <n v="112241"/>
    <s v="Medium"/>
    <x v="0"/>
    <x v="2"/>
    <d v="2024-04-05T00:00:00"/>
    <n v="439388"/>
    <n v="740"/>
    <x v="3"/>
    <n v="0"/>
    <x v="0"/>
  </r>
  <r>
    <s v="CUST0046"/>
    <s v="ACC00735"/>
    <s v="Keith Watson"/>
    <s v="Female"/>
    <n v="37"/>
    <x v="1"/>
    <x v="3"/>
    <s v="Retired"/>
    <d v="2021-05-07T00:00:00"/>
    <x v="3"/>
    <x v="292"/>
    <n v="27906"/>
    <s v="Low"/>
    <x v="1"/>
    <x v="0"/>
    <d v="2021-03-03T00:00:00"/>
    <n v="361309"/>
    <n v="690"/>
    <x v="0"/>
    <n v="0"/>
    <x v="0"/>
  </r>
  <r>
    <s v="CUST0045"/>
    <s v="ACC00736"/>
    <s v="Ashley Miller"/>
    <s v="Female"/>
    <n v="62"/>
    <x v="3"/>
    <x v="2"/>
    <s v="Student"/>
    <d v="2019-06-20T00:00:00"/>
    <x v="2"/>
    <x v="350"/>
    <n v="179903"/>
    <s v="High"/>
    <x v="1"/>
    <x v="1"/>
    <d v="2025-05-21T00:00:00"/>
    <n v="55863"/>
    <n v="795"/>
    <x v="3"/>
    <n v="0"/>
    <x v="0"/>
  </r>
  <r>
    <s v="CUST0001"/>
    <s v="ACC00737"/>
    <s v="Mrs. Deborah Dominguez MD"/>
    <s v="Male"/>
    <n v="38"/>
    <x v="1"/>
    <x v="1"/>
    <s v="Doctor"/>
    <d v="2023-04-25T00:00:00"/>
    <x v="1"/>
    <x v="1"/>
    <n v="191672"/>
    <s v="High"/>
    <x v="1"/>
    <x v="1"/>
    <d v="2023-04-20T00:00:00"/>
    <n v="173115"/>
    <n v="680"/>
    <x v="0"/>
    <n v="0"/>
    <x v="0"/>
  </r>
  <r>
    <s v="CUST0168"/>
    <s v="ACC00738"/>
    <s v="Whitney Hampton"/>
    <s v="Male"/>
    <n v="49"/>
    <x v="0"/>
    <x v="3"/>
    <s v="Retired"/>
    <d v="2019-11-17T00:00:00"/>
    <x v="2"/>
    <x v="189"/>
    <n v="135374"/>
    <s v="Medium"/>
    <x v="1"/>
    <x v="0"/>
    <d v="2020-02-01T00:00:00"/>
    <n v="344713"/>
    <n v="605"/>
    <x v="2"/>
    <n v="0"/>
    <x v="3"/>
  </r>
  <r>
    <s v="CUST0108"/>
    <s v="ACC00739"/>
    <s v="Carmen Graham"/>
    <s v="Female"/>
    <n v="26"/>
    <x v="2"/>
    <x v="0"/>
    <s v="Retired"/>
    <d v="2021-01-28T00:00:00"/>
    <x v="3"/>
    <x v="140"/>
    <n v="177364"/>
    <s v="High"/>
    <x v="1"/>
    <x v="1"/>
    <d v="2025-08-20T00:00:00"/>
    <n v="495654"/>
    <n v="812"/>
    <x v="4"/>
    <n v="361004"/>
    <x v="0"/>
  </r>
  <r>
    <s v="CUST0019"/>
    <s v="ACC00740"/>
    <s v="Melissa Clark"/>
    <s v="Female"/>
    <n v="40"/>
    <x v="1"/>
    <x v="3"/>
    <s v="Teacher"/>
    <d v="2021-09-17T00:00:00"/>
    <x v="3"/>
    <x v="22"/>
    <n v="100435"/>
    <s v="Medium"/>
    <x v="0"/>
    <x v="3"/>
    <d v="2024-10-07T00:00:00"/>
    <n v="408624"/>
    <n v="487"/>
    <x v="1"/>
    <n v="29624"/>
    <x v="0"/>
  </r>
  <r>
    <s v="CUST0332"/>
    <s v="ACC00741"/>
    <s v="Amber Myers"/>
    <s v="Male"/>
    <n v="62"/>
    <x v="3"/>
    <x v="0"/>
    <s v="Doctor"/>
    <d v="2021-09-09T00:00:00"/>
    <x v="3"/>
    <x v="322"/>
    <n v="101941"/>
    <s v="Medium"/>
    <x v="1"/>
    <x v="0"/>
    <d v="2024-03-23T00:00:00"/>
    <n v="253347"/>
    <n v="815"/>
    <x v="4"/>
    <n v="0"/>
    <x v="0"/>
  </r>
  <r>
    <s v="CUST0072"/>
    <s v="ACC00742"/>
    <s v="Billy Hendrix Jr."/>
    <s v="Female"/>
    <n v="60"/>
    <x v="0"/>
    <x v="1"/>
    <s v="Doctor"/>
    <d v="2016-03-28T00:00:00"/>
    <x v="9"/>
    <x v="98"/>
    <n v="45559"/>
    <s v="Low"/>
    <x v="0"/>
    <x v="3"/>
    <d v="2023-08-09T00:00:00"/>
    <n v="189052"/>
    <n v="726"/>
    <x v="0"/>
    <n v="239784"/>
    <x v="0"/>
  </r>
  <r>
    <s v="CUST0456"/>
    <s v="ACC00743"/>
    <s v="Michael Kramer"/>
    <s v="Male"/>
    <n v="73"/>
    <x v="3"/>
    <x v="2"/>
    <s v="Teacher"/>
    <d v="2016-01-17T00:00:00"/>
    <x v="9"/>
    <x v="255"/>
    <n v="46155"/>
    <s v="Low"/>
    <x v="1"/>
    <x v="1"/>
    <d v="2015-09-21T00:00:00"/>
    <n v="476172"/>
    <n v="801"/>
    <x v="4"/>
    <n v="0"/>
    <x v="0"/>
  </r>
  <r>
    <s v="CUST0445"/>
    <s v="ACC00744"/>
    <s v="Eric Goodwin"/>
    <s v="Female"/>
    <n v="22"/>
    <x v="2"/>
    <x v="1"/>
    <s v="Trader"/>
    <d v="2022-04-15T00:00:00"/>
    <x v="5"/>
    <x v="204"/>
    <n v="157348"/>
    <s v="High"/>
    <x v="0"/>
    <x v="2"/>
    <d v="2022-04-09T00:00:00"/>
    <n v="278495"/>
    <n v="559"/>
    <x v="1"/>
    <n v="0"/>
    <x v="0"/>
  </r>
  <r>
    <s v="CUST0109"/>
    <s v="ACC00745"/>
    <s v="Emily Scott"/>
    <s v="Female"/>
    <n v="29"/>
    <x v="1"/>
    <x v="1"/>
    <s v="Engineer"/>
    <d v="2020-09-03T00:00:00"/>
    <x v="4"/>
    <x v="10"/>
    <n v="131785"/>
    <s v="Medium"/>
    <x v="0"/>
    <x v="0"/>
    <d v="2024-12-28T00:00:00"/>
    <n v="135203"/>
    <n v="812"/>
    <x v="4"/>
    <n v="0"/>
    <x v="1"/>
  </r>
  <r>
    <s v="CUST0268"/>
    <s v="ACC00746"/>
    <s v="Derek Gardner"/>
    <s v="Female"/>
    <n v="66"/>
    <x v="3"/>
    <x v="2"/>
    <s v="Banker"/>
    <d v="2019-12-20T00:00:00"/>
    <x v="2"/>
    <x v="240"/>
    <n v="177215"/>
    <s v="High"/>
    <x v="1"/>
    <x v="2"/>
    <d v="2023-12-07T00:00:00"/>
    <n v="247908"/>
    <n v="370"/>
    <x v="1"/>
    <n v="424972"/>
    <x v="0"/>
  </r>
  <r>
    <s v="CUST0445"/>
    <s v="ACC00747"/>
    <s v="Eric Goodwin"/>
    <s v="Female"/>
    <n v="22"/>
    <x v="2"/>
    <x v="1"/>
    <s v="Trader"/>
    <d v="2022-04-15T00:00:00"/>
    <x v="5"/>
    <x v="204"/>
    <n v="157348"/>
    <s v="High"/>
    <x v="0"/>
    <x v="1"/>
    <d v="2023-07-20T00:00:00"/>
    <n v="306969"/>
    <n v="777"/>
    <x v="3"/>
    <n v="0"/>
    <x v="0"/>
  </r>
  <r>
    <s v="CUST0240"/>
    <s v="ACC00748"/>
    <s v="James Park"/>
    <s v="Female"/>
    <n v="52"/>
    <x v="0"/>
    <x v="3"/>
    <s v="Engineer"/>
    <d v="2021-12-14T00:00:00"/>
    <x v="3"/>
    <x v="60"/>
    <n v="72098"/>
    <s v="Low"/>
    <x v="1"/>
    <x v="0"/>
    <d v="2020-01-22T00:00:00"/>
    <n v="273493"/>
    <n v="477"/>
    <x v="1"/>
    <n v="0"/>
    <x v="0"/>
  </r>
  <r>
    <s v="CUST0417"/>
    <s v="ACC00749"/>
    <s v="Logan Fleming"/>
    <s v="Male"/>
    <n v="25"/>
    <x v="2"/>
    <x v="1"/>
    <s v="Teacher"/>
    <d v="2024-10-30T00:00:00"/>
    <x v="7"/>
    <x v="175"/>
    <n v="186205"/>
    <s v="High"/>
    <x v="2"/>
    <x v="0"/>
    <d v="2024-12-11T00:00:00"/>
    <n v="192003"/>
    <n v="756"/>
    <x v="3"/>
    <n v="0"/>
    <x v="0"/>
  </r>
  <r>
    <s v="CUST0301"/>
    <s v="ACC00750"/>
    <s v="Regina Schultz"/>
    <s v="Male"/>
    <n v="48"/>
    <x v="0"/>
    <x v="3"/>
    <s v="Doctor"/>
    <d v="2024-02-12T00:00:00"/>
    <x v="7"/>
    <x v="50"/>
    <n v="70861"/>
    <s v="Low"/>
    <x v="1"/>
    <x v="2"/>
    <d v="2023-08-24T00:00:00"/>
    <n v="306398"/>
    <n v="488"/>
    <x v="1"/>
    <n v="0"/>
    <x v="0"/>
  </r>
  <r>
    <s v="CUST0090"/>
    <s v="ACC00751"/>
    <s v="Edward Ramirez"/>
    <s v="Female"/>
    <n v="57"/>
    <x v="0"/>
    <x v="2"/>
    <s v="Student"/>
    <d v="2015-08-23T00:00:00"/>
    <x v="10"/>
    <x v="73"/>
    <n v="160588"/>
    <s v="High"/>
    <x v="1"/>
    <x v="1"/>
    <d v="2023-08-30T00:00:00"/>
    <n v="300369"/>
    <n v="590"/>
    <x v="2"/>
    <n v="0"/>
    <x v="0"/>
  </r>
  <r>
    <s v="CUST0103"/>
    <s v="ACC00752"/>
    <s v="Donna Perkins"/>
    <s v="Female"/>
    <n v="43"/>
    <x v="1"/>
    <x v="0"/>
    <s v="Student"/>
    <d v="2022-05-25T00:00:00"/>
    <x v="5"/>
    <x v="351"/>
    <n v="27314"/>
    <s v="Low"/>
    <x v="0"/>
    <x v="2"/>
    <d v="2024-01-26T00:00:00"/>
    <n v="497599"/>
    <n v="819"/>
    <x v="4"/>
    <n v="0"/>
    <x v="0"/>
  </r>
  <r>
    <s v="CUST0476"/>
    <s v="ACC00753"/>
    <s v="William Brown"/>
    <s v="Female"/>
    <n v="18"/>
    <x v="2"/>
    <x v="0"/>
    <s v="Student"/>
    <d v="2019-01-23T00:00:00"/>
    <x v="2"/>
    <x v="41"/>
    <n v="53997"/>
    <s v="Low"/>
    <x v="1"/>
    <x v="1"/>
    <d v="2023-07-29T00:00:00"/>
    <n v="274597"/>
    <n v="591"/>
    <x v="2"/>
    <n v="0"/>
    <x v="0"/>
  </r>
  <r>
    <s v="CUST0250"/>
    <s v="ACC00754"/>
    <s v="James Hardy"/>
    <s v="Male"/>
    <n v="54"/>
    <x v="0"/>
    <x v="3"/>
    <s v="Trader"/>
    <d v="2018-07-13T00:00:00"/>
    <x v="6"/>
    <x v="169"/>
    <n v="28712"/>
    <s v="Low"/>
    <x v="1"/>
    <x v="2"/>
    <d v="2021-12-21T00:00:00"/>
    <n v="149886"/>
    <n v="582"/>
    <x v="2"/>
    <n v="180858"/>
    <x v="0"/>
  </r>
  <r>
    <s v="CUST0453"/>
    <s v="ACC00755"/>
    <s v="Renee Williams"/>
    <s v="Female"/>
    <n v="62"/>
    <x v="3"/>
    <x v="3"/>
    <s v="Teacher"/>
    <d v="2019-07-23T00:00:00"/>
    <x v="2"/>
    <x v="352"/>
    <n v="35563"/>
    <s v="Low"/>
    <x v="1"/>
    <x v="2"/>
    <d v="2025-03-17T00:00:00"/>
    <n v="149335"/>
    <n v="843"/>
    <x v="4"/>
    <n v="0"/>
    <x v="0"/>
  </r>
  <r>
    <s v="CUST0008"/>
    <s v="ACC00756"/>
    <s v="William Horton"/>
    <s v="Male"/>
    <n v="59"/>
    <x v="0"/>
    <x v="1"/>
    <s v="Engineer"/>
    <d v="2024-06-05T00:00:00"/>
    <x v="7"/>
    <x v="13"/>
    <n v="144988"/>
    <s v="High"/>
    <x v="1"/>
    <x v="2"/>
    <d v="2023-10-12T00:00:00"/>
    <n v="77694"/>
    <n v="676"/>
    <x v="0"/>
    <n v="0"/>
    <x v="0"/>
  </r>
  <r>
    <s v="CUST0153"/>
    <s v="ACC00757"/>
    <s v="Patrick Pope"/>
    <s v="Male"/>
    <n v="56"/>
    <x v="0"/>
    <x v="0"/>
    <s v="Retired"/>
    <d v="2015-12-27T00:00:00"/>
    <x v="10"/>
    <x v="334"/>
    <n v="156156"/>
    <s v="High"/>
    <x v="0"/>
    <x v="0"/>
    <d v="2023-04-08T00:00:00"/>
    <n v="15735"/>
    <n v="455"/>
    <x v="1"/>
    <n v="0"/>
    <x v="0"/>
  </r>
  <r>
    <s v="CUST0347"/>
    <s v="ACC00758"/>
    <s v="Oscar Ortiz"/>
    <s v="Male"/>
    <n v="56"/>
    <x v="0"/>
    <x v="3"/>
    <s v="Engineer"/>
    <d v="2024-09-25T00:00:00"/>
    <x v="7"/>
    <x v="165"/>
    <n v="182962"/>
    <s v="High"/>
    <x v="0"/>
    <x v="0"/>
    <d v="2022-05-03T00:00:00"/>
    <n v="409046"/>
    <n v="807"/>
    <x v="4"/>
    <n v="0"/>
    <x v="0"/>
  </r>
  <r>
    <s v="CUST0174"/>
    <s v="ACC00759"/>
    <s v="Evan Holt"/>
    <s v="Female"/>
    <n v="33"/>
    <x v="1"/>
    <x v="0"/>
    <s v="Retired"/>
    <d v="2019-10-29T00:00:00"/>
    <x v="2"/>
    <x v="136"/>
    <n v="120732"/>
    <s v="Medium"/>
    <x v="0"/>
    <x v="3"/>
    <d v="2017-08-08T00:00:00"/>
    <n v="310037"/>
    <n v="712"/>
    <x v="0"/>
    <n v="0"/>
    <x v="0"/>
  </r>
  <r>
    <s v="CUST0343"/>
    <s v="ACC00760"/>
    <s v="Danielle Cox"/>
    <s v="Male"/>
    <n v="48"/>
    <x v="0"/>
    <x v="1"/>
    <s v="Engineer"/>
    <d v="2018-02-23T00:00:00"/>
    <x v="6"/>
    <x v="267"/>
    <n v="152632"/>
    <s v="High"/>
    <x v="1"/>
    <x v="1"/>
    <d v="2018-03-13T00:00:00"/>
    <n v="175745"/>
    <n v="827"/>
    <x v="4"/>
    <n v="0"/>
    <x v="0"/>
  </r>
  <r>
    <s v="CUST0158"/>
    <s v="ACC00761"/>
    <s v="Michael Ward"/>
    <s v="Female"/>
    <n v="40"/>
    <x v="1"/>
    <x v="1"/>
    <s v="Engineer"/>
    <d v="2025-04-27T00:00:00"/>
    <x v="8"/>
    <x v="179"/>
    <n v="158563"/>
    <s v="High"/>
    <x v="1"/>
    <x v="0"/>
    <d v="2024-02-14T00:00:00"/>
    <n v="389150"/>
    <n v="654"/>
    <x v="2"/>
    <n v="0"/>
    <x v="0"/>
  </r>
  <r>
    <s v="CUST0493"/>
    <s v="ACC00762"/>
    <s v="Joseph Dean"/>
    <s v="Male"/>
    <n v="27"/>
    <x v="2"/>
    <x v="0"/>
    <s v="Doctor"/>
    <d v="2024-04-11T00:00:00"/>
    <x v="7"/>
    <x v="90"/>
    <n v="99141"/>
    <s v="Medium"/>
    <x v="1"/>
    <x v="0"/>
    <d v="2023-02-02T00:00:00"/>
    <n v="220534"/>
    <n v="486"/>
    <x v="1"/>
    <n v="0"/>
    <x v="0"/>
  </r>
  <r>
    <s v="CUST0431"/>
    <s v="ACC00763"/>
    <s v="Dana Robinson"/>
    <s v="Male"/>
    <n v="26"/>
    <x v="2"/>
    <x v="0"/>
    <s v="Trader"/>
    <d v="2023-07-26T00:00:00"/>
    <x v="1"/>
    <x v="281"/>
    <n v="106475"/>
    <s v="Medium"/>
    <x v="1"/>
    <x v="2"/>
    <d v="2016-07-16T00:00:00"/>
    <n v="45066"/>
    <n v="330"/>
    <x v="1"/>
    <n v="0"/>
    <x v="0"/>
  </r>
  <r>
    <s v="CUST0215"/>
    <s v="ACC00764"/>
    <s v="Cassandra Mcbride"/>
    <s v="Male"/>
    <n v="43"/>
    <x v="1"/>
    <x v="1"/>
    <s v="Trader"/>
    <d v="2020-02-16T00:00:00"/>
    <x v="4"/>
    <x v="297"/>
    <n v="171054"/>
    <s v="High"/>
    <x v="1"/>
    <x v="1"/>
    <d v="2022-01-08T00:00:00"/>
    <n v="231387"/>
    <n v="559"/>
    <x v="1"/>
    <n v="0"/>
    <x v="0"/>
  </r>
  <r>
    <s v="CUST0177"/>
    <s v="ACC00765"/>
    <s v="Chad Walsh"/>
    <s v="Male"/>
    <n v="72"/>
    <x v="3"/>
    <x v="3"/>
    <s v="Student"/>
    <d v="2024-09-03T00:00:00"/>
    <x v="7"/>
    <x v="195"/>
    <n v="143786"/>
    <s v="High"/>
    <x v="1"/>
    <x v="0"/>
    <d v="2019-08-11T00:00:00"/>
    <n v="134445"/>
    <n v="720"/>
    <x v="0"/>
    <n v="0"/>
    <x v="0"/>
  </r>
  <r>
    <s v="CUST0175"/>
    <s v="ACC00766"/>
    <s v="Nancy Hoffman"/>
    <s v="Female"/>
    <n v="41"/>
    <x v="1"/>
    <x v="3"/>
    <s v="Teacher"/>
    <d v="2017-11-07T00:00:00"/>
    <x v="0"/>
    <x v="353"/>
    <n v="47083"/>
    <s v="Low"/>
    <x v="1"/>
    <x v="2"/>
    <d v="2023-03-29T00:00:00"/>
    <n v="403551"/>
    <n v="828"/>
    <x v="4"/>
    <n v="0"/>
    <x v="0"/>
  </r>
  <r>
    <s v="CUST0340"/>
    <s v="ACC00767"/>
    <s v="Kyle Hendricks"/>
    <s v="Female"/>
    <n v="21"/>
    <x v="2"/>
    <x v="1"/>
    <s v="Teacher"/>
    <d v="2017-07-11T00:00:00"/>
    <x v="0"/>
    <x v="342"/>
    <n v="92715"/>
    <s v="Medium"/>
    <x v="1"/>
    <x v="1"/>
    <d v="2022-03-29T00:00:00"/>
    <n v="416957"/>
    <n v="603"/>
    <x v="2"/>
    <n v="0"/>
    <x v="3"/>
  </r>
  <r>
    <s v="CUST0338"/>
    <s v="ACC00768"/>
    <s v="Derek Jones"/>
    <s v="Male"/>
    <n v="42"/>
    <x v="1"/>
    <x v="1"/>
    <s v="Teacher"/>
    <d v="2022-11-03T00:00:00"/>
    <x v="5"/>
    <x v="168"/>
    <n v="131562"/>
    <s v="Medium"/>
    <x v="1"/>
    <x v="3"/>
    <d v="2021-06-16T00:00:00"/>
    <n v="272836"/>
    <n v="338"/>
    <x v="1"/>
    <n v="37930"/>
    <x v="0"/>
  </r>
  <r>
    <s v="CUST0146"/>
    <s v="ACC00769"/>
    <s v="Veronica Mullins"/>
    <s v="Male"/>
    <n v="22"/>
    <x v="2"/>
    <x v="1"/>
    <s v="Teacher"/>
    <d v="2020-07-17T00:00:00"/>
    <x v="4"/>
    <x v="35"/>
    <n v="49257"/>
    <s v="Low"/>
    <x v="1"/>
    <x v="1"/>
    <d v="2015-10-14T00:00:00"/>
    <n v="440511"/>
    <n v="788"/>
    <x v="3"/>
    <n v="0"/>
    <x v="0"/>
  </r>
  <r>
    <s v="CUST0450"/>
    <s v="ACC00770"/>
    <s v="Seth Kent"/>
    <s v="Female"/>
    <n v="73"/>
    <x v="3"/>
    <x v="3"/>
    <s v="Teacher"/>
    <d v="2024-07-13T00:00:00"/>
    <x v="7"/>
    <x v="280"/>
    <n v="127803"/>
    <s v="Medium"/>
    <x v="1"/>
    <x v="1"/>
    <d v="2020-03-19T00:00:00"/>
    <n v="45541"/>
    <n v="841"/>
    <x v="4"/>
    <n v="0"/>
    <x v="0"/>
  </r>
  <r>
    <s v="CUST0324"/>
    <s v="ACC00771"/>
    <s v="Erin Nelson"/>
    <s v="Female"/>
    <n v="19"/>
    <x v="2"/>
    <x v="1"/>
    <s v="Engineer"/>
    <d v="2017-03-23T00:00:00"/>
    <x v="0"/>
    <x v="80"/>
    <n v="81550"/>
    <s v="Medium"/>
    <x v="0"/>
    <x v="1"/>
    <d v="2018-03-05T00:00:00"/>
    <n v="165129"/>
    <n v="577"/>
    <x v="1"/>
    <n v="0"/>
    <x v="0"/>
  </r>
  <r>
    <s v="CUST0478"/>
    <s v="ACC00772"/>
    <s v="Louis Palmer"/>
    <s v="Female"/>
    <n v="65"/>
    <x v="3"/>
    <x v="3"/>
    <s v="Trader"/>
    <d v="2016-08-20T00:00:00"/>
    <x v="9"/>
    <x v="268"/>
    <n v="139273"/>
    <s v="Medium"/>
    <x v="0"/>
    <x v="1"/>
    <d v="2020-10-23T00:00:00"/>
    <n v="66983"/>
    <n v="502"/>
    <x v="1"/>
    <n v="0"/>
    <x v="3"/>
  </r>
  <r>
    <s v="CUST0161"/>
    <s v="ACC00773"/>
    <s v="David Sanders"/>
    <s v="Male"/>
    <n v="22"/>
    <x v="2"/>
    <x v="2"/>
    <s v="Doctor"/>
    <d v="2021-02-25T00:00:00"/>
    <x v="3"/>
    <x v="52"/>
    <n v="93609"/>
    <s v="Medium"/>
    <x v="1"/>
    <x v="3"/>
    <d v="2016-09-18T00:00:00"/>
    <n v="150655"/>
    <n v="365"/>
    <x v="1"/>
    <n v="0"/>
    <x v="1"/>
  </r>
  <r>
    <s v="CUST0127"/>
    <s v="ACC00774"/>
    <s v="Jennifer Watkins DDS"/>
    <s v="Female"/>
    <n v="46"/>
    <x v="0"/>
    <x v="3"/>
    <s v="Doctor"/>
    <d v="2016-01-05T00:00:00"/>
    <x v="9"/>
    <x v="155"/>
    <n v="112241"/>
    <s v="Medium"/>
    <x v="0"/>
    <x v="1"/>
    <d v="2017-02-28T00:00:00"/>
    <n v="153837"/>
    <n v="407"/>
    <x v="1"/>
    <n v="0"/>
    <x v="0"/>
  </r>
  <r>
    <s v="CUST0420"/>
    <s v="ACC00775"/>
    <s v="James Edwards"/>
    <s v="Female"/>
    <n v="43"/>
    <x v="1"/>
    <x v="2"/>
    <s v="Trader"/>
    <d v="2021-04-27T00:00:00"/>
    <x v="3"/>
    <x v="354"/>
    <n v="55046"/>
    <s v="Low"/>
    <x v="1"/>
    <x v="0"/>
    <d v="2022-05-05T00:00:00"/>
    <n v="190359"/>
    <n v="567"/>
    <x v="1"/>
    <n v="0"/>
    <x v="0"/>
  </r>
  <r>
    <s v="CUST0082"/>
    <s v="ACC00776"/>
    <s v="Marcus Miller"/>
    <s v="Female"/>
    <n v="23"/>
    <x v="2"/>
    <x v="0"/>
    <s v="Trader"/>
    <d v="2025-05-14T00:00:00"/>
    <x v="8"/>
    <x v="109"/>
    <n v="146267"/>
    <s v="High"/>
    <x v="2"/>
    <x v="1"/>
    <d v="2017-05-09T00:00:00"/>
    <n v="417122"/>
    <n v="521"/>
    <x v="1"/>
    <n v="0"/>
    <x v="0"/>
  </r>
  <r>
    <s v="CUST0485"/>
    <s v="ACC00777"/>
    <s v="Christopher Hart"/>
    <s v="Male"/>
    <n v="22"/>
    <x v="2"/>
    <x v="3"/>
    <s v="Engineer"/>
    <d v="2018-09-03T00:00:00"/>
    <x v="6"/>
    <x v="261"/>
    <n v="81212"/>
    <s v="Medium"/>
    <x v="0"/>
    <x v="0"/>
    <d v="2016-08-23T00:00:00"/>
    <n v="382891"/>
    <n v="829"/>
    <x v="4"/>
    <n v="0"/>
    <x v="3"/>
  </r>
  <r>
    <s v="CUST0147"/>
    <s v="ACC00778"/>
    <s v="Christina Wood"/>
    <s v="Male"/>
    <n v="29"/>
    <x v="1"/>
    <x v="3"/>
    <s v="Doctor"/>
    <d v="2020-02-27T00:00:00"/>
    <x v="4"/>
    <x v="295"/>
    <n v="193279"/>
    <s v="High"/>
    <x v="2"/>
    <x v="0"/>
    <d v="2024-03-31T00:00:00"/>
    <n v="347247"/>
    <n v="389"/>
    <x v="1"/>
    <n v="0"/>
    <x v="1"/>
  </r>
  <r>
    <s v="CUST0239"/>
    <s v="ACC00779"/>
    <s v="Daniel Williams"/>
    <s v="Male"/>
    <n v="66"/>
    <x v="3"/>
    <x v="0"/>
    <s v="Student"/>
    <d v="2024-11-05T00:00:00"/>
    <x v="7"/>
    <x v="355"/>
    <n v="64859"/>
    <s v="Low"/>
    <x v="1"/>
    <x v="1"/>
    <d v="2025-02-24T00:00:00"/>
    <n v="210747"/>
    <n v="554"/>
    <x v="1"/>
    <n v="0"/>
    <x v="0"/>
  </r>
  <r>
    <s v="CUST0412"/>
    <s v="ACC00780"/>
    <s v="Jackie Bell"/>
    <s v="Female"/>
    <n v="55"/>
    <x v="0"/>
    <x v="1"/>
    <s v="Doctor"/>
    <d v="2024-11-12T00:00:00"/>
    <x v="7"/>
    <x v="272"/>
    <n v="46916"/>
    <s v="Low"/>
    <x v="0"/>
    <x v="1"/>
    <d v="2025-02-26T00:00:00"/>
    <n v="177597"/>
    <n v="754"/>
    <x v="3"/>
    <n v="0"/>
    <x v="0"/>
  </r>
  <r>
    <s v="CUST0424"/>
    <s v="ACC00781"/>
    <s v="Matthew Martinez"/>
    <s v="Male"/>
    <n v="45"/>
    <x v="0"/>
    <x v="3"/>
    <s v="Doctor"/>
    <d v="2020-10-07T00:00:00"/>
    <x v="4"/>
    <x v="230"/>
    <n v="121520"/>
    <s v="Medium"/>
    <x v="0"/>
    <x v="2"/>
    <d v="2020-07-26T00:00:00"/>
    <n v="169302"/>
    <n v="552"/>
    <x v="1"/>
    <n v="0"/>
    <x v="0"/>
  </r>
  <r>
    <s v="CUST0084"/>
    <s v="ACC00782"/>
    <s v="Carlos Watson"/>
    <s v="Female"/>
    <n v="49"/>
    <x v="0"/>
    <x v="3"/>
    <s v="Banker"/>
    <d v="2021-04-02T00:00:00"/>
    <x v="3"/>
    <x v="111"/>
    <n v="154092"/>
    <s v="High"/>
    <x v="2"/>
    <x v="1"/>
    <d v="2018-07-07T00:00:00"/>
    <n v="412736"/>
    <n v="556"/>
    <x v="1"/>
    <n v="0"/>
    <x v="0"/>
  </r>
  <r>
    <s v="CUST0113"/>
    <s v="ACC00783"/>
    <s v="Anthony Ramos"/>
    <s v="Female"/>
    <n v="64"/>
    <x v="3"/>
    <x v="2"/>
    <s v="Doctor"/>
    <d v="2016-03-16T00:00:00"/>
    <x v="9"/>
    <x v="32"/>
    <n v="73947"/>
    <s v="Low"/>
    <x v="2"/>
    <x v="0"/>
    <d v="2018-02-05T00:00:00"/>
    <n v="478454"/>
    <n v="682"/>
    <x v="0"/>
    <n v="0"/>
    <x v="0"/>
  </r>
  <r>
    <s v="CUST0225"/>
    <s v="ACC00784"/>
    <s v="Sarah Walton"/>
    <s v="Female"/>
    <n v="62"/>
    <x v="3"/>
    <x v="3"/>
    <s v="Trader"/>
    <d v="2017-12-01T00:00:00"/>
    <x v="0"/>
    <x v="223"/>
    <n v="105530"/>
    <s v="Medium"/>
    <x v="2"/>
    <x v="1"/>
    <d v="2017-02-12T00:00:00"/>
    <n v="445150"/>
    <n v="741"/>
    <x v="3"/>
    <n v="0"/>
    <x v="3"/>
  </r>
  <r>
    <s v="CUST0332"/>
    <s v="ACC00785"/>
    <s v="Amber Myers"/>
    <s v="Male"/>
    <n v="62"/>
    <x v="3"/>
    <x v="0"/>
    <s v="Doctor"/>
    <d v="2021-09-09T00:00:00"/>
    <x v="3"/>
    <x v="322"/>
    <n v="101941"/>
    <s v="Medium"/>
    <x v="1"/>
    <x v="2"/>
    <d v="2024-11-12T00:00:00"/>
    <n v="287710"/>
    <n v="389"/>
    <x v="1"/>
    <n v="0"/>
    <x v="1"/>
  </r>
  <r>
    <s v="CUST0378"/>
    <s v="ACC00786"/>
    <s v="Claudia Casey"/>
    <s v="Male"/>
    <n v="62"/>
    <x v="3"/>
    <x v="3"/>
    <s v="Student"/>
    <d v="2016-12-27T00:00:00"/>
    <x v="9"/>
    <x v="356"/>
    <n v="119259"/>
    <s v="Medium"/>
    <x v="2"/>
    <x v="1"/>
    <d v="2019-11-24T00:00:00"/>
    <n v="335337"/>
    <n v="689"/>
    <x v="0"/>
    <n v="0"/>
    <x v="0"/>
  </r>
  <r>
    <s v="CUST0243"/>
    <s v="ACC00787"/>
    <s v="Richard Johnson"/>
    <s v="Female"/>
    <n v="35"/>
    <x v="1"/>
    <x v="2"/>
    <s v="Engineer"/>
    <d v="2019-08-11T00:00:00"/>
    <x v="2"/>
    <x v="231"/>
    <n v="20526"/>
    <s v="Low"/>
    <x v="1"/>
    <x v="0"/>
    <d v="2020-04-17T00:00:00"/>
    <n v="496440"/>
    <n v="343"/>
    <x v="1"/>
    <n v="0"/>
    <x v="0"/>
  </r>
  <r>
    <s v="CUST0143"/>
    <s v="ACC00788"/>
    <s v="Jamie Spencer"/>
    <s v="Female"/>
    <n v="47"/>
    <x v="0"/>
    <x v="3"/>
    <s v="Retired"/>
    <d v="2021-11-28T00:00:00"/>
    <x v="3"/>
    <x v="166"/>
    <n v="152079"/>
    <s v="High"/>
    <x v="1"/>
    <x v="1"/>
    <d v="2025-06-14T00:00:00"/>
    <n v="423350"/>
    <n v="318"/>
    <x v="1"/>
    <n v="0"/>
    <x v="0"/>
  </r>
  <r>
    <s v="CUST0041"/>
    <s v="ACC00789"/>
    <s v="Dr. Nicole Mendez"/>
    <s v="Male"/>
    <n v="30"/>
    <x v="1"/>
    <x v="3"/>
    <s v="Retired"/>
    <d v="2017-04-28T00:00:00"/>
    <x v="0"/>
    <x v="59"/>
    <n v="176497"/>
    <s v="High"/>
    <x v="0"/>
    <x v="3"/>
    <d v="2022-12-15T00:00:00"/>
    <n v="403561"/>
    <n v="400"/>
    <x v="1"/>
    <n v="0"/>
    <x v="0"/>
  </r>
  <r>
    <s v="CUST0423"/>
    <s v="ACC00790"/>
    <s v="Matthew Martinez"/>
    <s v="Female"/>
    <n v="45"/>
    <x v="0"/>
    <x v="3"/>
    <s v="Teacher"/>
    <d v="2021-11-13T00:00:00"/>
    <x v="3"/>
    <x v="47"/>
    <n v="65893"/>
    <s v="Low"/>
    <x v="0"/>
    <x v="1"/>
    <d v="2022-10-29T00:00:00"/>
    <n v="252084"/>
    <n v="656"/>
    <x v="2"/>
    <n v="497442"/>
    <x v="0"/>
  </r>
  <r>
    <s v="CUST0258"/>
    <s v="ACC00791"/>
    <s v="Susan Thompson"/>
    <s v="Female"/>
    <n v="58"/>
    <x v="0"/>
    <x v="2"/>
    <s v="Doctor"/>
    <d v="2025-06-11T00:00:00"/>
    <x v="8"/>
    <x v="357"/>
    <n v="102503"/>
    <s v="Medium"/>
    <x v="1"/>
    <x v="2"/>
    <d v="2025-07-17T00:00:00"/>
    <n v="121015"/>
    <n v="841"/>
    <x v="4"/>
    <n v="62241"/>
    <x v="0"/>
  </r>
  <r>
    <s v="CUST0447"/>
    <s v="ACC00792"/>
    <s v="Scott Wall"/>
    <s v="Male"/>
    <n v="42"/>
    <x v="1"/>
    <x v="2"/>
    <s v="Student"/>
    <d v="2023-03-09T00:00:00"/>
    <x v="1"/>
    <x v="250"/>
    <n v="174571"/>
    <s v="High"/>
    <x v="1"/>
    <x v="0"/>
    <d v="2021-09-15T00:00:00"/>
    <n v="172257"/>
    <n v="332"/>
    <x v="1"/>
    <n v="0"/>
    <x v="0"/>
  </r>
  <r>
    <s v="CUST0285"/>
    <s v="ACC00793"/>
    <s v="Kristen Nguyen"/>
    <s v="Female"/>
    <n v="52"/>
    <x v="0"/>
    <x v="3"/>
    <s v="Banker"/>
    <d v="2021-02-22T00:00:00"/>
    <x v="3"/>
    <x v="358"/>
    <n v="55488"/>
    <s v="Low"/>
    <x v="1"/>
    <x v="1"/>
    <d v="2018-01-04T00:00:00"/>
    <n v="246536"/>
    <n v="528"/>
    <x v="1"/>
    <n v="70030"/>
    <x v="3"/>
  </r>
  <r>
    <s v="CUST0105"/>
    <s v="ACC00794"/>
    <s v="Eric Mayer"/>
    <s v="Female"/>
    <n v="43"/>
    <x v="1"/>
    <x v="0"/>
    <s v="Retired"/>
    <d v="2025-04-01T00:00:00"/>
    <x v="8"/>
    <x v="359"/>
    <n v="125228"/>
    <s v="Medium"/>
    <x v="1"/>
    <x v="2"/>
    <d v="2020-11-10T00:00:00"/>
    <n v="224021"/>
    <n v="823"/>
    <x v="4"/>
    <n v="182577"/>
    <x v="0"/>
  </r>
  <r>
    <s v="CUST0202"/>
    <s v="ACC00795"/>
    <s v="Jason Johnson"/>
    <s v="Female"/>
    <n v="30"/>
    <x v="1"/>
    <x v="3"/>
    <s v="Teacher"/>
    <d v="2019-03-13T00:00:00"/>
    <x v="2"/>
    <x v="360"/>
    <n v="195485"/>
    <s v="High"/>
    <x v="2"/>
    <x v="1"/>
    <d v="2016-05-06T00:00:00"/>
    <n v="130956"/>
    <n v="454"/>
    <x v="1"/>
    <n v="0"/>
    <x v="0"/>
  </r>
  <r>
    <s v="CUST0450"/>
    <s v="ACC00796"/>
    <s v="Seth Kent"/>
    <s v="Female"/>
    <n v="73"/>
    <x v="3"/>
    <x v="3"/>
    <s v="Teacher"/>
    <d v="2024-07-13T00:00:00"/>
    <x v="7"/>
    <x v="280"/>
    <n v="127803"/>
    <s v="Medium"/>
    <x v="1"/>
    <x v="2"/>
    <d v="2017-01-08T00:00:00"/>
    <n v="70744"/>
    <n v="722"/>
    <x v="0"/>
    <n v="483394"/>
    <x v="0"/>
  </r>
  <r>
    <s v="CUST0307"/>
    <s v="ACC00797"/>
    <s v="Angela Garcia"/>
    <s v="Female"/>
    <n v="28"/>
    <x v="2"/>
    <x v="0"/>
    <s v="Teacher"/>
    <d v="2015-10-16T00:00:00"/>
    <x v="10"/>
    <x v="260"/>
    <n v="82768"/>
    <s v="Medium"/>
    <x v="1"/>
    <x v="3"/>
    <d v="2024-07-25T00:00:00"/>
    <n v="295599"/>
    <n v="545"/>
    <x v="1"/>
    <n v="212397"/>
    <x v="0"/>
  </r>
  <r>
    <s v="CUST0331"/>
    <s v="ACC00798"/>
    <s v="Theresa Burke"/>
    <s v="Male"/>
    <n v="65"/>
    <x v="3"/>
    <x v="3"/>
    <s v="Trader"/>
    <d v="2019-11-07T00:00:00"/>
    <x v="2"/>
    <x v="361"/>
    <n v="179033"/>
    <s v="High"/>
    <x v="1"/>
    <x v="2"/>
    <d v="2023-09-05T00:00:00"/>
    <n v="421234"/>
    <n v="704"/>
    <x v="0"/>
    <n v="0"/>
    <x v="3"/>
  </r>
  <r>
    <s v="CUST0461"/>
    <s v="ACC00799"/>
    <s v="Tiffany Lam"/>
    <s v="Female"/>
    <n v="49"/>
    <x v="0"/>
    <x v="1"/>
    <s v="Student"/>
    <d v="2018-10-28T00:00:00"/>
    <x v="6"/>
    <x v="85"/>
    <n v="151691"/>
    <s v="High"/>
    <x v="1"/>
    <x v="1"/>
    <d v="2022-06-23T00:00:00"/>
    <n v="316363"/>
    <n v="840"/>
    <x v="4"/>
    <n v="0"/>
    <x v="0"/>
  </r>
  <r>
    <s v="CUST0266"/>
    <s v="ACC00800"/>
    <s v="Maria Everett"/>
    <s v="Female"/>
    <n v="30"/>
    <x v="1"/>
    <x v="2"/>
    <s v="Teacher"/>
    <d v="2017-02-04T00:00:00"/>
    <x v="0"/>
    <x v="362"/>
    <n v="146446"/>
    <s v="High"/>
    <x v="1"/>
    <x v="2"/>
    <d v="2018-08-18T00:00:00"/>
    <n v="308135"/>
    <n v="460"/>
    <x v="1"/>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B64A1F-F44A-4679-AADF-95DB96A9DA07}" name="PivotTable3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E18" firstHeaderRow="1" firstDataRow="1" firstDataCol="1"/>
  <pivotFields count="21">
    <pivotField showAll="0"/>
    <pivotField showAll="0"/>
    <pivotField showAll="0"/>
    <pivotField showAll="0"/>
    <pivotField showAll="0"/>
    <pivotField showAll="0">
      <items count="5">
        <item x="3"/>
        <item x="0"/>
        <item x="2"/>
        <item x="1"/>
        <item t="default"/>
      </items>
    </pivotField>
    <pivotField showAll="0">
      <items count="5">
        <item x="2"/>
        <item x="1"/>
        <item x="3"/>
        <item x="0"/>
        <item t="default"/>
      </items>
    </pivotField>
    <pivotField showAll="0"/>
    <pivotField numFmtId="14" showAll="0"/>
    <pivotField showAll="0"/>
    <pivotField showAll="0"/>
    <pivotField numFmtId="164" showAll="0"/>
    <pivotField showAll="0"/>
    <pivotField showAll="0"/>
    <pivotField axis="axisRow" showAll="0">
      <items count="5">
        <item x="0"/>
        <item x="2"/>
        <item x="3"/>
        <item x="1"/>
        <item t="default"/>
      </items>
    </pivotField>
    <pivotField numFmtId="22" showAll="0"/>
    <pivotField dataField="1" numFmtId="164" showAll="0"/>
    <pivotField showAll="0"/>
    <pivotField showAll="0"/>
    <pivotField numFmtId="164" showAll="0"/>
    <pivotField showAll="0"/>
  </pivotFields>
  <rowFields count="1">
    <field x="14"/>
  </rowFields>
  <rowItems count="5">
    <i>
      <x/>
    </i>
    <i>
      <x v="1"/>
    </i>
    <i>
      <x v="2"/>
    </i>
    <i>
      <x v="3"/>
    </i>
    <i t="grand">
      <x/>
    </i>
  </rowItems>
  <colItems count="1">
    <i/>
  </colItems>
  <dataFields count="1">
    <dataField name="Average of Balance" fld="16" subtotal="average" baseField="14"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AEF0A6-5C6C-464C-8663-38D64FBCE234}" name="PivotTable4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22:L34" firstHeaderRow="1" firstDataRow="1" firstDataCol="1"/>
  <pivotFields count="21">
    <pivotField showAll="0"/>
    <pivotField showAll="0"/>
    <pivotField showAll="0"/>
    <pivotField showAll="0"/>
    <pivotField showAll="0"/>
    <pivotField showAll="0">
      <items count="5">
        <item x="3"/>
        <item x="0"/>
        <item x="2"/>
        <item x="1"/>
        <item t="default"/>
      </items>
    </pivotField>
    <pivotField showAll="0">
      <items count="5">
        <item x="2"/>
        <item x="1"/>
        <item x="3"/>
        <item x="0"/>
        <item t="default"/>
      </items>
    </pivotField>
    <pivotField showAll="0"/>
    <pivotField numFmtId="14" showAll="0"/>
    <pivotField axis="axisRow" showAll="0">
      <items count="12">
        <item x="10"/>
        <item x="9"/>
        <item x="0"/>
        <item x="6"/>
        <item x="2"/>
        <item x="4"/>
        <item x="3"/>
        <item x="5"/>
        <item x="1"/>
        <item x="7"/>
        <item x="8"/>
        <item t="default"/>
      </items>
    </pivotField>
    <pivotField showAll="0"/>
    <pivotField numFmtId="164" showAll="0"/>
    <pivotField showAll="0"/>
    <pivotField showAll="0"/>
    <pivotField showAll="0"/>
    <pivotField numFmtId="22" showAll="0"/>
    <pivotField dataField="1" numFmtId="164" showAll="0"/>
    <pivotField showAll="0"/>
    <pivotField showAll="0"/>
    <pivotField numFmtId="164" showAll="0"/>
    <pivotField showAll="0"/>
  </pivotFields>
  <rowFields count="1">
    <field x="9"/>
  </rowFields>
  <rowItems count="12">
    <i>
      <x/>
    </i>
    <i>
      <x v="1"/>
    </i>
    <i>
      <x v="2"/>
    </i>
    <i>
      <x v="3"/>
    </i>
    <i>
      <x v="4"/>
    </i>
    <i>
      <x v="5"/>
    </i>
    <i>
      <x v="6"/>
    </i>
    <i>
      <x v="7"/>
    </i>
    <i>
      <x v="8"/>
    </i>
    <i>
      <x v="9"/>
    </i>
    <i>
      <x v="10"/>
    </i>
    <i t="grand">
      <x/>
    </i>
  </rowItems>
  <colItems count="1">
    <i/>
  </colItems>
  <dataFields count="1">
    <dataField name="Average of Balance" fld="16" subtotal="average" baseField="9" baseItem="0" numFmtId="164"/>
  </dataFields>
  <formats count="1">
    <format dxfId="7">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3C3417-7525-4EF1-9004-7F434805625F}" name="PivotTable4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3:K18" firstHeaderRow="1" firstDataRow="1" firstDataCol="1"/>
  <pivotFields count="21">
    <pivotField showAll="0"/>
    <pivotField dataField="1" showAll="0"/>
    <pivotField showAll="0"/>
    <pivotField showAll="0"/>
    <pivotField showAll="0"/>
    <pivotField showAll="0">
      <items count="5">
        <item x="3"/>
        <item x="0"/>
        <item x="2"/>
        <item x="1"/>
        <item t="default"/>
      </items>
    </pivotField>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numFmtId="164" showAll="0"/>
    <pivotField showAll="0"/>
    <pivotField showAll="0">
      <items count="4">
        <item x="0"/>
        <item x="2"/>
        <item x="1"/>
        <item t="default"/>
      </items>
    </pivotField>
    <pivotField showAll="0"/>
    <pivotField numFmtId="22" showAll="0"/>
    <pivotField numFmtId="164" showAll="0"/>
    <pivotField showAll="0"/>
    <pivotField showAll="0"/>
    <pivotField numFmtId="164" showAll="0"/>
    <pivotField showAll="0"/>
  </pivotFields>
  <rowFields count="1">
    <field x="6"/>
  </rowFields>
  <rowItems count="5">
    <i>
      <x v="2"/>
    </i>
    <i>
      <x/>
    </i>
    <i>
      <x v="1"/>
    </i>
    <i>
      <x v="3"/>
    </i>
    <i t="grand">
      <x/>
    </i>
  </rowItems>
  <colItems count="1">
    <i/>
  </colItems>
  <dataFields count="1">
    <dataField name="Count of AccountID" fld="1" subtotal="count" baseField="0" baseItem="0"/>
  </dataFields>
  <chartFormats count="5">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6" count="1" selected="0">
            <x v="2"/>
          </reference>
        </references>
      </pivotArea>
    </chartFormat>
    <chartFormat chart="7" format="11">
      <pivotArea type="data" outline="0" fieldPosition="0">
        <references count="2">
          <reference field="4294967294" count="1" selected="0">
            <x v="0"/>
          </reference>
          <reference field="6" count="1" selected="0">
            <x v="0"/>
          </reference>
        </references>
      </pivotArea>
    </chartFormat>
    <chartFormat chart="7" format="12">
      <pivotArea type="data" outline="0" fieldPosition="0">
        <references count="2">
          <reference field="4294967294" count="1" selected="0">
            <x v="0"/>
          </reference>
          <reference field="6" count="1" selected="0">
            <x v="1"/>
          </reference>
        </references>
      </pivotArea>
    </chartFormat>
    <chartFormat chart="7" format="13">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BE0551-2EA8-4AA7-B3E0-4EAD5D8FC84D}" name="PivotTable3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B11" firstHeaderRow="1" firstDataRow="1" firstDataCol="1"/>
  <pivotFields count="21">
    <pivotField dataField="1" showAll="0"/>
    <pivotField showAll="0"/>
    <pivotField showAll="0"/>
    <pivotField showAll="0"/>
    <pivotField showAll="0"/>
    <pivotField showAll="0">
      <items count="5">
        <item x="3"/>
        <item x="0"/>
        <item x="2"/>
        <item x="1"/>
        <item t="default"/>
      </items>
    </pivotField>
    <pivotField showAll="0">
      <items count="5">
        <item x="2"/>
        <item x="1"/>
        <item x="3"/>
        <item x="0"/>
        <item t="default"/>
      </items>
    </pivotField>
    <pivotField showAll="0"/>
    <pivotField numFmtId="14" showAll="0"/>
    <pivotField showAll="0"/>
    <pivotField showAll="0">
      <items count="364">
        <item x="139"/>
        <item x="107"/>
        <item x="181"/>
        <item x="186"/>
        <item x="303"/>
        <item x="263"/>
        <item x="281"/>
        <item x="208"/>
        <item x="33"/>
        <item x="246"/>
        <item x="126"/>
        <item x="302"/>
        <item x="291"/>
        <item x="161"/>
        <item x="234"/>
        <item x="29"/>
        <item x="259"/>
        <item x="243"/>
        <item x="86"/>
        <item x="1"/>
        <item x="156"/>
        <item x="323"/>
        <item x="148"/>
        <item x="108"/>
        <item x="313"/>
        <item x="91"/>
        <item x="250"/>
        <item x="69"/>
        <item x="258"/>
        <item x="171"/>
        <item x="43"/>
        <item x="70"/>
        <item x="129"/>
        <item x="121"/>
        <item x="28"/>
        <item x="273"/>
        <item x="76"/>
        <item x="7"/>
        <item x="206"/>
        <item x="314"/>
        <item x="78"/>
        <item x="168"/>
        <item x="133"/>
        <item x="191"/>
        <item x="177"/>
        <item x="207"/>
        <item x="216"/>
        <item x="271"/>
        <item x="163"/>
        <item x="151"/>
        <item x="118"/>
        <item x="63"/>
        <item x="178"/>
        <item x="15"/>
        <item x="351"/>
        <item x="213"/>
        <item x="204"/>
        <item x="305"/>
        <item x="75"/>
        <item x="56"/>
        <item x="229"/>
        <item x="105"/>
        <item x="132"/>
        <item x="330"/>
        <item x="262"/>
        <item x="60"/>
        <item x="266"/>
        <item x="166"/>
        <item x="304"/>
        <item x="47"/>
        <item x="293"/>
        <item x="26"/>
        <item x="253"/>
        <item x="336"/>
        <item x="6"/>
        <item x="233"/>
        <item x="102"/>
        <item x="37"/>
        <item x="294"/>
        <item x="22"/>
        <item x="160"/>
        <item x="322"/>
        <item x="239"/>
        <item x="65"/>
        <item x="193"/>
        <item x="25"/>
        <item x="290"/>
        <item x="284"/>
        <item x="3"/>
        <item x="292"/>
        <item x="354"/>
        <item x="298"/>
        <item x="111"/>
        <item x="114"/>
        <item x="274"/>
        <item x="219"/>
        <item x="210"/>
        <item x="185"/>
        <item x="52"/>
        <item x="358"/>
        <item x="140"/>
        <item x="117"/>
        <item x="317"/>
        <item x="349"/>
        <item x="128"/>
        <item x="64"/>
        <item x="316"/>
        <item x="88"/>
        <item x="83"/>
        <item x="230"/>
        <item x="14"/>
        <item x="159"/>
        <item x="238"/>
        <item x="53"/>
        <item x="142"/>
        <item x="10"/>
        <item x="55"/>
        <item x="338"/>
        <item x="35"/>
        <item x="130"/>
        <item x="173"/>
        <item x="247"/>
        <item x="275"/>
        <item x="319"/>
        <item x="158"/>
        <item x="54"/>
        <item x="141"/>
        <item x="301"/>
        <item x="300"/>
        <item x="120"/>
        <item x="245"/>
        <item x="295"/>
        <item x="5"/>
        <item x="297"/>
        <item x="256"/>
        <item x="45"/>
        <item x="131"/>
        <item x="113"/>
        <item x="237"/>
        <item x="240"/>
        <item x="227"/>
        <item x="189"/>
        <item x="203"/>
        <item x="361"/>
        <item x="248"/>
        <item x="344"/>
        <item x="4"/>
        <item x="136"/>
        <item x="257"/>
        <item x="211"/>
        <item x="116"/>
        <item x="214"/>
        <item x="269"/>
        <item x="252"/>
        <item x="220"/>
        <item x="36"/>
        <item x="199"/>
        <item x="39"/>
        <item x="231"/>
        <item x="324"/>
        <item x="79"/>
        <item x="352"/>
        <item x="143"/>
        <item x="23"/>
        <item x="2"/>
        <item x="350"/>
        <item x="81"/>
        <item x="279"/>
        <item x="172"/>
        <item x="278"/>
        <item x="72"/>
        <item x="254"/>
        <item x="46"/>
        <item x="147"/>
        <item x="320"/>
        <item x="360"/>
        <item x="99"/>
        <item x="125"/>
        <item x="340"/>
        <item x="296"/>
        <item x="41"/>
        <item x="331"/>
        <item x="27"/>
        <item x="215"/>
        <item x="244"/>
        <item x="276"/>
        <item x="212"/>
        <item x="84"/>
        <item x="242"/>
        <item x="9"/>
        <item x="85"/>
        <item x="97"/>
        <item x="20"/>
        <item x="184"/>
        <item x="261"/>
        <item x="94"/>
        <item x="58"/>
        <item x="226"/>
        <item x="343"/>
        <item x="251"/>
        <item x="8"/>
        <item x="67"/>
        <item x="169"/>
        <item x="288"/>
        <item x="299"/>
        <item x="315"/>
        <item x="30"/>
        <item x="326"/>
        <item x="267"/>
        <item x="241"/>
        <item x="328"/>
        <item x="187"/>
        <item x="232"/>
        <item x="325"/>
        <item x="283"/>
        <item x="89"/>
        <item x="167"/>
        <item x="235"/>
        <item x="218"/>
        <item x="223"/>
        <item x="92"/>
        <item x="228"/>
        <item x="198"/>
        <item x="353"/>
        <item x="0"/>
        <item x="11"/>
        <item x="265"/>
        <item x="200"/>
        <item x="202"/>
        <item x="144"/>
        <item x="209"/>
        <item x="286"/>
        <item x="333"/>
        <item x="137"/>
        <item x="347"/>
        <item x="150"/>
        <item x="87"/>
        <item x="342"/>
        <item x="348"/>
        <item x="285"/>
        <item x="12"/>
        <item x="51"/>
        <item x="24"/>
        <item x="127"/>
        <item x="225"/>
        <item x="329"/>
        <item x="59"/>
        <item x="62"/>
        <item x="221"/>
        <item x="80"/>
        <item x="327"/>
        <item x="124"/>
        <item x="74"/>
        <item x="362"/>
        <item x="153"/>
        <item x="68"/>
        <item x="100"/>
        <item x="42"/>
        <item x="154"/>
        <item x="356"/>
        <item x="346"/>
        <item x="21"/>
        <item x="106"/>
        <item x="311"/>
        <item x="135"/>
        <item x="19"/>
        <item x="71"/>
        <item x="268"/>
        <item x="103"/>
        <item x="197"/>
        <item x="170"/>
        <item x="318"/>
        <item x="61"/>
        <item x="93"/>
        <item x="146"/>
        <item x="44"/>
        <item x="123"/>
        <item x="49"/>
        <item x="119"/>
        <item x="122"/>
        <item x="307"/>
        <item x="98"/>
        <item x="32"/>
        <item x="138"/>
        <item x="282"/>
        <item x="34"/>
        <item x="205"/>
        <item x="255"/>
        <item x="157"/>
        <item x="345"/>
        <item x="222"/>
        <item x="155"/>
        <item x="334"/>
        <item x="264"/>
        <item x="277"/>
        <item x="180"/>
        <item x="217"/>
        <item x="249"/>
        <item x="309"/>
        <item x="57"/>
        <item x="337"/>
        <item x="260"/>
        <item x="194"/>
        <item x="192"/>
        <item x="176"/>
        <item x="183"/>
        <item x="73"/>
        <item x="134"/>
        <item x="357"/>
        <item x="115"/>
        <item x="306"/>
        <item x="38"/>
        <item x="109"/>
        <item x="179"/>
        <item x="359"/>
        <item x="48"/>
        <item x="190"/>
        <item x="17"/>
        <item x="196"/>
        <item x="66"/>
        <item x="101"/>
        <item x="174"/>
        <item x="16"/>
        <item x="164"/>
        <item x="272"/>
        <item x="95"/>
        <item x="355"/>
        <item x="312"/>
        <item x="175"/>
        <item x="162"/>
        <item x="341"/>
        <item x="165"/>
        <item x="195"/>
        <item x="201"/>
        <item x="145"/>
        <item x="182"/>
        <item x="236"/>
        <item x="289"/>
        <item x="308"/>
        <item x="188"/>
        <item x="77"/>
        <item x="280"/>
        <item x="96"/>
        <item x="321"/>
        <item x="13"/>
        <item x="332"/>
        <item x="104"/>
        <item x="335"/>
        <item x="149"/>
        <item x="40"/>
        <item x="339"/>
        <item x="31"/>
        <item x="90"/>
        <item x="310"/>
        <item x="224"/>
        <item x="270"/>
        <item x="82"/>
        <item x="50"/>
        <item x="152"/>
        <item x="110"/>
        <item x="287"/>
        <item x="18"/>
        <item x="112"/>
        <item t="default"/>
      </items>
    </pivotField>
    <pivotField numFmtId="164" showAll="0"/>
    <pivotField showAll="0"/>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numFmtId="22" showAll="0"/>
    <pivotField numFmtId="164" showAll="0"/>
    <pivotField showAll="0"/>
    <pivotField showAll="0"/>
    <pivotField numFmtId="164" showAll="0"/>
    <pivotField showAll="0"/>
  </pivotFields>
  <rowFields count="1">
    <field x="14"/>
  </rowFields>
  <rowItems count="5">
    <i>
      <x v="3"/>
    </i>
    <i>
      <x/>
    </i>
    <i>
      <x v="1"/>
    </i>
    <i>
      <x v="2"/>
    </i>
    <i t="grand">
      <x/>
    </i>
  </rowItems>
  <colItems count="1">
    <i/>
  </colItems>
  <dataFields count="1">
    <dataField name="Count of Customer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28C0BC-3D1B-4B3A-95D7-503ACE712DD1}" name="PivotTable3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D3" firstHeaderRow="0" firstDataRow="1" firstDataCol="0"/>
  <pivotFields count="21">
    <pivotField showAll="0"/>
    <pivotField dataField="1" showAll="0"/>
    <pivotField showAll="0"/>
    <pivotField showAll="0"/>
    <pivotField showAll="0"/>
    <pivotField showAll="0">
      <items count="5">
        <item x="3"/>
        <item x="0"/>
        <item x="2"/>
        <item x="1"/>
        <item t="default"/>
      </items>
    </pivotField>
    <pivotField showAll="0">
      <items count="5">
        <item x="2"/>
        <item x="1"/>
        <item x="3"/>
        <item x="0"/>
        <item t="default"/>
      </items>
    </pivotField>
    <pivotField showAll="0"/>
    <pivotField numFmtId="14" showAll="0"/>
    <pivotField showAll="0"/>
    <pivotField showAll="0"/>
    <pivotField numFmtId="164" showAll="0"/>
    <pivotField showAll="0"/>
    <pivotField showAll="0"/>
    <pivotField showAll="0"/>
    <pivotField numFmtId="22" showAll="0"/>
    <pivotField dataField="1" numFmtId="164" showAll="0"/>
    <pivotField dataField="1" showAll="0"/>
    <pivotField showAll="0"/>
    <pivotField numFmtId="164" showAll="0"/>
    <pivotField showAll="0"/>
  </pivotFields>
  <rowItems count="1">
    <i/>
  </rowItems>
  <colFields count="1">
    <field x="-2"/>
  </colFields>
  <colItems count="3">
    <i>
      <x/>
    </i>
    <i i="1">
      <x v="1"/>
    </i>
    <i i="2">
      <x v="2"/>
    </i>
  </colItems>
  <dataFields count="3">
    <dataField name="Count of Account" fld="1" subtotal="count" baseField="0" baseItem="1"/>
    <dataField name="Average of Credit Score" fld="17" subtotal="average" baseField="0" baseItem="1" numFmtId="2"/>
    <dataField name="Average of Balance" fld="16" subtotal="average" baseField="0" baseItem="0" numFmtId="164"/>
  </dataFields>
  <formats count="2">
    <format dxfId="9">
      <pivotArea outline="0" collapsedLevelsAreSubtotals="1" fieldPosition="0">
        <references count="1">
          <reference field="4294967294" count="1" selected="0">
            <x v="2"/>
          </reference>
        </references>
      </pivotArea>
    </format>
    <format dxfId="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D9F9B6-14B4-4CB1-86E5-E9ED20FADD01}" name="PivotTable4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2:I27" firstHeaderRow="1" firstDataRow="1" firstDataCol="1"/>
  <pivotFields count="21">
    <pivotField showAll="0"/>
    <pivotField showAll="0"/>
    <pivotField showAll="0"/>
    <pivotField showAll="0"/>
    <pivotField showAll="0"/>
    <pivotField showAll="0">
      <items count="5">
        <item x="3"/>
        <item x="0"/>
        <item x="2"/>
        <item x="1"/>
        <item t="default"/>
      </items>
    </pivotField>
    <pivotField showAll="0">
      <items count="5">
        <item x="2"/>
        <item x="1"/>
        <item x="3"/>
        <item x="0"/>
        <item t="default"/>
      </items>
    </pivotField>
    <pivotField showAll="0"/>
    <pivotField numFmtId="14" showAll="0"/>
    <pivotField showAll="0"/>
    <pivotField showAll="0"/>
    <pivotField numFmtId="164" showAll="0"/>
    <pivotField showAll="0"/>
    <pivotField showAll="0"/>
    <pivotField showAll="0"/>
    <pivotField numFmtId="22" showAll="0"/>
    <pivotField numFmtId="164" showAll="0"/>
    <pivotField dataField="1" showAll="0"/>
    <pivotField showAll="0"/>
    <pivotField numFmtId="164" showAll="0"/>
    <pivotField axis="axisRow" showAll="0">
      <items count="5">
        <item x="1"/>
        <item x="2"/>
        <item x="3"/>
        <item x="0"/>
        <item t="default"/>
      </items>
    </pivotField>
  </pivotFields>
  <rowFields count="1">
    <field x="20"/>
  </rowFields>
  <rowItems count="5">
    <i>
      <x/>
    </i>
    <i>
      <x v="1"/>
    </i>
    <i>
      <x v="2"/>
    </i>
    <i>
      <x v="3"/>
    </i>
    <i t="grand">
      <x/>
    </i>
  </rowItems>
  <colItems count="1">
    <i/>
  </colItems>
  <dataFields count="1">
    <dataField name="Average of Credit Score" fld="17" subtotal="average" baseField="20" baseItem="0"/>
  </dataFields>
  <formats count="3">
    <format dxfId="12">
      <pivotArea collapsedLevelsAreSubtotals="1" fieldPosition="0">
        <references count="1">
          <reference field="20" count="1">
            <x v="0"/>
          </reference>
        </references>
      </pivotArea>
    </format>
    <format dxfId="11">
      <pivotArea collapsedLevelsAreSubtotals="1" fieldPosition="0">
        <references count="1">
          <reference field="20" count="3">
            <x v="1"/>
            <x v="2"/>
            <x v="3"/>
          </reference>
        </references>
      </pivotArea>
    </format>
    <format dxfId="1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2FFCB9-6E1E-457B-8B7F-D7EB3F7C0DBD}" name="PivotTable3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8" firstHeaderRow="1" firstDataRow="1" firstDataCol="1"/>
  <pivotFields count="21">
    <pivotField showAll="0"/>
    <pivotField showAll="0"/>
    <pivotField showAll="0"/>
    <pivotField showAll="0"/>
    <pivotField showAll="0"/>
    <pivotField showAll="0">
      <items count="5">
        <item x="3"/>
        <item x="0"/>
        <item x="2"/>
        <item x="1"/>
        <item t="default"/>
      </items>
    </pivotField>
    <pivotField showAll="0">
      <items count="5">
        <item x="2"/>
        <item x="1"/>
        <item x="3"/>
        <item x="0"/>
        <item t="default"/>
      </items>
    </pivotField>
    <pivotField showAll="0"/>
    <pivotField numFmtId="14" showAll="0"/>
    <pivotField showAll="0"/>
    <pivotField showAll="0"/>
    <pivotField numFmtId="164" showAll="0"/>
    <pivotField showAll="0"/>
    <pivotField showAll="0"/>
    <pivotField axis="axisRow" showAll="0">
      <items count="5">
        <item x="0"/>
        <item x="2"/>
        <item x="3"/>
        <item x="1"/>
        <item t="default"/>
      </items>
    </pivotField>
    <pivotField numFmtId="22" showAll="0"/>
    <pivotField numFmtId="164" showAll="0"/>
    <pivotField dataField="1" showAll="0"/>
    <pivotField showAll="0">
      <items count="7">
        <item x="4"/>
        <item x="2"/>
        <item x="0"/>
        <item x="1"/>
        <item x="3"/>
        <item m="1" x="5"/>
        <item t="default"/>
      </items>
    </pivotField>
    <pivotField numFmtId="164" showAll="0"/>
    <pivotField showAll="0"/>
  </pivotFields>
  <rowFields count="1">
    <field x="14"/>
  </rowFields>
  <rowItems count="5">
    <i>
      <x/>
    </i>
    <i>
      <x v="1"/>
    </i>
    <i>
      <x v="2"/>
    </i>
    <i>
      <x v="3"/>
    </i>
    <i t="grand">
      <x/>
    </i>
  </rowItems>
  <colItems count="1">
    <i/>
  </colItems>
  <dataFields count="1">
    <dataField name="Average of Credit Score" fld="17" subtotal="average" baseField="14" baseItem="0"/>
  </dataFields>
  <formats count="3">
    <format dxfId="15">
      <pivotArea collapsedLevelsAreSubtotals="1" fieldPosition="0">
        <references count="1">
          <reference field="14" count="0"/>
        </references>
      </pivotArea>
    </format>
    <format dxfId="14">
      <pivotArea collapsedLevelsAreSubtotals="1" fieldPosition="0">
        <references count="1">
          <reference field="14" count="1">
            <x v="2"/>
          </reference>
        </references>
      </pivotArea>
    </format>
    <format dxfId="1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4412B2-49D2-44C5-AF10-167B6867D71C}" name="PivotTable3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F27" firstHeaderRow="1" firstDataRow="2" firstDataCol="1"/>
  <pivotFields count="21">
    <pivotField showAll="0"/>
    <pivotField dataField="1" showAll="0"/>
    <pivotField showAll="0"/>
    <pivotField showAll="0"/>
    <pivotField showAll="0"/>
    <pivotField axis="axisCol" showAll="0">
      <items count="5">
        <item x="3"/>
        <item x="0"/>
        <item x="2"/>
        <item x="1"/>
        <item t="default"/>
      </items>
    </pivotField>
    <pivotField showAll="0">
      <items count="5">
        <item x="2"/>
        <item x="1"/>
        <item x="3"/>
        <item x="0"/>
        <item t="default"/>
      </items>
    </pivotField>
    <pivotField showAll="0"/>
    <pivotField numFmtId="14" showAll="0"/>
    <pivotField showAll="0"/>
    <pivotField showAll="0"/>
    <pivotField numFmtId="164" showAll="0"/>
    <pivotField showAll="0"/>
    <pivotField showAll="0"/>
    <pivotField axis="axisRow" showAll="0">
      <items count="5">
        <item x="0"/>
        <item x="2"/>
        <item x="3"/>
        <item x="1"/>
        <item t="default"/>
      </items>
    </pivotField>
    <pivotField numFmtId="22" showAll="0"/>
    <pivotField numFmtId="164" showAll="0"/>
    <pivotField showAll="0"/>
    <pivotField showAll="0"/>
    <pivotField numFmtId="164" showAll="0"/>
    <pivotField showAll="0"/>
  </pivotFields>
  <rowFields count="1">
    <field x="14"/>
  </rowFields>
  <rowItems count="5">
    <i>
      <x/>
    </i>
    <i>
      <x v="1"/>
    </i>
    <i>
      <x v="2"/>
    </i>
    <i>
      <x v="3"/>
    </i>
    <i t="grand">
      <x/>
    </i>
  </rowItems>
  <colFields count="1">
    <field x="5"/>
  </colFields>
  <colItems count="5">
    <i>
      <x/>
    </i>
    <i>
      <x v="1"/>
    </i>
    <i>
      <x v="2"/>
    </i>
    <i>
      <x v="3"/>
    </i>
    <i t="grand">
      <x/>
    </i>
  </colItems>
  <dataFields count="1">
    <dataField name="Count of Account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456A84-6742-404D-B362-079A572DD862}" name="PivotTable3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13:H16" firstHeaderRow="1" firstDataRow="1" firstDataCol="1"/>
  <pivotFields count="21">
    <pivotField showAll="0"/>
    <pivotField showAll="0"/>
    <pivotField showAll="0"/>
    <pivotField showAll="0"/>
    <pivotField showAll="0"/>
    <pivotField showAll="0">
      <items count="5">
        <item x="3"/>
        <item x="0"/>
        <item x="2"/>
        <item x="1"/>
        <item t="default"/>
      </items>
    </pivotField>
    <pivotField showAll="0">
      <items count="5">
        <item x="2"/>
        <item x="1"/>
        <item x="3"/>
        <item x="0"/>
        <item t="default"/>
      </items>
    </pivotField>
    <pivotField showAll="0"/>
    <pivotField numFmtId="14" showAll="0"/>
    <pivotField showAll="0"/>
    <pivotField showAll="0"/>
    <pivotField numFmtId="164" showAll="0"/>
    <pivotField showAll="0"/>
    <pivotField showAll="0"/>
    <pivotField showAll="0">
      <items count="5">
        <item x="0"/>
        <item x="2"/>
        <item x="3"/>
        <item x="1"/>
        <item t="default"/>
      </items>
    </pivotField>
    <pivotField numFmtId="22" showAll="0"/>
    <pivotField numFmtId="164" showAll="0"/>
    <pivotField dataField="1" showAll="0"/>
    <pivotField showAll="0"/>
    <pivotField numFmtId="164" showAll="0"/>
    <pivotField axis="axisRow" showAll="0">
      <items count="5">
        <item x="1"/>
        <item h="1" x="2"/>
        <item x="3"/>
        <item h="1" x="0"/>
        <item t="default"/>
      </items>
    </pivotField>
  </pivotFields>
  <rowFields count="1">
    <field x="20"/>
  </rowFields>
  <rowItems count="3">
    <i>
      <x/>
    </i>
    <i>
      <x v="2"/>
    </i>
    <i t="grand">
      <x/>
    </i>
  </rowItems>
  <colItems count="1">
    <i/>
  </colItems>
  <dataFields count="1">
    <dataField name="Average of Credit Score" fld="17" subtotal="average" baseField="20" baseItem="0" numFmtId="1"/>
  </dataFields>
  <formats count="1">
    <format dxfId="16">
      <pivotArea outline="0" collapsedLevelsAreSubtotals="1" fieldPosition="0"/>
    </format>
  </formats>
  <chartFormats count="1">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D72D4F-CE38-4E2F-9F38-26BB2B1C42DC}" name="PivotTable4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5:L9" firstHeaderRow="1" firstDataRow="1" firstDataCol="1"/>
  <pivotFields count="21">
    <pivotField showAll="0"/>
    <pivotField showAll="0"/>
    <pivotField showAll="0"/>
    <pivotField showAll="0"/>
    <pivotField showAll="0"/>
    <pivotField showAll="0">
      <items count="5">
        <item x="3"/>
        <item x="0"/>
        <item x="2"/>
        <item x="1"/>
        <item t="default"/>
      </items>
    </pivotField>
    <pivotField showAll="0">
      <items count="5">
        <item x="2"/>
        <item x="1"/>
        <item x="3"/>
        <item x="0"/>
        <item t="default"/>
      </items>
    </pivotField>
    <pivotField showAll="0"/>
    <pivotField numFmtId="14" showAll="0"/>
    <pivotField showAll="0"/>
    <pivotField showAll="0"/>
    <pivotField numFmtId="164"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numFmtId="22" showAll="0"/>
    <pivotField dataField="1" numFmtId="164" showAll="0"/>
    <pivotField showAll="0"/>
    <pivotField showAll="0"/>
    <pivotField numFmtId="164" showAll="0"/>
    <pivotField showAll="0"/>
  </pivotFields>
  <rowFields count="1">
    <field x="13"/>
  </rowFields>
  <rowItems count="4">
    <i>
      <x v="1"/>
    </i>
    <i>
      <x v="2"/>
    </i>
    <i>
      <x/>
    </i>
    <i t="grand">
      <x/>
    </i>
  </rowItems>
  <colItems count="1">
    <i/>
  </colItems>
  <dataFields count="1">
    <dataField name="Average of Balance" fld="16" subtotal="average" baseField="13" baseItem="0" numFmtId="164"/>
  </dataFields>
  <formats count="1">
    <format dxfId="17">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6EB6DA-5259-4C8D-AAE3-ED8BC2241C8E}" name="PivotTable4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13:N18" firstHeaderRow="1" firstDataRow="1" firstDataCol="1"/>
  <pivotFields count="21">
    <pivotField showAll="0"/>
    <pivotField showAll="0"/>
    <pivotField showAll="0"/>
    <pivotField showAll="0"/>
    <pivotField showAll="0"/>
    <pivotField axis="axisRow" showAll="0">
      <items count="5">
        <item x="3"/>
        <item x="0"/>
        <item x="2"/>
        <item x="1"/>
        <item t="default"/>
      </items>
    </pivotField>
    <pivotField showAll="0">
      <items count="5">
        <item x="2"/>
        <item x="1"/>
        <item x="3"/>
        <item x="0"/>
        <item t="default"/>
      </items>
    </pivotField>
    <pivotField showAll="0"/>
    <pivotField numFmtId="14" showAll="0"/>
    <pivotField showAll="0"/>
    <pivotField showAll="0"/>
    <pivotField numFmtId="164" showAll="0"/>
    <pivotField showAll="0"/>
    <pivotField showAll="0"/>
    <pivotField showAll="0"/>
    <pivotField numFmtId="22" showAll="0"/>
    <pivotField dataField="1" numFmtId="164" showAll="0"/>
    <pivotField showAll="0"/>
    <pivotField showAll="0"/>
    <pivotField numFmtId="164" showAll="0"/>
    <pivotField showAll="0"/>
  </pivotFields>
  <rowFields count="1">
    <field x="5"/>
  </rowFields>
  <rowItems count="5">
    <i>
      <x/>
    </i>
    <i>
      <x v="1"/>
    </i>
    <i>
      <x v="2"/>
    </i>
    <i>
      <x v="3"/>
    </i>
    <i t="grand">
      <x/>
    </i>
  </rowItems>
  <colItems count="1">
    <i/>
  </colItems>
  <dataFields count="1">
    <dataField name="Average of Balance" fld="16" subtotal="average" baseField="5" baseItem="0" numFmtId="164"/>
  </dataFields>
  <formats count="2">
    <format dxfId="19">
      <pivotArea collapsedLevelsAreSubtotals="1" fieldPosition="0">
        <references count="1">
          <reference field="5" count="1">
            <x v="0"/>
          </reference>
        </references>
      </pivotArea>
    </format>
    <format dxfId="18">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D4F1C806-6FDB-4E02-8E96-58130D7DBDD4}" autoFormatId="16" applyNumberFormats="0" applyBorderFormats="0" applyFontFormats="0" applyPatternFormats="0" applyAlignmentFormats="0" applyWidthHeightFormats="0">
  <queryTableRefresh nextId="14">
    <queryTableFields count="13">
      <queryTableField id="1" name="CustomerID" tableColumnId="1"/>
      <queryTableField id="2" name="Name" tableColumnId="2"/>
      <queryTableField id="3" name="Gender" tableColumnId="3"/>
      <queryTableField id="4" name="Age" tableColumnId="4"/>
      <queryTableField id="5" name="Age Bracket" tableColumnId="5"/>
      <queryTableField id="6" name="Region" tableColumnId="6"/>
      <queryTableField id="7" name="Occupation" tableColumnId="7"/>
      <queryTableField id="8" name="Income" tableColumnId="8"/>
      <queryTableField id="9" name="Income Segment" tableColumnId="9"/>
      <queryTableField id="10" name="Customer_Segment" tableColumnId="10"/>
      <queryTableField id="11" name="Join_Date" tableColumnId="11"/>
      <queryTableField id="12" name="Year" tableColumnId="12"/>
      <queryTableField id="13" name="Customer Duration"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607757A8-96B4-4B81-A39D-A81D1B35E491}" autoFormatId="16" applyNumberFormats="0" applyBorderFormats="0" applyFontFormats="0" applyPatternFormats="0" applyAlignmentFormats="0" applyWidthHeightFormats="0">
  <queryTableRefresh nextId="24">
    <queryTableFields count="21">
      <queryTableField id="1" name="CustomerID" tableColumnId="1"/>
      <queryTableField id="2" name="AccountID" tableColumnId="2"/>
      <queryTableField id="3" name="Name" tableColumnId="3"/>
      <queryTableField id="4" name="Gender" tableColumnId="4"/>
      <queryTableField id="5" name="Age" tableColumnId="5"/>
      <queryTableField id="6" name="Age Bracket" tableColumnId="6"/>
      <queryTableField id="7" name="Region" tableColumnId="7"/>
      <queryTableField id="8" name="Occupation" tableColumnId="8"/>
      <queryTableField id="9" name="Join Date" tableColumnId="9"/>
      <queryTableField id="10" name="Join Year" tableColumnId="10"/>
      <queryTableField id="11" name="Customer Duration" tableColumnId="11"/>
      <queryTableField id="12" name="Income" tableColumnId="12"/>
      <queryTableField id="16" name="Income Segment" tableColumnId="16"/>
      <queryTableField id="13" name="Customer Segment" tableColumnId="13"/>
      <queryTableField id="14" name="Account Type" tableColumnId="14"/>
      <queryTableField id="15" name="Open Date" tableColumnId="15"/>
      <queryTableField id="17" name="Balance" tableColumnId="17"/>
      <queryTableField id="18" name="Credit_Score" tableColumnId="18"/>
      <queryTableField id="22" dataBound="0" tableColumnId="21"/>
      <queryTableField id="19" name="Loan_Amount" tableColumnId="19"/>
      <queryTableField id="20" name="Loan_Status" tableColumnId="2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59FA29A3-8C63-46A0-8F4E-F0DA405F4E84}" autoFormatId="16" applyNumberFormats="0" applyBorderFormats="0" applyFontFormats="0" applyPatternFormats="0" applyAlignmentFormats="0" applyWidthHeightFormats="0">
  <queryTableRefresh nextId="9">
    <queryTableFields count="8">
      <queryTableField id="1" name="AccountID" tableColumnId="1"/>
      <queryTableField id="2" name="CustomerID" tableColumnId="2"/>
      <queryTableField id="3" name="Account_Type" tableColumnId="3"/>
      <queryTableField id="4" name="Open_Date" tableColumnId="4"/>
      <queryTableField id="5" name="Balance" tableColumnId="5"/>
      <queryTableField id="6" name="Credit_Score" tableColumnId="6"/>
      <queryTableField id="7" name="Loan_Amount" tableColumnId="7"/>
      <queryTableField id="8" name="Loan_Status"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BC52EA93-8DA1-47F5-98BC-E4B1C812CFAD}" sourceName="Age Bracket">
  <pivotTables>
    <pivotTable tabId="5" name="PivotTable31"/>
    <pivotTable tabId="5" name="PivotTable30"/>
    <pivotTable tabId="5" name="PivotTable32"/>
    <pivotTable tabId="5" name="PivotTable33"/>
    <pivotTable tabId="5" name="PivotTable34"/>
    <pivotTable tabId="5" name="PivotTable38"/>
    <pivotTable tabId="5" name="PivotTable40"/>
    <pivotTable tabId="5" name="PivotTable43"/>
    <pivotTable tabId="5" name="PivotTable44"/>
    <pivotTable tabId="5" name="PivotTable45"/>
    <pivotTable tabId="5" name="PivotTable46"/>
  </pivotTables>
  <data>
    <tabular pivotCacheId="1693266647">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A443C1-A176-4531-9644-585CF3182069}" sourceName="Region">
  <pivotTables>
    <pivotTable tabId="5" name="PivotTable31"/>
    <pivotTable tabId="5" name="PivotTable30"/>
    <pivotTable tabId="5" name="PivotTable32"/>
    <pivotTable tabId="5" name="PivotTable33"/>
    <pivotTable tabId="5" name="PivotTable34"/>
    <pivotTable tabId="5" name="PivotTable38"/>
    <pivotTable tabId="5" name="PivotTable40"/>
    <pivotTable tabId="5" name="PivotTable43"/>
    <pivotTable tabId="5" name="PivotTable44"/>
    <pivotTable tabId="5" name="PivotTable45"/>
    <pivotTable tabId="5" name="PivotTable46"/>
  </pivotTables>
  <data>
    <tabular pivotCacheId="169326664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 xr10:uid="{55BEBD60-FFB0-47E1-90DB-2D9CEBFDF013}" cache="Slicer_Age_Bracket" caption="Age Bracket" columnCount="4" showCaption="0" rowHeight="241300"/>
  <slicer name="Region" xr10:uid="{53D17F19-8F25-4665-ACCA-980223FF8AB4}" cache="Slicer_Region" caption="Region" columnCount="4" showCaption="0" style="SlicerStyleOther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8FC662-244D-4E81-B4EC-27EDE0367ED0}" name="Customer" displayName="Customer" ref="A1:M501" tableType="queryTable" totalsRowShown="0">
  <autoFilter ref="A1:M501" xr:uid="{308FC662-244D-4E81-B4EC-27EDE0367ED0}"/>
  <tableColumns count="13">
    <tableColumn id="1" xr3:uid="{FC19F730-46EE-4036-B016-D975000D965E}" uniqueName="1" name="CustomerID" queryTableFieldId="1" dataDxfId="47"/>
    <tableColumn id="2" xr3:uid="{20A0337D-5901-46FB-ADF6-5E9F148CC82E}" uniqueName="2" name="Name" queryTableFieldId="2" dataDxfId="46"/>
    <tableColumn id="3" xr3:uid="{CB55889B-B52A-44D9-BFAC-9341686A66E3}" uniqueName="3" name="Gender" queryTableFieldId="3" dataDxfId="45"/>
    <tableColumn id="4" xr3:uid="{1B0C1636-F551-40D9-AC1D-EA0468501881}" uniqueName="4" name="Age" queryTableFieldId="4"/>
    <tableColumn id="5" xr3:uid="{E2109B37-57A5-4BAB-A3CF-F05716ED8CA1}" uniqueName="5" name="Age Bracket" queryTableFieldId="5" dataDxfId="44"/>
    <tableColumn id="6" xr3:uid="{E6D02D5F-9D2C-4EDA-9712-7CD897426100}" uniqueName="6" name="Region" queryTableFieldId="6" dataDxfId="43"/>
    <tableColumn id="7" xr3:uid="{D065815B-5055-43C0-9D82-E1A9CBA98963}" uniqueName="7" name="Occupation" queryTableFieldId="7" dataDxfId="42"/>
    <tableColumn id="8" xr3:uid="{C012A8F6-2909-4396-A9B0-9A4C4E41568D}" uniqueName="8" name="Income" queryTableFieldId="8"/>
    <tableColumn id="9" xr3:uid="{D9152019-F71C-425D-A275-73473C6A7D2E}" uniqueName="9" name="Income Segment" queryTableFieldId="9" dataDxfId="41"/>
    <tableColumn id="10" xr3:uid="{E6A75ED1-4C53-4274-9389-4DA917A34F5A}" uniqueName="10" name="Customer_Segment" queryTableFieldId="10" dataDxfId="40"/>
    <tableColumn id="11" xr3:uid="{7E124CEB-B6E4-4126-A19B-A0A90C86EB0C}" uniqueName="11" name="Join_Date" queryTableFieldId="11" dataDxfId="39"/>
    <tableColumn id="12" xr3:uid="{A5653F8A-C292-4CEC-BB7F-AA398ACD6A29}" uniqueName="12" name="Year" queryTableFieldId="12"/>
    <tableColumn id="13" xr3:uid="{32F8A3C3-D8EB-4884-AD75-C47567734933}" uniqueName="13" name="Customer Duration" queryTableFieldId="13" dataDxfId="3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484FF1-868C-4AA7-8A60-F065F42025DE}" name="Linked" displayName="Linked" ref="A1:U801" tableType="queryTable" totalsRowShown="0">
  <autoFilter ref="A1:U801" xr:uid="{30484FF1-868C-4AA7-8A60-F065F42025DE}"/>
  <tableColumns count="21">
    <tableColumn id="1" xr3:uid="{7E872519-608B-4BE2-BE84-AD519F76B91D}" uniqueName="1" name="CustomerID" queryTableFieldId="1" dataDxfId="37"/>
    <tableColumn id="2" xr3:uid="{16C742D7-DE0B-4CEE-AAB6-B8D862F0BA12}" uniqueName="2" name="AccountID" queryTableFieldId="2" dataDxfId="36"/>
    <tableColumn id="3" xr3:uid="{7781A71A-D533-48DD-BFED-A3626FA57E51}" uniqueName="3" name="Name" queryTableFieldId="3" dataDxfId="35"/>
    <tableColumn id="4" xr3:uid="{CBED62D2-643F-4422-A600-385ACDD6C10A}" uniqueName="4" name="Gender" queryTableFieldId="4" dataDxfId="34"/>
    <tableColumn id="5" xr3:uid="{3E093846-6EA5-4E3D-B8D1-D8D6EC5E3B6B}" uniqueName="5" name="Age" queryTableFieldId="5"/>
    <tableColumn id="6" xr3:uid="{B54BA3CD-87C6-44B2-B73E-9D5DFAAB5D3F}" uniqueName="6" name="Age Bracket" queryTableFieldId="6" dataDxfId="33"/>
    <tableColumn id="7" xr3:uid="{64CF163E-B870-4F53-8E21-F50D4291FD22}" uniqueName="7" name="Region" queryTableFieldId="7" dataDxfId="32"/>
    <tableColumn id="8" xr3:uid="{41E0FF78-F9FE-4DB9-A48E-DA5C32A8BB99}" uniqueName="8" name="Occupation" queryTableFieldId="8" dataDxfId="31"/>
    <tableColumn id="9" xr3:uid="{0E99D7F0-1FF6-4F58-83E8-8AEAEB6BDED7}" uniqueName="9" name="Join Date" queryTableFieldId="9" dataDxfId="30"/>
    <tableColumn id="10" xr3:uid="{D4FCE993-1D36-4E0F-BB8F-F597776EF573}" uniqueName="10" name="Join Year" queryTableFieldId="10"/>
    <tableColumn id="11" xr3:uid="{B59D261A-E5BC-431B-8266-6AE8206EA60E}" uniqueName="11" name="Customer Duration" queryTableFieldId="11" dataDxfId="29"/>
    <tableColumn id="12" xr3:uid="{155913E5-CD2C-42EA-B923-8930BF2AF678}" uniqueName="12" name="Income" queryTableFieldId="12" dataDxfId="28"/>
    <tableColumn id="16" xr3:uid="{85D5E61C-6785-435D-A838-AC85486D52FD}" uniqueName="16" name="Income Segment" queryTableFieldId="16" dataDxfId="27"/>
    <tableColumn id="13" xr3:uid="{8F25F231-B861-4CC5-B9BE-2D5064BACC12}" uniqueName="13" name="Customer Segment" queryTableFieldId="13" dataDxfId="26"/>
    <tableColumn id="14" xr3:uid="{AF93DC17-08D8-4D39-ABE5-24E69ED3172C}" uniqueName="14" name="Account Type" queryTableFieldId="14" dataDxfId="25"/>
    <tableColumn id="15" xr3:uid="{CB8452C9-E788-4BD8-9140-1E81AEAC4436}" uniqueName="15" name="Open Date" queryTableFieldId="15" dataDxfId="24"/>
    <tableColumn id="17" xr3:uid="{FD9F4A62-6604-4FEA-A640-C2B9CF3EFDFF}" uniqueName="17" name="Balance" queryTableFieldId="17" dataDxfId="23"/>
    <tableColumn id="18" xr3:uid="{5CA46DFD-BB4A-4F1F-A622-A7919F797E0B}" uniqueName="18" name="Credit Score" queryTableFieldId="18"/>
    <tableColumn id="21" xr3:uid="{8757E82F-D5F5-43DF-B711-1F6202354597}" uniqueName="21" name="Credit Score Bracket" queryTableFieldId="22" dataDxfId="22">
      <calculatedColumnFormula>IF(Linked[[#This Row],[Credit Score]]&lt;=579,"Poor",IF(Linked[[#This Row],[Credit Score]]&lt;=669,"Fair",IF(Linked[[#This Row],[Credit Score]]&lt;=739,"Good",IF(Linked[[#This Row],[Credit Score]]&lt;=799,"Very Good",IF(Linked[[#This Row],[Credit Score]]&gt;=800,"Excellent")))))</calculatedColumnFormula>
    </tableColumn>
    <tableColumn id="19" xr3:uid="{39A96D73-BFF1-4677-ABE6-20C70EA14D88}" uniqueName="19" name="Loan Amount" queryTableFieldId="19" dataDxfId="21"/>
    <tableColumn id="20" xr3:uid="{BAA59313-E798-48E9-A366-44F4D211AFFD}" uniqueName="20" name="Loan Status" queryTableFieldId="20"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6F94CA-78FA-48B3-B619-6BD9FD5A4F6B}" name="Accounts" displayName="Accounts" ref="A1:H801" tableType="queryTable" totalsRowShown="0">
  <autoFilter ref="A1:H801" xr:uid="{846F94CA-78FA-48B3-B619-6BD9FD5A4F6B}"/>
  <tableColumns count="8">
    <tableColumn id="1" xr3:uid="{0721FE48-2574-4B64-B236-44DFE6A92D6D}" uniqueName="1" name="AccountID" queryTableFieldId="1" dataDxfId="5"/>
    <tableColumn id="2" xr3:uid="{051C8CFB-BA17-4DB1-9391-7CDE846701C2}" uniqueName="2" name="CustomerID" queryTableFieldId="2" dataDxfId="4"/>
    <tableColumn id="3" xr3:uid="{63566D98-CBB1-4DAF-BDB9-985A0005ADC0}" uniqueName="3" name="Account_Type" queryTableFieldId="3" dataDxfId="3"/>
    <tableColumn id="4" xr3:uid="{C20E76D0-21CA-4A45-84E8-3DD85184B7CB}" uniqueName="4" name="Open_Date" queryTableFieldId="4" dataDxfId="2"/>
    <tableColumn id="5" xr3:uid="{3AD1D515-C8C4-45F1-AE69-10565C7E2106}" uniqueName="5" name="Balance" queryTableFieldId="5"/>
    <tableColumn id="6" xr3:uid="{E090E39C-E64A-443C-ACDE-A590472D1CDB}" uniqueName="6" name="Credit_Score" queryTableFieldId="6"/>
    <tableColumn id="7" xr3:uid="{79FD741F-9CB5-4237-B209-DA9A0E66CF62}" uniqueName="7" name="Loan_Amount" queryTableFieldId="7"/>
    <tableColumn id="8" xr3:uid="{819269C6-0B59-4F82-8C87-18FC4696359E}" uniqueName="8" name="Loan_Status" queryTableFieldId="8" dataDxfId="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413DD6-D6B6-44EC-964A-C43361127C69}" name="Table1" displayName="Table1" ref="A1:H801" totalsRowShown="0">
  <autoFilter ref="A1:H801" xr:uid="{06413DD6-D6B6-44EC-964A-C43361127C69}"/>
  <tableColumns count="8">
    <tableColumn id="1" xr3:uid="{E980A176-32D1-4927-A3DD-50173969E2A5}" name="AccountID"/>
    <tableColumn id="2" xr3:uid="{BF1D6247-3E76-4B35-AEF2-C3B90CE3E6CF}" name="CustomerID"/>
    <tableColumn id="3" xr3:uid="{B402A701-C579-4080-B0C3-C3F2052CF9E4}" name="Account_Type"/>
    <tableColumn id="4" xr3:uid="{FB238C09-6634-4603-9091-A4B9758AF138}" name="Open_Date" dataDxfId="0"/>
    <tableColumn id="5" xr3:uid="{BA17C127-D3C0-46BC-919C-B2870F7ADB06}" name="Balance"/>
    <tableColumn id="6" xr3:uid="{B59E6359-07F3-4C28-80D0-A276D217BC05}" name="Credit_Score"/>
    <tableColumn id="7" xr3:uid="{4C256807-2383-4247-BD85-9304A3FE6B71}" name="Loan_Amount"/>
    <tableColumn id="8" xr3:uid="{50F87A41-A246-4AEC-9A30-AFD178E8BF79}" name="Loan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5A0B5-CBD9-48FA-A31C-7308C0048733}">
  <dimension ref="A1:V501"/>
  <sheetViews>
    <sheetView topLeftCell="K1" workbookViewId="0">
      <selection activeCell="S15" sqref="S15"/>
    </sheetView>
  </sheetViews>
  <sheetFormatPr defaultRowHeight="15" x14ac:dyDescent="0.25"/>
  <cols>
    <col min="1" max="1" width="13.7109375" bestFit="1" customWidth="1"/>
    <col min="2" max="2" width="27.28515625" bestFit="1" customWidth="1"/>
    <col min="3" max="3" width="10" bestFit="1" customWidth="1"/>
    <col min="4" max="4" width="6.7109375" bestFit="1" customWidth="1"/>
    <col min="5" max="5" width="13.7109375" bestFit="1" customWidth="1"/>
    <col min="6" max="6" width="9.42578125" bestFit="1" customWidth="1"/>
    <col min="7" max="7" width="13.28515625" bestFit="1" customWidth="1"/>
    <col min="8" max="8" width="9.85546875" bestFit="1" customWidth="1"/>
    <col min="9" max="9" width="18.28515625" bestFit="1" customWidth="1"/>
    <col min="10" max="10" width="21" bestFit="1" customWidth="1"/>
    <col min="11" max="11" width="12" bestFit="1" customWidth="1"/>
    <col min="12" max="12" width="7.28515625" bestFit="1" customWidth="1"/>
    <col min="13" max="13" width="20.28515625" bestFit="1" customWidth="1"/>
    <col min="18" max="18" width="40" bestFit="1" customWidth="1"/>
    <col min="19" max="19" width="12.140625" bestFit="1" customWidth="1"/>
  </cols>
  <sheetData>
    <row r="1" spans="1:22" x14ac:dyDescent="0.25">
      <c r="A1" t="s">
        <v>1</v>
      </c>
      <c r="B1" t="s">
        <v>1206</v>
      </c>
      <c r="C1" t="s">
        <v>1207</v>
      </c>
      <c r="D1" t="s">
        <v>1208</v>
      </c>
      <c r="E1" t="s">
        <v>1209</v>
      </c>
      <c r="F1" t="s">
        <v>1210</v>
      </c>
      <c r="G1" t="s">
        <v>1211</v>
      </c>
      <c r="H1" t="s">
        <v>1212</v>
      </c>
      <c r="I1" t="s">
        <v>1213</v>
      </c>
      <c r="J1" t="s">
        <v>1214</v>
      </c>
      <c r="K1" t="s">
        <v>1215</v>
      </c>
      <c r="L1" t="s">
        <v>1216</v>
      </c>
      <c r="M1" t="s">
        <v>1217</v>
      </c>
    </row>
    <row r="2" spans="1:22" x14ac:dyDescent="0.25">
      <c r="A2" s="2" t="s">
        <v>773</v>
      </c>
      <c r="B2" s="2" t="s">
        <v>1218</v>
      </c>
      <c r="C2" s="2" t="s">
        <v>1219</v>
      </c>
      <c r="D2">
        <v>38</v>
      </c>
      <c r="E2" s="2" t="s">
        <v>1220</v>
      </c>
      <c r="F2" s="2" t="s">
        <v>1221</v>
      </c>
      <c r="G2" s="2" t="s">
        <v>1222</v>
      </c>
      <c r="H2">
        <v>191672</v>
      </c>
      <c r="I2" s="2" t="s">
        <v>1223</v>
      </c>
      <c r="J2" s="2" t="s">
        <v>1224</v>
      </c>
      <c r="K2" s="1">
        <v>45041</v>
      </c>
      <c r="L2">
        <v>2023</v>
      </c>
      <c r="M2" s="2" t="s">
        <v>1225</v>
      </c>
    </row>
    <row r="3" spans="1:22" x14ac:dyDescent="0.25">
      <c r="A3" s="2" t="s">
        <v>410</v>
      </c>
      <c r="B3" s="2" t="s">
        <v>1226</v>
      </c>
      <c r="C3" s="2" t="s">
        <v>1227</v>
      </c>
      <c r="D3">
        <v>49</v>
      </c>
      <c r="E3" s="2" t="s">
        <v>1228</v>
      </c>
      <c r="F3" s="2" t="s">
        <v>1229</v>
      </c>
      <c r="G3" s="2" t="s">
        <v>1230</v>
      </c>
      <c r="H3">
        <v>186472</v>
      </c>
      <c r="I3" s="2" t="s">
        <v>1223</v>
      </c>
      <c r="J3" s="2" t="s">
        <v>1231</v>
      </c>
      <c r="K3" s="1">
        <v>44331</v>
      </c>
      <c r="L3">
        <v>2021</v>
      </c>
      <c r="M3" s="2" t="s">
        <v>1232</v>
      </c>
    </row>
    <row r="4" spans="1:22" x14ac:dyDescent="0.25">
      <c r="A4" s="2" t="s">
        <v>1233</v>
      </c>
      <c r="B4" s="2" t="s">
        <v>1234</v>
      </c>
      <c r="C4" s="2" t="s">
        <v>1219</v>
      </c>
      <c r="D4">
        <v>40</v>
      </c>
      <c r="E4" s="2" t="s">
        <v>1220</v>
      </c>
      <c r="F4" s="2" t="s">
        <v>1221</v>
      </c>
      <c r="G4" s="2" t="s">
        <v>1235</v>
      </c>
      <c r="H4">
        <v>155566</v>
      </c>
      <c r="I4" s="2" t="s">
        <v>1223</v>
      </c>
      <c r="J4" s="2" t="s">
        <v>1236</v>
      </c>
      <c r="K4" s="1">
        <v>43438</v>
      </c>
      <c r="L4">
        <v>2018</v>
      </c>
      <c r="M4" s="2" t="s">
        <v>1237</v>
      </c>
    </row>
    <row r="5" spans="1:22" x14ac:dyDescent="0.25">
      <c r="A5" s="2" t="s">
        <v>784</v>
      </c>
      <c r="B5" s="2" t="s">
        <v>1238</v>
      </c>
      <c r="C5" s="2" t="s">
        <v>1219</v>
      </c>
      <c r="D5">
        <v>50</v>
      </c>
      <c r="E5" s="2" t="s">
        <v>1228</v>
      </c>
      <c r="F5" s="2" t="s">
        <v>1221</v>
      </c>
      <c r="G5" s="2" t="s">
        <v>1239</v>
      </c>
      <c r="H5">
        <v>142744</v>
      </c>
      <c r="I5" s="2" t="s">
        <v>1223</v>
      </c>
      <c r="J5" s="2" t="s">
        <v>1224</v>
      </c>
      <c r="K5" s="1">
        <v>44494</v>
      </c>
      <c r="L5">
        <v>2021</v>
      </c>
      <c r="M5" s="2" t="s">
        <v>1240</v>
      </c>
    </row>
    <row r="6" spans="1:22" x14ac:dyDescent="0.25">
      <c r="A6" s="2" t="s">
        <v>408</v>
      </c>
      <c r="B6" s="2" t="s">
        <v>1241</v>
      </c>
      <c r="C6" s="2" t="s">
        <v>1219</v>
      </c>
      <c r="D6">
        <v>20</v>
      </c>
      <c r="E6" s="2" t="s">
        <v>1242</v>
      </c>
      <c r="F6" s="2" t="s">
        <v>1243</v>
      </c>
      <c r="G6" s="2" t="s">
        <v>1244</v>
      </c>
      <c r="H6">
        <v>109431</v>
      </c>
      <c r="I6" s="2" t="s">
        <v>1245</v>
      </c>
      <c r="J6" s="2" t="s">
        <v>1231</v>
      </c>
      <c r="K6" s="1">
        <v>43309</v>
      </c>
      <c r="L6">
        <v>2018</v>
      </c>
      <c r="M6" s="2" t="s">
        <v>1246</v>
      </c>
      <c r="S6" t="s">
        <v>10</v>
      </c>
      <c r="T6" t="s">
        <v>13</v>
      </c>
      <c r="U6" t="s">
        <v>32</v>
      </c>
      <c r="V6" t="s">
        <v>2317</v>
      </c>
    </row>
    <row r="7" spans="1:22" x14ac:dyDescent="0.25">
      <c r="A7" s="2" t="s">
        <v>1247</v>
      </c>
      <c r="B7" s="2" t="s">
        <v>1248</v>
      </c>
      <c r="C7" s="2" t="s">
        <v>1227</v>
      </c>
      <c r="D7">
        <v>35</v>
      </c>
      <c r="E7" s="2" t="s">
        <v>1220</v>
      </c>
      <c r="F7" s="2" t="s">
        <v>1249</v>
      </c>
      <c r="G7" s="2" t="s">
        <v>1235</v>
      </c>
      <c r="H7">
        <v>63001</v>
      </c>
      <c r="I7" s="2" t="s">
        <v>1250</v>
      </c>
      <c r="J7" s="2" t="s">
        <v>1224</v>
      </c>
      <c r="K7" s="1">
        <v>42520</v>
      </c>
      <c r="L7">
        <v>2016</v>
      </c>
      <c r="M7" s="2" t="s">
        <v>1251</v>
      </c>
      <c r="R7" t="s">
        <v>2316</v>
      </c>
      <c r="S7">
        <f>COUNTIF(Linked[Account Type],"Checking")</f>
        <v>246</v>
      </c>
      <c r="T7">
        <f>COUNTIF(Linked[Account Type],"Savings")</f>
        <v>303</v>
      </c>
      <c r="U7">
        <f>COUNTIF(Linked[Account Type],"Loan")</f>
        <v>82</v>
      </c>
      <c r="V7">
        <f>COUNTIF(Linked[Account Type],"CreditCard")</f>
        <v>169</v>
      </c>
    </row>
    <row r="8" spans="1:22" x14ac:dyDescent="0.25">
      <c r="A8" s="2" t="s">
        <v>294</v>
      </c>
      <c r="B8" s="2" t="s">
        <v>1252</v>
      </c>
      <c r="C8" s="2" t="s">
        <v>1219</v>
      </c>
      <c r="D8">
        <v>42</v>
      </c>
      <c r="E8" s="2" t="s">
        <v>1220</v>
      </c>
      <c r="F8" s="2" t="s">
        <v>1221</v>
      </c>
      <c r="G8" s="2" t="s">
        <v>1253</v>
      </c>
      <c r="H8">
        <v>87364</v>
      </c>
      <c r="I8" s="2" t="s">
        <v>1245</v>
      </c>
      <c r="J8" s="2" t="s">
        <v>1231</v>
      </c>
      <c r="K8" s="1">
        <v>43026</v>
      </c>
      <c r="L8">
        <v>2017</v>
      </c>
      <c r="M8" s="2" t="s">
        <v>1254</v>
      </c>
      <c r="R8" t="s">
        <v>2356</v>
      </c>
    </row>
    <row r="9" spans="1:22" x14ac:dyDescent="0.25">
      <c r="A9" s="2" t="s">
        <v>542</v>
      </c>
      <c r="B9" s="2" t="s">
        <v>1255</v>
      </c>
      <c r="C9" s="2" t="s">
        <v>1219</v>
      </c>
      <c r="D9">
        <v>59</v>
      </c>
      <c r="E9" s="2" t="s">
        <v>1228</v>
      </c>
      <c r="F9" s="2" t="s">
        <v>1221</v>
      </c>
      <c r="G9" s="2" t="s">
        <v>1253</v>
      </c>
      <c r="H9">
        <v>144988</v>
      </c>
      <c r="I9" s="2" t="s">
        <v>1223</v>
      </c>
      <c r="J9" s="2" t="s">
        <v>1224</v>
      </c>
      <c r="K9" s="1">
        <v>45448</v>
      </c>
      <c r="L9">
        <v>2024</v>
      </c>
      <c r="M9" s="2" t="s">
        <v>1256</v>
      </c>
      <c r="R9" t="s">
        <v>2318</v>
      </c>
      <c r="S9" s="4">
        <f>SUMIF(Linked[Loan Status],"Approved",Linked[Loan Amount])</f>
        <v>3677399</v>
      </c>
    </row>
    <row r="10" spans="1:22" x14ac:dyDescent="0.25">
      <c r="A10" s="2" t="s">
        <v>1257</v>
      </c>
      <c r="B10" s="2" t="s">
        <v>1258</v>
      </c>
      <c r="C10" s="2" t="s">
        <v>1219</v>
      </c>
      <c r="D10">
        <v>48</v>
      </c>
      <c r="E10" s="2" t="s">
        <v>1228</v>
      </c>
      <c r="F10" s="2" t="s">
        <v>1243</v>
      </c>
      <c r="G10" s="2" t="s">
        <v>1259</v>
      </c>
      <c r="H10">
        <v>65028</v>
      </c>
      <c r="I10" s="2" t="s">
        <v>1250</v>
      </c>
      <c r="J10" s="2" t="s">
        <v>1231</v>
      </c>
      <c r="K10" s="1">
        <v>43507</v>
      </c>
      <c r="L10">
        <v>2019</v>
      </c>
      <c r="M10" s="2" t="s">
        <v>1260</v>
      </c>
      <c r="S10" t="s">
        <v>1224</v>
      </c>
      <c r="T10" t="s">
        <v>1236</v>
      </c>
      <c r="U10" t="s">
        <v>1231</v>
      </c>
    </row>
    <row r="11" spans="1:22" x14ac:dyDescent="0.25">
      <c r="A11" s="2" t="s">
        <v>1261</v>
      </c>
      <c r="B11" s="2" t="s">
        <v>1262</v>
      </c>
      <c r="C11" s="2" t="s">
        <v>1227</v>
      </c>
      <c r="D11">
        <v>71</v>
      </c>
      <c r="E11" s="2" t="s">
        <v>1263</v>
      </c>
      <c r="F11" s="2" t="s">
        <v>1243</v>
      </c>
      <c r="G11" s="2" t="s">
        <v>1230</v>
      </c>
      <c r="H11">
        <v>188645</v>
      </c>
      <c r="I11" s="2" t="s">
        <v>1223</v>
      </c>
      <c r="J11" s="2" t="s">
        <v>1231</v>
      </c>
      <c r="K11" s="1">
        <v>42405</v>
      </c>
      <c r="L11">
        <v>2016</v>
      </c>
      <c r="M11" s="2" t="s">
        <v>1264</v>
      </c>
      <c r="R11" t="s">
        <v>2319</v>
      </c>
      <c r="S11" s="4">
        <f>AVERAGEIF(Linked[Customer Segment],"Retail",Linked[Balance])</f>
        <v>267102.03171247354</v>
      </c>
      <c r="T11" s="4">
        <f>AVERAGEIF(Linked[Customer Segment],"Private",Linked[Balance])</f>
        <v>275113.66216216219</v>
      </c>
      <c r="U11" s="4">
        <f>AVERAGEIF(Linked[Customer Segment],"Corporate",Linked[Balance])</f>
        <v>259460.32411067194</v>
      </c>
    </row>
    <row r="12" spans="1:22" x14ac:dyDescent="0.25">
      <c r="A12" s="2" t="s">
        <v>1265</v>
      </c>
      <c r="B12" s="2" t="s">
        <v>1266</v>
      </c>
      <c r="C12" s="2" t="s">
        <v>1219</v>
      </c>
      <c r="D12">
        <v>20</v>
      </c>
      <c r="E12" s="2" t="s">
        <v>1242</v>
      </c>
      <c r="F12" s="2" t="s">
        <v>1249</v>
      </c>
      <c r="G12" s="2" t="s">
        <v>1222</v>
      </c>
      <c r="H12">
        <v>151878</v>
      </c>
      <c r="I12" s="2" t="s">
        <v>1223</v>
      </c>
      <c r="J12" s="2" t="s">
        <v>1236</v>
      </c>
      <c r="K12" s="1">
        <v>42781</v>
      </c>
      <c r="L12">
        <v>2017</v>
      </c>
      <c r="M12" s="2" t="s">
        <v>1267</v>
      </c>
      <c r="R12" t="s">
        <v>2320</v>
      </c>
      <c r="S12" s="4">
        <f>AVERAGE(Linked[Balance])</f>
        <v>265426.41749999998</v>
      </c>
    </row>
    <row r="13" spans="1:22" x14ac:dyDescent="0.25">
      <c r="A13" s="2" t="s">
        <v>614</v>
      </c>
      <c r="B13" s="2" t="s">
        <v>1268</v>
      </c>
      <c r="C13" s="2" t="s">
        <v>1219</v>
      </c>
      <c r="D13">
        <v>57</v>
      </c>
      <c r="E13" s="2" t="s">
        <v>1228</v>
      </c>
      <c r="F13" s="2" t="s">
        <v>1243</v>
      </c>
      <c r="G13" s="2" t="s">
        <v>1230</v>
      </c>
      <c r="H13">
        <v>144343</v>
      </c>
      <c r="I13" s="2" t="s">
        <v>1223</v>
      </c>
      <c r="J13" s="2" t="s">
        <v>1231</v>
      </c>
      <c r="K13" s="1">
        <v>45280</v>
      </c>
      <c r="L13">
        <v>2023</v>
      </c>
      <c r="M13" s="2" t="s">
        <v>1269</v>
      </c>
      <c r="R13" t="s">
        <v>2321</v>
      </c>
      <c r="S13" s="4">
        <f>SUM(Linked[Loan Amount])</f>
        <v>43730664</v>
      </c>
    </row>
    <row r="14" spans="1:22" x14ac:dyDescent="0.25">
      <c r="A14" s="2" t="s">
        <v>1270</v>
      </c>
      <c r="B14" s="2" t="s">
        <v>1271</v>
      </c>
      <c r="C14" s="2" t="s">
        <v>1219</v>
      </c>
      <c r="D14">
        <v>63</v>
      </c>
      <c r="E14" s="2" t="s">
        <v>1263</v>
      </c>
      <c r="F14" s="2" t="s">
        <v>1229</v>
      </c>
      <c r="G14" s="2" t="s">
        <v>1230</v>
      </c>
      <c r="H14">
        <v>148301</v>
      </c>
      <c r="I14" s="2" t="s">
        <v>1223</v>
      </c>
      <c r="J14" s="2" t="s">
        <v>1224</v>
      </c>
      <c r="K14" s="1">
        <v>45018</v>
      </c>
      <c r="L14">
        <v>2023</v>
      </c>
      <c r="M14" s="2" t="s">
        <v>1272</v>
      </c>
      <c r="R14" t="s">
        <v>2322</v>
      </c>
      <c r="S14" s="4">
        <f>SUMIF(Linked[Account Type],"Checking",Linked[Balance])+SUMIF(Linked[Account Type],"Savings",Linked[Balance])</f>
        <v>145013181</v>
      </c>
    </row>
    <row r="15" spans="1:22" x14ac:dyDescent="0.25">
      <c r="A15" s="2" t="s">
        <v>1273</v>
      </c>
      <c r="B15" s="2" t="s">
        <v>1274</v>
      </c>
      <c r="C15" s="2" t="s">
        <v>1219</v>
      </c>
      <c r="D15">
        <v>41</v>
      </c>
      <c r="E15" s="2" t="s">
        <v>1220</v>
      </c>
      <c r="F15" s="2" t="s">
        <v>1243</v>
      </c>
      <c r="G15" s="2" t="s">
        <v>1230</v>
      </c>
      <c r="H15">
        <v>146295</v>
      </c>
      <c r="I15" s="2" t="s">
        <v>1223</v>
      </c>
      <c r="J15" s="2" t="s">
        <v>1231</v>
      </c>
      <c r="K15" s="1">
        <v>42960</v>
      </c>
      <c r="L15">
        <v>2017</v>
      </c>
      <c r="M15" s="2" t="s">
        <v>1275</v>
      </c>
      <c r="R15" t="s">
        <v>2323</v>
      </c>
      <c r="S15" s="5">
        <f>AVERAGE(Linked[Credit Score])</f>
        <v>579.52625</v>
      </c>
      <c r="T15" t="str">
        <f>IF(S15&lt;=579,"Poor",IF(S15&lt;=669,"Fair",IF(S15&lt;=739,"Good",IF(S15&lt;=799,"Very Good",IF(S15&gt;=800,"Excellent")))))</f>
        <v>Fair</v>
      </c>
    </row>
    <row r="16" spans="1:22" x14ac:dyDescent="0.25">
      <c r="A16" s="2" t="s">
        <v>990</v>
      </c>
      <c r="B16" s="2" t="s">
        <v>1276</v>
      </c>
      <c r="C16" s="2" t="s">
        <v>1227</v>
      </c>
      <c r="D16">
        <v>67</v>
      </c>
      <c r="E16" s="2" t="s">
        <v>1263</v>
      </c>
      <c r="F16" s="2" t="s">
        <v>1229</v>
      </c>
      <c r="G16" s="2" t="s">
        <v>1230</v>
      </c>
      <c r="H16">
        <v>180829</v>
      </c>
      <c r="I16" s="2" t="s">
        <v>1223</v>
      </c>
      <c r="J16" s="2" t="s">
        <v>1231</v>
      </c>
      <c r="K16" s="1">
        <v>43673</v>
      </c>
      <c r="L16">
        <v>2019</v>
      </c>
      <c r="M16" s="2" t="s">
        <v>1277</v>
      </c>
      <c r="R16" t="s">
        <v>2359</v>
      </c>
    </row>
    <row r="17" spans="1:20" x14ac:dyDescent="0.25">
      <c r="A17" s="2" t="s">
        <v>621</v>
      </c>
      <c r="B17" s="2" t="s">
        <v>1278</v>
      </c>
      <c r="C17" s="2" t="s">
        <v>1219</v>
      </c>
      <c r="D17">
        <v>49</v>
      </c>
      <c r="E17" s="2" t="s">
        <v>1228</v>
      </c>
      <c r="F17" s="2" t="s">
        <v>1249</v>
      </c>
      <c r="G17" s="2" t="s">
        <v>1239</v>
      </c>
      <c r="H17">
        <v>54636</v>
      </c>
      <c r="I17" s="2" t="s">
        <v>1250</v>
      </c>
      <c r="J17" s="2" t="s">
        <v>1224</v>
      </c>
      <c r="K17" s="1">
        <v>43643</v>
      </c>
      <c r="L17">
        <v>2019</v>
      </c>
      <c r="M17" s="2" t="s">
        <v>1279</v>
      </c>
      <c r="R17" t="s">
        <v>2343</v>
      </c>
      <c r="S17" s="5">
        <f>AVERAGEIF(Linked[Account Type],"Checking",Linked[Credit Score])</f>
        <v>578.67073170731703</v>
      </c>
      <c r="T17" t="str">
        <f>IF(S17&lt;=579,"Poor",IF(S17&lt;=669,"Fair",IF(S17&lt;=739,"Good",IF(S17&lt;=799,"Very Good",IF(S17&gt;=800,"Excellent")))))</f>
        <v>Poor</v>
      </c>
    </row>
    <row r="18" spans="1:20" x14ac:dyDescent="0.25">
      <c r="A18" s="2" t="s">
        <v>393</v>
      </c>
      <c r="B18" s="2" t="s">
        <v>1280</v>
      </c>
      <c r="C18" s="2" t="s">
        <v>1227</v>
      </c>
      <c r="D18">
        <v>64</v>
      </c>
      <c r="E18" s="2" t="s">
        <v>1263</v>
      </c>
      <c r="F18" s="2" t="s">
        <v>1249</v>
      </c>
      <c r="G18" s="2" t="s">
        <v>1239</v>
      </c>
      <c r="H18">
        <v>199352</v>
      </c>
      <c r="I18" s="2" t="s">
        <v>1223</v>
      </c>
      <c r="J18" s="2" t="s">
        <v>1224</v>
      </c>
      <c r="K18" s="1">
        <v>44375</v>
      </c>
      <c r="L18">
        <v>2021</v>
      </c>
      <c r="M18" s="2" t="s">
        <v>1281</v>
      </c>
      <c r="R18" t="s">
        <v>2344</v>
      </c>
      <c r="S18" s="5">
        <f>AVERAGEIF(Linked[Account Type],"Savings",Linked[Credit Score])</f>
        <v>586.986798679868</v>
      </c>
      <c r="T18" t="str">
        <f>IF(S18&lt;=579,"Poor",IF(S18&lt;=669,"Fair",IF(S18&lt;=739,"Good",IF(S18&lt;=799,"Very Good",IF(S18&gt;=800,"Excellent")))))</f>
        <v>Fair</v>
      </c>
    </row>
    <row r="19" spans="1:20" x14ac:dyDescent="0.25">
      <c r="A19" s="2" t="s">
        <v>1282</v>
      </c>
      <c r="B19" s="2" t="s">
        <v>1283</v>
      </c>
      <c r="C19" s="2" t="s">
        <v>1227</v>
      </c>
      <c r="D19">
        <v>39</v>
      </c>
      <c r="E19" s="2" t="s">
        <v>1220</v>
      </c>
      <c r="F19" s="2" t="s">
        <v>1249</v>
      </c>
      <c r="G19" s="2" t="s">
        <v>1259</v>
      </c>
      <c r="H19">
        <v>44262</v>
      </c>
      <c r="I19" s="2" t="s">
        <v>1250</v>
      </c>
      <c r="J19" s="2" t="s">
        <v>1236</v>
      </c>
      <c r="K19" s="1">
        <v>45728</v>
      </c>
      <c r="L19">
        <v>2025</v>
      </c>
      <c r="M19" s="2" t="s">
        <v>1284</v>
      </c>
      <c r="R19" t="s">
        <v>2345</v>
      </c>
      <c r="S19">
        <f>AVERAGEIF(Linked[Account Type],"Loan",Linked[Credit Score])</f>
        <v>564</v>
      </c>
      <c r="T19" t="str">
        <f>IF(S19&lt;=579,"Poor",IF(S19&lt;=669,"Fair",IF(S19&lt;=739,"Good",IF(S19&lt;=799,"Very Good",IF(S19&gt;=800,"Excellent")))))</f>
        <v>Poor</v>
      </c>
    </row>
    <row r="20" spans="1:20" x14ac:dyDescent="0.25">
      <c r="A20" s="2" t="s">
        <v>45</v>
      </c>
      <c r="B20" s="2" t="s">
        <v>1285</v>
      </c>
      <c r="C20" s="2" t="s">
        <v>1227</v>
      </c>
      <c r="D20">
        <v>40</v>
      </c>
      <c r="E20" s="2" t="s">
        <v>1220</v>
      </c>
      <c r="F20" s="2" t="s">
        <v>1249</v>
      </c>
      <c r="G20" s="2" t="s">
        <v>1235</v>
      </c>
      <c r="H20">
        <v>100435</v>
      </c>
      <c r="I20" s="2" t="s">
        <v>1245</v>
      </c>
      <c r="J20" s="2" t="s">
        <v>1231</v>
      </c>
      <c r="K20" s="1">
        <v>44456</v>
      </c>
      <c r="L20">
        <v>2021</v>
      </c>
      <c r="M20" s="2" t="s">
        <v>1286</v>
      </c>
      <c r="R20" t="s">
        <v>2346</v>
      </c>
      <c r="S20" s="5">
        <f>AVERAGEIF(Linked[Account Type],"CreditCard",Linked[Credit Score])</f>
        <v>574.92899408284029</v>
      </c>
      <c r="T20" t="str">
        <f>IF(S20&lt;=579,"Poor",IF(S20&lt;=669,"Fair",IF(S20&lt;=739,"Good",IF(S20&lt;=799,"Very Good",IF(S20&gt;=800,"Excellent")))))</f>
        <v>Poor</v>
      </c>
    </row>
    <row r="21" spans="1:20" x14ac:dyDescent="0.25">
      <c r="A21" s="2" t="s">
        <v>460</v>
      </c>
      <c r="B21" s="2" t="s">
        <v>1287</v>
      </c>
      <c r="C21" s="2" t="s">
        <v>1219</v>
      </c>
      <c r="D21">
        <v>19</v>
      </c>
      <c r="E21" s="2" t="s">
        <v>1242</v>
      </c>
      <c r="F21" s="2" t="s">
        <v>1249</v>
      </c>
      <c r="G21" s="2" t="s">
        <v>1253</v>
      </c>
      <c r="H21">
        <v>148583</v>
      </c>
      <c r="I21" s="2" t="s">
        <v>1223</v>
      </c>
      <c r="J21" s="2" t="s">
        <v>1231</v>
      </c>
      <c r="K21" s="1">
        <v>45058</v>
      </c>
      <c r="L21">
        <v>2023</v>
      </c>
      <c r="M21" s="2" t="s">
        <v>1288</v>
      </c>
      <c r="R21" t="s">
        <v>2354</v>
      </c>
      <c r="S21" s="6">
        <f>GETPIVOTDATA("Credit Score",'Pivot Table'!$H$22,"Loan Status","Approved")</f>
        <v>580.50877192982455</v>
      </c>
    </row>
    <row r="22" spans="1:20" x14ac:dyDescent="0.25">
      <c r="A22" s="2" t="s">
        <v>285</v>
      </c>
      <c r="B22" s="2" t="s">
        <v>1289</v>
      </c>
      <c r="C22" s="2" t="s">
        <v>1227</v>
      </c>
      <c r="D22">
        <v>44</v>
      </c>
      <c r="E22" s="2" t="s">
        <v>1220</v>
      </c>
      <c r="F22" s="2" t="s">
        <v>1229</v>
      </c>
      <c r="G22" s="2" t="s">
        <v>1230</v>
      </c>
      <c r="H22">
        <v>189269</v>
      </c>
      <c r="I22" s="2" t="s">
        <v>1223</v>
      </c>
      <c r="J22" s="2" t="s">
        <v>1224</v>
      </c>
      <c r="K22" s="1">
        <v>45414</v>
      </c>
      <c r="L22">
        <v>2024</v>
      </c>
      <c r="M22" s="2" t="s">
        <v>1290</v>
      </c>
      <c r="R22" t="s">
        <v>2355</v>
      </c>
      <c r="S22" s="6">
        <f>GETPIVOTDATA("Credit Score",'Pivot Table'!$H$22,"Loan Status","Rejected")</f>
        <v>591.8115942028985</v>
      </c>
    </row>
    <row r="23" spans="1:20" x14ac:dyDescent="0.25">
      <c r="A23" s="2" t="s">
        <v>412</v>
      </c>
      <c r="B23" s="2" t="s">
        <v>1291</v>
      </c>
      <c r="C23" s="2" t="s">
        <v>1219</v>
      </c>
      <c r="D23">
        <v>59</v>
      </c>
      <c r="E23" s="2" t="s">
        <v>1228</v>
      </c>
      <c r="F23" s="2" t="s">
        <v>1229</v>
      </c>
      <c r="G23" s="2" t="s">
        <v>1259</v>
      </c>
      <c r="H23">
        <v>61844</v>
      </c>
      <c r="I23" s="2" t="s">
        <v>1250</v>
      </c>
      <c r="J23" s="2" t="s">
        <v>1231</v>
      </c>
      <c r="K23" s="1">
        <v>45118</v>
      </c>
      <c r="L23">
        <v>2023</v>
      </c>
      <c r="M23" s="2" t="s">
        <v>1292</v>
      </c>
      <c r="R23" t="s">
        <v>2360</v>
      </c>
      <c r="S23" s="4">
        <f>SUMIF(Linked[Loan Status],"Approved",Linked[Loan Amount])</f>
        <v>3677399</v>
      </c>
    </row>
    <row r="24" spans="1:20" x14ac:dyDescent="0.25">
      <c r="A24" s="2" t="s">
        <v>1293</v>
      </c>
      <c r="B24" s="2" t="s">
        <v>1294</v>
      </c>
      <c r="C24" s="2" t="s">
        <v>1227</v>
      </c>
      <c r="D24">
        <v>19</v>
      </c>
      <c r="E24" s="2" t="s">
        <v>1242</v>
      </c>
      <c r="F24" s="2" t="s">
        <v>1249</v>
      </c>
      <c r="G24" s="2" t="s">
        <v>1235</v>
      </c>
      <c r="H24">
        <v>84754</v>
      </c>
      <c r="I24" s="2" t="s">
        <v>1245</v>
      </c>
      <c r="J24" s="2" t="s">
        <v>1224</v>
      </c>
      <c r="K24" s="1">
        <v>44745</v>
      </c>
      <c r="L24">
        <v>2022</v>
      </c>
      <c r="M24" s="2" t="s">
        <v>1295</v>
      </c>
      <c r="R24" t="s">
        <v>2361</v>
      </c>
      <c r="S24" s="4">
        <f>SUM(Linked[Balance])</f>
        <v>212341134</v>
      </c>
    </row>
    <row r="25" spans="1:20" x14ac:dyDescent="0.25">
      <c r="A25" s="2" t="s">
        <v>1296</v>
      </c>
      <c r="B25" s="2" t="s">
        <v>1297</v>
      </c>
      <c r="C25" s="2" t="s">
        <v>1227</v>
      </c>
      <c r="D25">
        <v>43</v>
      </c>
      <c r="E25" s="2" t="s">
        <v>1220</v>
      </c>
      <c r="F25" s="2" t="s">
        <v>1243</v>
      </c>
      <c r="G25" s="2" t="s">
        <v>1253</v>
      </c>
      <c r="H25">
        <v>185229</v>
      </c>
      <c r="I25" s="2" t="s">
        <v>1223</v>
      </c>
      <c r="J25" s="2" t="s">
        <v>1231</v>
      </c>
      <c r="K25" s="1">
        <v>42765</v>
      </c>
      <c r="L25">
        <v>2017</v>
      </c>
      <c r="M25" s="2" t="s">
        <v>1298</v>
      </c>
    </row>
    <row r="26" spans="1:20" x14ac:dyDescent="0.25">
      <c r="A26" s="2" t="s">
        <v>649</v>
      </c>
      <c r="B26" s="2" t="s">
        <v>1299</v>
      </c>
      <c r="C26" s="2" t="s">
        <v>1227</v>
      </c>
      <c r="D26">
        <v>34</v>
      </c>
      <c r="E26" s="2" t="s">
        <v>1220</v>
      </c>
      <c r="F26" s="2" t="s">
        <v>1221</v>
      </c>
      <c r="G26" s="2" t="s">
        <v>1244</v>
      </c>
      <c r="H26">
        <v>97129</v>
      </c>
      <c r="I26" s="2" t="s">
        <v>1245</v>
      </c>
      <c r="J26" s="2" t="s">
        <v>1224</v>
      </c>
      <c r="K26" s="1">
        <v>43718</v>
      </c>
      <c r="L26">
        <v>2019</v>
      </c>
      <c r="M26" s="2" t="s">
        <v>1300</v>
      </c>
    </row>
    <row r="27" spans="1:20" x14ac:dyDescent="0.25">
      <c r="A27" s="2" t="s">
        <v>495</v>
      </c>
      <c r="B27" s="2" t="s">
        <v>1301</v>
      </c>
      <c r="C27" s="2" t="s">
        <v>1227</v>
      </c>
      <c r="D27">
        <v>57</v>
      </c>
      <c r="E27" s="2" t="s">
        <v>1228</v>
      </c>
      <c r="F27" s="2" t="s">
        <v>1249</v>
      </c>
      <c r="G27" s="2" t="s">
        <v>1222</v>
      </c>
      <c r="H27">
        <v>60042</v>
      </c>
      <c r="I27" s="2" t="s">
        <v>1250</v>
      </c>
      <c r="J27" s="2" t="s">
        <v>1231</v>
      </c>
      <c r="K27" s="1">
        <v>44469</v>
      </c>
      <c r="L27">
        <v>2021</v>
      </c>
      <c r="M27" s="2" t="s">
        <v>1302</v>
      </c>
    </row>
    <row r="28" spans="1:20" x14ac:dyDescent="0.25">
      <c r="A28" s="2" t="s">
        <v>1303</v>
      </c>
      <c r="B28" s="2" t="s">
        <v>1304</v>
      </c>
      <c r="C28" s="2" t="s">
        <v>1227</v>
      </c>
      <c r="D28">
        <v>50</v>
      </c>
      <c r="E28" s="2" t="s">
        <v>1228</v>
      </c>
      <c r="F28" s="2" t="s">
        <v>1243</v>
      </c>
      <c r="G28" s="2" t="s">
        <v>1239</v>
      </c>
      <c r="H28">
        <v>81665</v>
      </c>
      <c r="I28" s="2" t="s">
        <v>1245</v>
      </c>
      <c r="J28" s="2" t="s">
        <v>1236</v>
      </c>
      <c r="K28" s="1">
        <v>42607</v>
      </c>
      <c r="L28">
        <v>2016</v>
      </c>
      <c r="M28" s="2" t="s">
        <v>1305</v>
      </c>
    </row>
    <row r="29" spans="1:20" x14ac:dyDescent="0.25">
      <c r="A29" s="2" t="s">
        <v>380</v>
      </c>
      <c r="B29" s="2" t="s">
        <v>1306</v>
      </c>
      <c r="C29" s="2" t="s">
        <v>1227</v>
      </c>
      <c r="D29">
        <v>26</v>
      </c>
      <c r="E29" s="2" t="s">
        <v>1242</v>
      </c>
      <c r="F29" s="2" t="s">
        <v>1221</v>
      </c>
      <c r="G29" s="2" t="s">
        <v>1244</v>
      </c>
      <c r="H29">
        <v>136953</v>
      </c>
      <c r="I29" s="2" t="s">
        <v>1245</v>
      </c>
      <c r="J29" s="2" t="s">
        <v>1224</v>
      </c>
      <c r="K29" s="1">
        <v>43698</v>
      </c>
      <c r="L29">
        <v>2019</v>
      </c>
      <c r="M29" s="2" t="s">
        <v>1307</v>
      </c>
    </row>
    <row r="30" spans="1:20" x14ac:dyDescent="0.25">
      <c r="A30" s="2" t="s">
        <v>1308</v>
      </c>
      <c r="B30" s="2" t="s">
        <v>1309</v>
      </c>
      <c r="C30" s="2" t="s">
        <v>1227</v>
      </c>
      <c r="D30">
        <v>60</v>
      </c>
      <c r="E30" s="2" t="s">
        <v>1228</v>
      </c>
      <c r="F30" s="2" t="s">
        <v>1249</v>
      </c>
      <c r="G30" s="2" t="s">
        <v>1253</v>
      </c>
      <c r="H30">
        <v>178448</v>
      </c>
      <c r="I30" s="2" t="s">
        <v>1223</v>
      </c>
      <c r="J30" s="2" t="s">
        <v>1236</v>
      </c>
      <c r="K30" s="1">
        <v>44834</v>
      </c>
      <c r="L30">
        <v>2022</v>
      </c>
      <c r="M30" s="2" t="s">
        <v>1310</v>
      </c>
    </row>
    <row r="31" spans="1:20" x14ac:dyDescent="0.25">
      <c r="A31" s="2" t="s">
        <v>29</v>
      </c>
      <c r="B31" s="2" t="s">
        <v>1311</v>
      </c>
      <c r="C31" s="2" t="s">
        <v>1227</v>
      </c>
      <c r="D31">
        <v>71</v>
      </c>
      <c r="E31" s="2" t="s">
        <v>1263</v>
      </c>
      <c r="F31" s="2" t="s">
        <v>1249</v>
      </c>
      <c r="G31" s="2" t="s">
        <v>1244</v>
      </c>
      <c r="H31">
        <v>165271</v>
      </c>
      <c r="I31" s="2" t="s">
        <v>1223</v>
      </c>
      <c r="J31" s="2" t="s">
        <v>1224</v>
      </c>
      <c r="K31" s="1">
        <v>44109</v>
      </c>
      <c r="L31">
        <v>2020</v>
      </c>
      <c r="M31" s="2" t="s">
        <v>1312</v>
      </c>
    </row>
    <row r="32" spans="1:20" x14ac:dyDescent="0.25">
      <c r="A32" s="2" t="s">
        <v>219</v>
      </c>
      <c r="B32" s="2" t="s">
        <v>1313</v>
      </c>
      <c r="C32" s="2" t="s">
        <v>1219</v>
      </c>
      <c r="D32">
        <v>65</v>
      </c>
      <c r="E32" s="2" t="s">
        <v>1263</v>
      </c>
      <c r="F32" s="2" t="s">
        <v>1229</v>
      </c>
      <c r="G32" s="2" t="s">
        <v>1222</v>
      </c>
      <c r="H32">
        <v>138533</v>
      </c>
      <c r="I32" s="2" t="s">
        <v>1245</v>
      </c>
      <c r="J32" s="2" t="s">
        <v>1231</v>
      </c>
      <c r="K32" s="1">
        <v>42742</v>
      </c>
      <c r="L32">
        <v>2017</v>
      </c>
      <c r="M32" s="2" t="s">
        <v>1314</v>
      </c>
    </row>
    <row r="33" spans="1:13" x14ac:dyDescent="0.25">
      <c r="A33" s="2" t="s">
        <v>455</v>
      </c>
      <c r="B33" s="2" t="s">
        <v>1315</v>
      </c>
      <c r="C33" s="2" t="s">
        <v>1219</v>
      </c>
      <c r="D33">
        <v>56</v>
      </c>
      <c r="E33" s="2" t="s">
        <v>1228</v>
      </c>
      <c r="F33" s="2" t="s">
        <v>1221</v>
      </c>
      <c r="G33" s="2" t="s">
        <v>1259</v>
      </c>
      <c r="H33">
        <v>93781</v>
      </c>
      <c r="I33" s="2" t="s">
        <v>1245</v>
      </c>
      <c r="J33" s="2" t="s">
        <v>1231</v>
      </c>
      <c r="K33" s="1">
        <v>42565</v>
      </c>
      <c r="L33">
        <v>2016</v>
      </c>
      <c r="M33" s="2" t="s">
        <v>1316</v>
      </c>
    </row>
    <row r="34" spans="1:13" x14ac:dyDescent="0.25">
      <c r="A34" s="2" t="s">
        <v>1317</v>
      </c>
      <c r="B34" s="2" t="s">
        <v>1318</v>
      </c>
      <c r="C34" s="2" t="s">
        <v>1227</v>
      </c>
      <c r="D34">
        <v>46</v>
      </c>
      <c r="E34" s="2" t="s">
        <v>1228</v>
      </c>
      <c r="F34" s="2" t="s">
        <v>1221</v>
      </c>
      <c r="G34" s="2" t="s">
        <v>1253</v>
      </c>
      <c r="H34">
        <v>86262</v>
      </c>
      <c r="I34" s="2" t="s">
        <v>1245</v>
      </c>
      <c r="J34" s="2" t="s">
        <v>1224</v>
      </c>
      <c r="K34" s="1">
        <v>43698</v>
      </c>
      <c r="L34">
        <v>2019</v>
      </c>
      <c r="M34" s="2" t="s">
        <v>1307</v>
      </c>
    </row>
    <row r="35" spans="1:13" x14ac:dyDescent="0.25">
      <c r="A35" s="2" t="s">
        <v>725</v>
      </c>
      <c r="B35" s="2" t="s">
        <v>1319</v>
      </c>
      <c r="C35" s="2" t="s">
        <v>1227</v>
      </c>
      <c r="D35">
        <v>59</v>
      </c>
      <c r="E35" s="2" t="s">
        <v>1228</v>
      </c>
      <c r="F35" s="2" t="s">
        <v>1243</v>
      </c>
      <c r="G35" s="2" t="s">
        <v>1244</v>
      </c>
      <c r="H35">
        <v>66600</v>
      </c>
      <c r="I35" s="2" t="s">
        <v>1250</v>
      </c>
      <c r="J35" s="2" t="s">
        <v>1231</v>
      </c>
      <c r="K35" s="1">
        <v>44513</v>
      </c>
      <c r="L35">
        <v>2021</v>
      </c>
      <c r="M35" s="2" t="s">
        <v>1320</v>
      </c>
    </row>
    <row r="36" spans="1:13" x14ac:dyDescent="0.25">
      <c r="A36" s="2" t="s">
        <v>154</v>
      </c>
      <c r="B36" s="2" t="s">
        <v>1321</v>
      </c>
      <c r="C36" s="2" t="s">
        <v>1227</v>
      </c>
      <c r="D36">
        <v>72</v>
      </c>
      <c r="E36" s="2" t="s">
        <v>1263</v>
      </c>
      <c r="F36" s="2" t="s">
        <v>1229</v>
      </c>
      <c r="G36" s="2" t="s">
        <v>1239</v>
      </c>
      <c r="H36">
        <v>96898</v>
      </c>
      <c r="I36" s="2" t="s">
        <v>1245</v>
      </c>
      <c r="J36" s="2" t="s">
        <v>1231</v>
      </c>
      <c r="K36" s="1">
        <v>42533</v>
      </c>
      <c r="L36">
        <v>2016</v>
      </c>
      <c r="M36" s="2" t="s">
        <v>1322</v>
      </c>
    </row>
    <row r="37" spans="1:13" x14ac:dyDescent="0.25">
      <c r="A37" s="2" t="s">
        <v>226</v>
      </c>
      <c r="B37" s="2" t="s">
        <v>1323</v>
      </c>
      <c r="C37" s="2" t="s">
        <v>1219</v>
      </c>
      <c r="D37">
        <v>43</v>
      </c>
      <c r="E37" s="2" t="s">
        <v>1220</v>
      </c>
      <c r="F37" s="2" t="s">
        <v>1229</v>
      </c>
      <c r="G37" s="2" t="s">
        <v>1239</v>
      </c>
      <c r="H37">
        <v>169369</v>
      </c>
      <c r="I37" s="2" t="s">
        <v>1223</v>
      </c>
      <c r="J37" s="2" t="s">
        <v>1224</v>
      </c>
      <c r="K37" s="1">
        <v>42902</v>
      </c>
      <c r="L37">
        <v>2017</v>
      </c>
      <c r="M37" s="2" t="s">
        <v>1324</v>
      </c>
    </row>
    <row r="38" spans="1:13" x14ac:dyDescent="0.25">
      <c r="A38" s="2" t="s">
        <v>1106</v>
      </c>
      <c r="B38" s="2" t="s">
        <v>1325</v>
      </c>
      <c r="C38" s="2" t="s">
        <v>1227</v>
      </c>
      <c r="D38">
        <v>52</v>
      </c>
      <c r="E38" s="2" t="s">
        <v>1228</v>
      </c>
      <c r="F38" s="2" t="s">
        <v>1229</v>
      </c>
      <c r="G38" s="2" t="s">
        <v>1235</v>
      </c>
      <c r="H38">
        <v>50448</v>
      </c>
      <c r="I38" s="2" t="s">
        <v>1250</v>
      </c>
      <c r="J38" s="2" t="s">
        <v>1224</v>
      </c>
      <c r="K38" s="1">
        <v>42922</v>
      </c>
      <c r="L38">
        <v>2017</v>
      </c>
      <c r="M38" s="2" t="s">
        <v>1326</v>
      </c>
    </row>
    <row r="39" spans="1:13" x14ac:dyDescent="0.25">
      <c r="A39" s="2" t="s">
        <v>836</v>
      </c>
      <c r="B39" s="2" t="s">
        <v>1327</v>
      </c>
      <c r="C39" s="2" t="s">
        <v>1219</v>
      </c>
      <c r="D39">
        <v>67</v>
      </c>
      <c r="E39" s="2" t="s">
        <v>1263</v>
      </c>
      <c r="F39" s="2" t="s">
        <v>1229</v>
      </c>
      <c r="G39" s="2" t="s">
        <v>1244</v>
      </c>
      <c r="H39">
        <v>46172</v>
      </c>
      <c r="I39" s="2" t="s">
        <v>1250</v>
      </c>
      <c r="J39" s="2" t="s">
        <v>1231</v>
      </c>
      <c r="K39" s="1">
        <v>44507</v>
      </c>
      <c r="L39">
        <v>2021</v>
      </c>
      <c r="M39" s="2" t="s">
        <v>1328</v>
      </c>
    </row>
    <row r="40" spans="1:13" x14ac:dyDescent="0.25">
      <c r="A40" s="2" t="s">
        <v>806</v>
      </c>
      <c r="B40" s="2" t="s">
        <v>1329</v>
      </c>
      <c r="C40" s="2" t="s">
        <v>1219</v>
      </c>
      <c r="D40">
        <v>42</v>
      </c>
      <c r="E40" s="2" t="s">
        <v>1220</v>
      </c>
      <c r="F40" s="2" t="s">
        <v>1221</v>
      </c>
      <c r="G40" s="2" t="s">
        <v>1230</v>
      </c>
      <c r="H40">
        <v>193946</v>
      </c>
      <c r="I40" s="2" t="s">
        <v>1223</v>
      </c>
      <c r="J40" s="2" t="s">
        <v>1231</v>
      </c>
      <c r="K40" s="1">
        <v>44074</v>
      </c>
      <c r="L40">
        <v>2020</v>
      </c>
      <c r="M40" s="2" t="s">
        <v>1330</v>
      </c>
    </row>
    <row r="41" spans="1:13" x14ac:dyDescent="0.25">
      <c r="A41" s="2" t="s">
        <v>586</v>
      </c>
      <c r="B41" s="2" t="s">
        <v>1331</v>
      </c>
      <c r="C41" s="2" t="s">
        <v>1219</v>
      </c>
      <c r="D41">
        <v>41</v>
      </c>
      <c r="E41" s="2" t="s">
        <v>1220</v>
      </c>
      <c r="F41" s="2" t="s">
        <v>1221</v>
      </c>
      <c r="G41" s="2" t="s">
        <v>1244</v>
      </c>
      <c r="H41">
        <v>27657</v>
      </c>
      <c r="I41" s="2" t="s">
        <v>1250</v>
      </c>
      <c r="J41" s="2" t="s">
        <v>1231</v>
      </c>
      <c r="K41" s="1">
        <v>42296</v>
      </c>
      <c r="L41">
        <v>2015</v>
      </c>
      <c r="M41" s="2" t="s">
        <v>1332</v>
      </c>
    </row>
    <row r="42" spans="1:13" x14ac:dyDescent="0.25">
      <c r="A42" s="2" t="s">
        <v>727</v>
      </c>
      <c r="B42" s="2" t="s">
        <v>1333</v>
      </c>
      <c r="C42" s="2" t="s">
        <v>1219</v>
      </c>
      <c r="D42">
        <v>30</v>
      </c>
      <c r="E42" s="2" t="s">
        <v>1220</v>
      </c>
      <c r="F42" s="2" t="s">
        <v>1249</v>
      </c>
      <c r="G42" s="2" t="s">
        <v>1259</v>
      </c>
      <c r="H42">
        <v>176497</v>
      </c>
      <c r="I42" s="2" t="s">
        <v>1223</v>
      </c>
      <c r="J42" s="2" t="s">
        <v>1231</v>
      </c>
      <c r="K42" s="1">
        <v>42853</v>
      </c>
      <c r="L42">
        <v>2017</v>
      </c>
      <c r="M42" s="2" t="s">
        <v>1334</v>
      </c>
    </row>
    <row r="43" spans="1:13" x14ac:dyDescent="0.25">
      <c r="A43" s="2" t="s">
        <v>513</v>
      </c>
      <c r="B43" s="2" t="s">
        <v>1335</v>
      </c>
      <c r="C43" s="2" t="s">
        <v>1219</v>
      </c>
      <c r="D43">
        <v>24</v>
      </c>
      <c r="E43" s="2" t="s">
        <v>1242</v>
      </c>
      <c r="F43" s="2" t="s">
        <v>1249</v>
      </c>
      <c r="G43" s="2" t="s">
        <v>1253</v>
      </c>
      <c r="H43">
        <v>177757</v>
      </c>
      <c r="I43" s="2" t="s">
        <v>1223</v>
      </c>
      <c r="J43" s="2" t="s">
        <v>1224</v>
      </c>
      <c r="K43" s="1">
        <v>42576</v>
      </c>
      <c r="L43">
        <v>2016</v>
      </c>
      <c r="M43" s="2" t="s">
        <v>1336</v>
      </c>
    </row>
    <row r="44" spans="1:13" x14ac:dyDescent="0.25">
      <c r="A44" s="2" t="s">
        <v>384</v>
      </c>
      <c r="B44" s="2" t="s">
        <v>1337</v>
      </c>
      <c r="C44" s="2" t="s">
        <v>1227</v>
      </c>
      <c r="D44">
        <v>74</v>
      </c>
      <c r="E44" s="2" t="s">
        <v>1263</v>
      </c>
      <c r="F44" s="2" t="s">
        <v>1229</v>
      </c>
      <c r="G44" s="2" t="s">
        <v>1253</v>
      </c>
      <c r="H44">
        <v>132855</v>
      </c>
      <c r="I44" s="2" t="s">
        <v>1245</v>
      </c>
      <c r="J44" s="2" t="s">
        <v>1231</v>
      </c>
      <c r="K44" s="1">
        <v>44752</v>
      </c>
      <c r="L44">
        <v>2022</v>
      </c>
      <c r="M44" s="2" t="s">
        <v>1338</v>
      </c>
    </row>
    <row r="45" spans="1:13" x14ac:dyDescent="0.25">
      <c r="A45" s="2" t="s">
        <v>267</v>
      </c>
      <c r="B45" s="2" t="s">
        <v>1339</v>
      </c>
      <c r="C45" s="2" t="s">
        <v>1227</v>
      </c>
      <c r="D45">
        <v>53</v>
      </c>
      <c r="E45" s="2" t="s">
        <v>1228</v>
      </c>
      <c r="F45" s="2" t="s">
        <v>1229</v>
      </c>
      <c r="G45" s="2" t="s">
        <v>1259</v>
      </c>
      <c r="H45">
        <v>175650</v>
      </c>
      <c r="I45" s="2" t="s">
        <v>1223</v>
      </c>
      <c r="J45" s="2" t="s">
        <v>1224</v>
      </c>
      <c r="K45" s="1">
        <v>44427</v>
      </c>
      <c r="L45">
        <v>2021</v>
      </c>
      <c r="M45" s="2" t="s">
        <v>1340</v>
      </c>
    </row>
    <row r="46" spans="1:13" x14ac:dyDescent="0.25">
      <c r="A46" s="2" t="s">
        <v>1129</v>
      </c>
      <c r="B46" s="2" t="s">
        <v>1341</v>
      </c>
      <c r="C46" s="2" t="s">
        <v>1227</v>
      </c>
      <c r="D46">
        <v>62</v>
      </c>
      <c r="E46" s="2" t="s">
        <v>1263</v>
      </c>
      <c r="F46" s="2" t="s">
        <v>1229</v>
      </c>
      <c r="G46" s="2" t="s">
        <v>1244</v>
      </c>
      <c r="H46">
        <v>179903</v>
      </c>
      <c r="I46" s="2" t="s">
        <v>1223</v>
      </c>
      <c r="J46" s="2" t="s">
        <v>1224</v>
      </c>
      <c r="K46" s="1">
        <v>43636</v>
      </c>
      <c r="L46">
        <v>2019</v>
      </c>
      <c r="M46" s="2" t="s">
        <v>1342</v>
      </c>
    </row>
    <row r="47" spans="1:13" x14ac:dyDescent="0.25">
      <c r="A47" s="2" t="s">
        <v>834</v>
      </c>
      <c r="B47" s="2" t="s">
        <v>1343</v>
      </c>
      <c r="C47" s="2" t="s">
        <v>1227</v>
      </c>
      <c r="D47">
        <v>37</v>
      </c>
      <c r="E47" s="2" t="s">
        <v>1220</v>
      </c>
      <c r="F47" s="2" t="s">
        <v>1249</v>
      </c>
      <c r="G47" s="2" t="s">
        <v>1259</v>
      </c>
      <c r="H47">
        <v>27906</v>
      </c>
      <c r="I47" s="2" t="s">
        <v>1250</v>
      </c>
      <c r="J47" s="2" t="s">
        <v>1224</v>
      </c>
      <c r="K47" s="1">
        <v>44323</v>
      </c>
      <c r="L47">
        <v>2021</v>
      </c>
      <c r="M47" s="2" t="s">
        <v>1344</v>
      </c>
    </row>
    <row r="48" spans="1:13" x14ac:dyDescent="0.25">
      <c r="A48" s="2" t="s">
        <v>96</v>
      </c>
      <c r="B48" s="2" t="s">
        <v>1345</v>
      </c>
      <c r="C48" s="2" t="s">
        <v>1227</v>
      </c>
      <c r="D48">
        <v>18</v>
      </c>
      <c r="E48" s="2" t="s">
        <v>1242</v>
      </c>
      <c r="F48" s="2" t="s">
        <v>1243</v>
      </c>
      <c r="G48" s="2" t="s">
        <v>1222</v>
      </c>
      <c r="H48">
        <v>81413</v>
      </c>
      <c r="I48" s="2" t="s">
        <v>1245</v>
      </c>
      <c r="J48" s="2" t="s">
        <v>1224</v>
      </c>
      <c r="K48" s="1">
        <v>42831</v>
      </c>
      <c r="L48">
        <v>2017</v>
      </c>
      <c r="M48" s="2" t="s">
        <v>1346</v>
      </c>
    </row>
    <row r="49" spans="1:13" x14ac:dyDescent="0.25">
      <c r="A49" s="2" t="s">
        <v>1347</v>
      </c>
      <c r="B49" s="2" t="s">
        <v>1348</v>
      </c>
      <c r="C49" s="2" t="s">
        <v>1219</v>
      </c>
      <c r="D49">
        <v>25</v>
      </c>
      <c r="E49" s="2" t="s">
        <v>1242</v>
      </c>
      <c r="F49" s="2" t="s">
        <v>1243</v>
      </c>
      <c r="G49" s="2" t="s">
        <v>1259</v>
      </c>
      <c r="H49">
        <v>74028</v>
      </c>
      <c r="I49" s="2" t="s">
        <v>1250</v>
      </c>
      <c r="J49" s="2" t="s">
        <v>1224</v>
      </c>
      <c r="K49" s="1">
        <v>45478</v>
      </c>
      <c r="L49">
        <v>2024</v>
      </c>
      <c r="M49" s="2" t="s">
        <v>1349</v>
      </c>
    </row>
    <row r="50" spans="1:13" x14ac:dyDescent="0.25">
      <c r="A50" s="2" t="s">
        <v>172</v>
      </c>
      <c r="B50" s="2" t="s">
        <v>1350</v>
      </c>
      <c r="C50" s="2" t="s">
        <v>1227</v>
      </c>
      <c r="D50">
        <v>63</v>
      </c>
      <c r="E50" s="2" t="s">
        <v>1263</v>
      </c>
      <c r="F50" s="2" t="s">
        <v>1249</v>
      </c>
      <c r="G50" s="2" t="s">
        <v>1239</v>
      </c>
      <c r="H50">
        <v>27287</v>
      </c>
      <c r="I50" s="2" t="s">
        <v>1250</v>
      </c>
      <c r="J50" s="2" t="s">
        <v>1224</v>
      </c>
      <c r="K50" s="1">
        <v>42750</v>
      </c>
      <c r="L50">
        <v>2017</v>
      </c>
      <c r="M50" s="2" t="s">
        <v>1351</v>
      </c>
    </row>
    <row r="51" spans="1:13" x14ac:dyDescent="0.25">
      <c r="A51" s="2" t="s">
        <v>126</v>
      </c>
      <c r="B51" s="2" t="s">
        <v>1352</v>
      </c>
      <c r="C51" s="2" t="s">
        <v>1227</v>
      </c>
      <c r="D51">
        <v>33</v>
      </c>
      <c r="E51" s="2" t="s">
        <v>1220</v>
      </c>
      <c r="F51" s="2" t="s">
        <v>1249</v>
      </c>
      <c r="G51" s="2" t="s">
        <v>1259</v>
      </c>
      <c r="H51">
        <v>53660</v>
      </c>
      <c r="I51" s="2" t="s">
        <v>1250</v>
      </c>
      <c r="J51" s="2" t="s">
        <v>1231</v>
      </c>
      <c r="K51" s="1">
        <v>44992</v>
      </c>
      <c r="L51">
        <v>2023</v>
      </c>
      <c r="M51" s="2" t="s">
        <v>1353</v>
      </c>
    </row>
    <row r="52" spans="1:13" x14ac:dyDescent="0.25">
      <c r="A52" s="2" t="s">
        <v>146</v>
      </c>
      <c r="B52" s="2" t="s">
        <v>1354</v>
      </c>
      <c r="C52" s="2" t="s">
        <v>1219</v>
      </c>
      <c r="D52">
        <v>31</v>
      </c>
      <c r="E52" s="2" t="s">
        <v>1220</v>
      </c>
      <c r="F52" s="2" t="s">
        <v>1249</v>
      </c>
      <c r="G52" s="2" t="s">
        <v>1253</v>
      </c>
      <c r="H52">
        <v>80504</v>
      </c>
      <c r="I52" s="2" t="s">
        <v>1245</v>
      </c>
      <c r="J52" s="2" t="s">
        <v>1224</v>
      </c>
      <c r="K52" s="1">
        <v>42622</v>
      </c>
      <c r="L52">
        <v>2016</v>
      </c>
      <c r="M52" s="2" t="s">
        <v>1355</v>
      </c>
    </row>
    <row r="53" spans="1:13" x14ac:dyDescent="0.25">
      <c r="A53" s="2" t="s">
        <v>1356</v>
      </c>
      <c r="B53" s="2" t="s">
        <v>1357</v>
      </c>
      <c r="C53" s="2" t="s">
        <v>1227</v>
      </c>
      <c r="D53">
        <v>29</v>
      </c>
      <c r="E53" s="2" t="s">
        <v>1220</v>
      </c>
      <c r="F53" s="2" t="s">
        <v>1249</v>
      </c>
      <c r="G53" s="2" t="s">
        <v>1239</v>
      </c>
      <c r="H53">
        <v>122979</v>
      </c>
      <c r="I53" s="2" t="s">
        <v>1245</v>
      </c>
      <c r="J53" s="2" t="s">
        <v>1224</v>
      </c>
      <c r="K53" s="1">
        <v>45072</v>
      </c>
      <c r="L53">
        <v>2023</v>
      </c>
      <c r="M53" s="2" t="s">
        <v>1358</v>
      </c>
    </row>
    <row r="54" spans="1:13" x14ac:dyDescent="0.25">
      <c r="A54" s="2" t="s">
        <v>1359</v>
      </c>
      <c r="B54" s="2" t="s">
        <v>1360</v>
      </c>
      <c r="C54" s="2" t="s">
        <v>1219</v>
      </c>
      <c r="D54">
        <v>68</v>
      </c>
      <c r="E54" s="2" t="s">
        <v>1263</v>
      </c>
      <c r="F54" s="2" t="s">
        <v>1249</v>
      </c>
      <c r="G54" s="2" t="s">
        <v>1253</v>
      </c>
      <c r="H54">
        <v>54701</v>
      </c>
      <c r="I54" s="2" t="s">
        <v>1250</v>
      </c>
      <c r="J54" s="2" t="s">
        <v>1224</v>
      </c>
      <c r="K54" s="1">
        <v>44740</v>
      </c>
      <c r="L54">
        <v>2022</v>
      </c>
      <c r="M54" s="2" t="s">
        <v>1361</v>
      </c>
    </row>
    <row r="55" spans="1:13" x14ac:dyDescent="0.25">
      <c r="A55" s="2" t="s">
        <v>1362</v>
      </c>
      <c r="B55" s="2" t="s">
        <v>1363</v>
      </c>
      <c r="C55" s="2" t="s">
        <v>1227</v>
      </c>
      <c r="D55">
        <v>40</v>
      </c>
      <c r="E55" s="2" t="s">
        <v>1220</v>
      </c>
      <c r="F55" s="2" t="s">
        <v>1249</v>
      </c>
      <c r="G55" s="2" t="s">
        <v>1235</v>
      </c>
      <c r="H55">
        <v>103300</v>
      </c>
      <c r="I55" s="2" t="s">
        <v>1245</v>
      </c>
      <c r="J55" s="2" t="s">
        <v>1224</v>
      </c>
      <c r="K55" s="1">
        <v>44107</v>
      </c>
      <c r="L55">
        <v>2020</v>
      </c>
      <c r="M55" s="2" t="s">
        <v>1364</v>
      </c>
    </row>
    <row r="56" spans="1:13" x14ac:dyDescent="0.25">
      <c r="A56" s="2" t="s">
        <v>555</v>
      </c>
      <c r="B56" s="2" t="s">
        <v>1365</v>
      </c>
      <c r="C56" s="2" t="s">
        <v>1219</v>
      </c>
      <c r="D56">
        <v>32</v>
      </c>
      <c r="E56" s="2" t="s">
        <v>1220</v>
      </c>
      <c r="F56" s="2" t="s">
        <v>1229</v>
      </c>
      <c r="G56" s="2" t="s">
        <v>1230</v>
      </c>
      <c r="H56">
        <v>168746</v>
      </c>
      <c r="I56" s="2" t="s">
        <v>1223</v>
      </c>
      <c r="J56" s="2" t="s">
        <v>1224</v>
      </c>
      <c r="K56" s="1">
        <v>44916</v>
      </c>
      <c r="L56">
        <v>2022</v>
      </c>
      <c r="M56" s="2" t="s">
        <v>1366</v>
      </c>
    </row>
    <row r="57" spans="1:13" x14ac:dyDescent="0.25">
      <c r="A57" s="2" t="s">
        <v>1367</v>
      </c>
      <c r="B57" s="2" t="s">
        <v>1368</v>
      </c>
      <c r="C57" s="2" t="s">
        <v>1227</v>
      </c>
      <c r="D57">
        <v>45</v>
      </c>
      <c r="E57" s="2" t="s">
        <v>1228</v>
      </c>
      <c r="F57" s="2" t="s">
        <v>1229</v>
      </c>
      <c r="G57" s="2" t="s">
        <v>1253</v>
      </c>
      <c r="H57">
        <v>103560</v>
      </c>
      <c r="I57" s="2" t="s">
        <v>1245</v>
      </c>
      <c r="J57" s="2" t="s">
        <v>1224</v>
      </c>
      <c r="K57" s="1">
        <v>44711</v>
      </c>
      <c r="L57">
        <v>2022</v>
      </c>
      <c r="M57" s="2" t="s">
        <v>1369</v>
      </c>
    </row>
    <row r="58" spans="1:13" x14ac:dyDescent="0.25">
      <c r="A58" s="2" t="s">
        <v>217</v>
      </c>
      <c r="B58" s="2" t="s">
        <v>1370</v>
      </c>
      <c r="C58" s="2" t="s">
        <v>1227</v>
      </c>
      <c r="D58">
        <v>51</v>
      </c>
      <c r="E58" s="2" t="s">
        <v>1228</v>
      </c>
      <c r="F58" s="2" t="s">
        <v>1229</v>
      </c>
      <c r="G58" s="2" t="s">
        <v>1239</v>
      </c>
      <c r="H58">
        <v>174946</v>
      </c>
      <c r="I58" s="2" t="s">
        <v>1223</v>
      </c>
      <c r="J58" s="2" t="s">
        <v>1231</v>
      </c>
      <c r="K58" s="1">
        <v>43671</v>
      </c>
      <c r="L58">
        <v>2019</v>
      </c>
      <c r="M58" s="2" t="s">
        <v>1371</v>
      </c>
    </row>
    <row r="59" spans="1:13" x14ac:dyDescent="0.25">
      <c r="A59" s="2" t="s">
        <v>491</v>
      </c>
      <c r="B59" s="2" t="s">
        <v>1372</v>
      </c>
      <c r="C59" s="2" t="s">
        <v>1219</v>
      </c>
      <c r="D59">
        <v>19</v>
      </c>
      <c r="E59" s="2" t="s">
        <v>1242</v>
      </c>
      <c r="F59" s="2" t="s">
        <v>1229</v>
      </c>
      <c r="G59" s="2" t="s">
        <v>1235</v>
      </c>
      <c r="H59">
        <v>63642</v>
      </c>
      <c r="I59" s="2" t="s">
        <v>1250</v>
      </c>
      <c r="J59" s="2" t="s">
        <v>1231</v>
      </c>
      <c r="K59" s="1">
        <v>43622</v>
      </c>
      <c r="L59">
        <v>2019</v>
      </c>
      <c r="M59" s="2" t="s">
        <v>1373</v>
      </c>
    </row>
    <row r="60" spans="1:13" x14ac:dyDescent="0.25">
      <c r="A60" s="2" t="s">
        <v>443</v>
      </c>
      <c r="B60" s="2" t="s">
        <v>1374</v>
      </c>
      <c r="C60" s="2" t="s">
        <v>1219</v>
      </c>
      <c r="D60">
        <v>49</v>
      </c>
      <c r="E60" s="2" t="s">
        <v>1228</v>
      </c>
      <c r="F60" s="2" t="s">
        <v>1249</v>
      </c>
      <c r="G60" s="2" t="s">
        <v>1253</v>
      </c>
      <c r="H60">
        <v>85160</v>
      </c>
      <c r="I60" s="2" t="s">
        <v>1245</v>
      </c>
      <c r="J60" s="2" t="s">
        <v>1231</v>
      </c>
      <c r="K60" s="1">
        <v>45360</v>
      </c>
      <c r="L60">
        <v>2024</v>
      </c>
      <c r="M60" s="2" t="s">
        <v>1375</v>
      </c>
    </row>
    <row r="61" spans="1:13" x14ac:dyDescent="0.25">
      <c r="A61" s="2" t="s">
        <v>681</v>
      </c>
      <c r="B61" s="2" t="s">
        <v>1376</v>
      </c>
      <c r="C61" s="2" t="s">
        <v>1219</v>
      </c>
      <c r="D61">
        <v>40</v>
      </c>
      <c r="E61" s="2" t="s">
        <v>1220</v>
      </c>
      <c r="F61" s="2" t="s">
        <v>1243</v>
      </c>
      <c r="G61" s="2" t="s">
        <v>1222</v>
      </c>
      <c r="H61">
        <v>37602</v>
      </c>
      <c r="I61" s="2" t="s">
        <v>1250</v>
      </c>
      <c r="J61" s="2" t="s">
        <v>1224</v>
      </c>
      <c r="K61" s="1">
        <v>43415</v>
      </c>
      <c r="L61">
        <v>2018</v>
      </c>
      <c r="M61" s="2" t="s">
        <v>1377</v>
      </c>
    </row>
    <row r="62" spans="1:13" x14ac:dyDescent="0.25">
      <c r="A62" s="2" t="s">
        <v>122</v>
      </c>
      <c r="B62" s="2" t="s">
        <v>1378</v>
      </c>
      <c r="C62" s="2" t="s">
        <v>1219</v>
      </c>
      <c r="D62">
        <v>39</v>
      </c>
      <c r="E62" s="2" t="s">
        <v>1220</v>
      </c>
      <c r="F62" s="2" t="s">
        <v>1221</v>
      </c>
      <c r="G62" s="2" t="s">
        <v>1259</v>
      </c>
      <c r="H62">
        <v>123320</v>
      </c>
      <c r="I62" s="2" t="s">
        <v>1245</v>
      </c>
      <c r="J62" s="2" t="s">
        <v>1224</v>
      </c>
      <c r="K62" s="1">
        <v>44878</v>
      </c>
      <c r="L62">
        <v>2022</v>
      </c>
      <c r="M62" s="2" t="s">
        <v>1379</v>
      </c>
    </row>
    <row r="63" spans="1:13" x14ac:dyDescent="0.25">
      <c r="A63" s="2" t="s">
        <v>937</v>
      </c>
      <c r="B63" s="2" t="s">
        <v>1380</v>
      </c>
      <c r="C63" s="2" t="s">
        <v>1219</v>
      </c>
      <c r="D63">
        <v>68</v>
      </c>
      <c r="E63" s="2" t="s">
        <v>1263</v>
      </c>
      <c r="F63" s="2" t="s">
        <v>1249</v>
      </c>
      <c r="G63" s="2" t="s">
        <v>1230</v>
      </c>
      <c r="H63">
        <v>108801</v>
      </c>
      <c r="I63" s="2" t="s">
        <v>1245</v>
      </c>
      <c r="J63" s="2" t="s">
        <v>1231</v>
      </c>
      <c r="K63" s="1">
        <v>45597</v>
      </c>
      <c r="L63">
        <v>2024</v>
      </c>
      <c r="M63" s="2" t="s">
        <v>1381</v>
      </c>
    </row>
    <row r="64" spans="1:13" x14ac:dyDescent="0.25">
      <c r="A64" s="2" t="s">
        <v>624</v>
      </c>
      <c r="B64" s="2" t="s">
        <v>1382</v>
      </c>
      <c r="C64" s="2" t="s">
        <v>1219</v>
      </c>
      <c r="D64">
        <v>42</v>
      </c>
      <c r="E64" s="2" t="s">
        <v>1220</v>
      </c>
      <c r="F64" s="2" t="s">
        <v>1221</v>
      </c>
      <c r="G64" s="2" t="s">
        <v>1253</v>
      </c>
      <c r="H64">
        <v>45931</v>
      </c>
      <c r="I64" s="2" t="s">
        <v>1250</v>
      </c>
      <c r="J64" s="2" t="s">
        <v>1224</v>
      </c>
      <c r="K64" s="1">
        <v>45042</v>
      </c>
      <c r="L64">
        <v>2023</v>
      </c>
      <c r="M64" s="2" t="s">
        <v>1383</v>
      </c>
    </row>
    <row r="65" spans="1:13" x14ac:dyDescent="0.25">
      <c r="A65" s="2" t="s">
        <v>945</v>
      </c>
      <c r="B65" s="2" t="s">
        <v>1384</v>
      </c>
      <c r="C65" s="2" t="s">
        <v>1219</v>
      </c>
      <c r="D65">
        <v>39</v>
      </c>
      <c r="E65" s="2" t="s">
        <v>1220</v>
      </c>
      <c r="F65" s="2" t="s">
        <v>1243</v>
      </c>
      <c r="G65" s="2" t="s">
        <v>1235</v>
      </c>
      <c r="H65">
        <v>114377</v>
      </c>
      <c r="I65" s="2" t="s">
        <v>1245</v>
      </c>
      <c r="J65" s="2" t="s">
        <v>1224</v>
      </c>
      <c r="K65" s="1">
        <v>44997</v>
      </c>
      <c r="L65">
        <v>2023</v>
      </c>
      <c r="M65" s="2" t="s">
        <v>1385</v>
      </c>
    </row>
    <row r="66" spans="1:13" x14ac:dyDescent="0.25">
      <c r="A66" s="2" t="s">
        <v>403</v>
      </c>
      <c r="B66" s="2" t="s">
        <v>1386</v>
      </c>
      <c r="C66" s="2" t="s">
        <v>1219</v>
      </c>
      <c r="D66">
        <v>39</v>
      </c>
      <c r="E66" s="2" t="s">
        <v>1220</v>
      </c>
      <c r="F66" s="2" t="s">
        <v>1229</v>
      </c>
      <c r="G66" s="2" t="s">
        <v>1222</v>
      </c>
      <c r="H66">
        <v>49192</v>
      </c>
      <c r="I66" s="2" t="s">
        <v>1250</v>
      </c>
      <c r="J66" s="2" t="s">
        <v>1224</v>
      </c>
      <c r="K66" s="1">
        <v>44119</v>
      </c>
      <c r="L66">
        <v>2020</v>
      </c>
      <c r="M66" s="2" t="s">
        <v>1387</v>
      </c>
    </row>
    <row r="67" spans="1:13" x14ac:dyDescent="0.25">
      <c r="A67" s="2" t="s">
        <v>417</v>
      </c>
      <c r="B67" s="2" t="s">
        <v>1388</v>
      </c>
      <c r="C67" s="2" t="s">
        <v>1227</v>
      </c>
      <c r="D67">
        <v>66</v>
      </c>
      <c r="E67" s="2" t="s">
        <v>1263</v>
      </c>
      <c r="F67" s="2" t="s">
        <v>1243</v>
      </c>
      <c r="G67" s="2" t="s">
        <v>1244</v>
      </c>
      <c r="H67">
        <v>66542</v>
      </c>
      <c r="I67" s="2" t="s">
        <v>1250</v>
      </c>
      <c r="J67" s="2" t="s">
        <v>1224</v>
      </c>
      <c r="K67" s="1">
        <v>43091</v>
      </c>
      <c r="L67">
        <v>2017</v>
      </c>
      <c r="M67" s="2" t="s">
        <v>1389</v>
      </c>
    </row>
    <row r="68" spans="1:13" x14ac:dyDescent="0.25">
      <c r="A68" s="2" t="s">
        <v>782</v>
      </c>
      <c r="B68" s="2" t="s">
        <v>1390</v>
      </c>
      <c r="C68" s="2" t="s">
        <v>1227</v>
      </c>
      <c r="D68">
        <v>69</v>
      </c>
      <c r="E68" s="2" t="s">
        <v>1263</v>
      </c>
      <c r="F68" s="2" t="s">
        <v>1249</v>
      </c>
      <c r="G68" s="2" t="s">
        <v>1235</v>
      </c>
      <c r="H68">
        <v>147015</v>
      </c>
      <c r="I68" s="2" t="s">
        <v>1223</v>
      </c>
      <c r="J68" s="2" t="s">
        <v>1224</v>
      </c>
      <c r="K68" s="1">
        <v>44996</v>
      </c>
      <c r="L68">
        <v>2023</v>
      </c>
      <c r="M68" s="2" t="s">
        <v>1391</v>
      </c>
    </row>
    <row r="69" spans="1:13" x14ac:dyDescent="0.25">
      <c r="A69" s="2" t="s">
        <v>464</v>
      </c>
      <c r="B69" s="2" t="s">
        <v>1392</v>
      </c>
      <c r="C69" s="2" t="s">
        <v>1219</v>
      </c>
      <c r="D69">
        <v>59</v>
      </c>
      <c r="E69" s="2" t="s">
        <v>1228</v>
      </c>
      <c r="F69" s="2" t="s">
        <v>1229</v>
      </c>
      <c r="G69" s="2" t="s">
        <v>1259</v>
      </c>
      <c r="H69">
        <v>62520</v>
      </c>
      <c r="I69" s="2" t="s">
        <v>1250</v>
      </c>
      <c r="J69" s="2" t="s">
        <v>1224</v>
      </c>
      <c r="K69" s="1">
        <v>43069</v>
      </c>
      <c r="L69">
        <v>2017</v>
      </c>
      <c r="M69" s="2" t="s">
        <v>1393</v>
      </c>
    </row>
    <row r="70" spans="1:13" x14ac:dyDescent="0.25">
      <c r="A70" s="2" t="s">
        <v>162</v>
      </c>
      <c r="B70" s="2" t="s">
        <v>1394</v>
      </c>
      <c r="C70" s="2" t="s">
        <v>1227</v>
      </c>
      <c r="D70">
        <v>23</v>
      </c>
      <c r="E70" s="2" t="s">
        <v>1242</v>
      </c>
      <c r="F70" s="2" t="s">
        <v>1249</v>
      </c>
      <c r="G70" s="2" t="s">
        <v>1235</v>
      </c>
      <c r="H70">
        <v>84772</v>
      </c>
      <c r="I70" s="2" t="s">
        <v>1245</v>
      </c>
      <c r="J70" s="2" t="s">
        <v>1224</v>
      </c>
      <c r="K70" s="1">
        <v>43341</v>
      </c>
      <c r="L70">
        <v>2018</v>
      </c>
      <c r="M70" s="2" t="s">
        <v>1395</v>
      </c>
    </row>
    <row r="71" spans="1:13" x14ac:dyDescent="0.25">
      <c r="A71" s="2" t="s">
        <v>182</v>
      </c>
      <c r="B71" s="2" t="s">
        <v>1396</v>
      </c>
      <c r="C71" s="2" t="s">
        <v>1227</v>
      </c>
      <c r="D71">
        <v>32</v>
      </c>
      <c r="E71" s="2" t="s">
        <v>1220</v>
      </c>
      <c r="F71" s="2" t="s">
        <v>1229</v>
      </c>
      <c r="G71" s="2" t="s">
        <v>1222</v>
      </c>
      <c r="H71">
        <v>70106</v>
      </c>
      <c r="I71" s="2" t="s">
        <v>1250</v>
      </c>
      <c r="J71" s="2" t="s">
        <v>1224</v>
      </c>
      <c r="K71" s="1">
        <v>45477</v>
      </c>
      <c r="L71">
        <v>2024</v>
      </c>
      <c r="M71" s="2" t="s">
        <v>1397</v>
      </c>
    </row>
    <row r="72" spans="1:13" x14ac:dyDescent="0.25">
      <c r="A72" s="2" t="s">
        <v>1398</v>
      </c>
      <c r="B72" s="2" t="s">
        <v>1399</v>
      </c>
      <c r="C72" s="2" t="s">
        <v>1227</v>
      </c>
      <c r="D72">
        <v>71</v>
      </c>
      <c r="E72" s="2" t="s">
        <v>1263</v>
      </c>
      <c r="F72" s="2" t="s">
        <v>1221</v>
      </c>
      <c r="G72" s="2" t="s">
        <v>1235</v>
      </c>
      <c r="H72">
        <v>101121</v>
      </c>
      <c r="I72" s="2" t="s">
        <v>1245</v>
      </c>
      <c r="J72" s="2" t="s">
        <v>1231</v>
      </c>
      <c r="K72" s="1">
        <v>45815</v>
      </c>
      <c r="L72">
        <v>2025</v>
      </c>
      <c r="M72" s="2" t="s">
        <v>1400</v>
      </c>
    </row>
    <row r="73" spans="1:13" x14ac:dyDescent="0.25">
      <c r="A73" s="2" t="s">
        <v>553</v>
      </c>
      <c r="B73" s="2" t="s">
        <v>1401</v>
      </c>
      <c r="C73" s="2" t="s">
        <v>1227</v>
      </c>
      <c r="D73">
        <v>60</v>
      </c>
      <c r="E73" s="2" t="s">
        <v>1228</v>
      </c>
      <c r="F73" s="2" t="s">
        <v>1221</v>
      </c>
      <c r="G73" s="2" t="s">
        <v>1222</v>
      </c>
      <c r="H73">
        <v>45559</v>
      </c>
      <c r="I73" s="2" t="s">
        <v>1250</v>
      </c>
      <c r="J73" s="2" t="s">
        <v>1231</v>
      </c>
      <c r="K73" s="1">
        <v>42457</v>
      </c>
      <c r="L73">
        <v>2016</v>
      </c>
      <c r="M73" s="2" t="s">
        <v>1402</v>
      </c>
    </row>
    <row r="74" spans="1:13" x14ac:dyDescent="0.25">
      <c r="A74" s="2" t="s">
        <v>877</v>
      </c>
      <c r="B74" s="2" t="s">
        <v>1403</v>
      </c>
      <c r="C74" s="2" t="s">
        <v>1219</v>
      </c>
      <c r="D74">
        <v>54</v>
      </c>
      <c r="E74" s="2" t="s">
        <v>1228</v>
      </c>
      <c r="F74" s="2" t="s">
        <v>1221</v>
      </c>
      <c r="G74" s="2" t="s">
        <v>1253</v>
      </c>
      <c r="H74">
        <v>125595</v>
      </c>
      <c r="I74" s="2" t="s">
        <v>1245</v>
      </c>
      <c r="J74" s="2" t="s">
        <v>1231</v>
      </c>
      <c r="K74" s="1">
        <v>43929</v>
      </c>
      <c r="L74">
        <v>2020</v>
      </c>
      <c r="M74" s="2" t="s">
        <v>1404</v>
      </c>
    </row>
    <row r="75" spans="1:13" x14ac:dyDescent="0.25">
      <c r="A75" s="2" t="s">
        <v>176</v>
      </c>
      <c r="B75" s="2" t="s">
        <v>1405</v>
      </c>
      <c r="C75" s="2" t="s">
        <v>1227</v>
      </c>
      <c r="D75">
        <v>50</v>
      </c>
      <c r="E75" s="2" t="s">
        <v>1228</v>
      </c>
      <c r="F75" s="2" t="s">
        <v>1243</v>
      </c>
      <c r="G75" s="2" t="s">
        <v>1222</v>
      </c>
      <c r="H75">
        <v>53742</v>
      </c>
      <c r="I75" s="2" t="s">
        <v>1250</v>
      </c>
      <c r="J75" s="2" t="s">
        <v>1231</v>
      </c>
      <c r="K75" s="1">
        <v>45677</v>
      </c>
      <c r="L75">
        <v>2025</v>
      </c>
      <c r="M75" s="2" t="s">
        <v>1406</v>
      </c>
    </row>
    <row r="76" spans="1:13" x14ac:dyDescent="0.25">
      <c r="A76" s="2" t="s">
        <v>108</v>
      </c>
      <c r="B76" s="2" t="s">
        <v>1407</v>
      </c>
      <c r="C76" s="2" t="s">
        <v>1219</v>
      </c>
      <c r="D76">
        <v>25</v>
      </c>
      <c r="E76" s="2" t="s">
        <v>1242</v>
      </c>
      <c r="F76" s="2" t="s">
        <v>1249</v>
      </c>
      <c r="G76" s="2" t="s">
        <v>1222</v>
      </c>
      <c r="H76">
        <v>89669</v>
      </c>
      <c r="I76" s="2" t="s">
        <v>1245</v>
      </c>
      <c r="J76" s="2" t="s">
        <v>1236</v>
      </c>
      <c r="K76" s="1">
        <v>43309</v>
      </c>
      <c r="L76">
        <v>2018</v>
      </c>
      <c r="M76" s="2" t="s">
        <v>1246</v>
      </c>
    </row>
    <row r="77" spans="1:13" x14ac:dyDescent="0.25">
      <c r="A77" s="2" t="s">
        <v>27</v>
      </c>
      <c r="B77" s="2" t="s">
        <v>1408</v>
      </c>
      <c r="C77" s="2" t="s">
        <v>1227</v>
      </c>
      <c r="D77">
        <v>70</v>
      </c>
      <c r="E77" s="2" t="s">
        <v>1263</v>
      </c>
      <c r="F77" s="2" t="s">
        <v>1243</v>
      </c>
      <c r="G77" s="2" t="s">
        <v>1230</v>
      </c>
      <c r="H77">
        <v>172826</v>
      </c>
      <c r="I77" s="2" t="s">
        <v>1223</v>
      </c>
      <c r="J77" s="2" t="s">
        <v>1224</v>
      </c>
      <c r="K77" s="1">
        <v>42917</v>
      </c>
      <c r="L77">
        <v>2017</v>
      </c>
      <c r="M77" s="2" t="s">
        <v>1409</v>
      </c>
    </row>
    <row r="78" spans="1:13" x14ac:dyDescent="0.25">
      <c r="A78" s="2" t="s">
        <v>1410</v>
      </c>
      <c r="B78" s="2" t="s">
        <v>1411</v>
      </c>
      <c r="C78" s="2" t="s">
        <v>1227</v>
      </c>
      <c r="D78">
        <v>61</v>
      </c>
      <c r="E78" s="2" t="s">
        <v>1263</v>
      </c>
      <c r="F78" s="2" t="s">
        <v>1221</v>
      </c>
      <c r="G78" s="2" t="s">
        <v>1222</v>
      </c>
      <c r="H78">
        <v>155044</v>
      </c>
      <c r="I78" s="2" t="s">
        <v>1223</v>
      </c>
      <c r="J78" s="2" t="s">
        <v>1224</v>
      </c>
      <c r="K78" s="1">
        <v>44584</v>
      </c>
      <c r="L78">
        <v>2022</v>
      </c>
      <c r="M78" s="2" t="s">
        <v>1412</v>
      </c>
    </row>
    <row r="79" spans="1:13" x14ac:dyDescent="0.25">
      <c r="A79" s="2" t="s">
        <v>104</v>
      </c>
      <c r="B79" s="2" t="s">
        <v>1413</v>
      </c>
      <c r="C79" s="2" t="s">
        <v>1227</v>
      </c>
      <c r="D79">
        <v>61</v>
      </c>
      <c r="E79" s="2" t="s">
        <v>1263</v>
      </c>
      <c r="F79" s="2" t="s">
        <v>1249</v>
      </c>
      <c r="G79" s="2" t="s">
        <v>1222</v>
      </c>
      <c r="H79">
        <v>90831</v>
      </c>
      <c r="I79" s="2" t="s">
        <v>1245</v>
      </c>
      <c r="J79" s="2" t="s">
        <v>1224</v>
      </c>
      <c r="K79" s="1">
        <v>43302</v>
      </c>
      <c r="L79">
        <v>2018</v>
      </c>
      <c r="M79" s="2" t="s">
        <v>1414</v>
      </c>
    </row>
    <row r="80" spans="1:13" x14ac:dyDescent="0.25">
      <c r="A80" s="2" t="s">
        <v>476</v>
      </c>
      <c r="B80" s="2" t="s">
        <v>1415</v>
      </c>
      <c r="C80" s="2" t="s">
        <v>1219</v>
      </c>
      <c r="D80">
        <v>22</v>
      </c>
      <c r="E80" s="2" t="s">
        <v>1242</v>
      </c>
      <c r="F80" s="2" t="s">
        <v>1221</v>
      </c>
      <c r="G80" s="2" t="s">
        <v>1244</v>
      </c>
      <c r="H80">
        <v>132217</v>
      </c>
      <c r="I80" s="2" t="s">
        <v>1245</v>
      </c>
      <c r="J80" s="2" t="s">
        <v>1231</v>
      </c>
      <c r="K80" s="1">
        <v>44565</v>
      </c>
      <c r="L80">
        <v>2022</v>
      </c>
      <c r="M80" s="2" t="s">
        <v>1416</v>
      </c>
    </row>
    <row r="81" spans="1:13" x14ac:dyDescent="0.25">
      <c r="A81" s="2" t="s">
        <v>1417</v>
      </c>
      <c r="B81" s="2" t="s">
        <v>1418</v>
      </c>
      <c r="C81" s="2" t="s">
        <v>1227</v>
      </c>
      <c r="D81">
        <v>56</v>
      </c>
      <c r="E81" s="2" t="s">
        <v>1228</v>
      </c>
      <c r="F81" s="2" t="s">
        <v>1243</v>
      </c>
      <c r="G81" s="2" t="s">
        <v>1253</v>
      </c>
      <c r="H81">
        <v>61873</v>
      </c>
      <c r="I81" s="2" t="s">
        <v>1250</v>
      </c>
      <c r="J81" s="2" t="s">
        <v>1231</v>
      </c>
      <c r="K81" s="1">
        <v>43200</v>
      </c>
      <c r="L81">
        <v>2018</v>
      </c>
      <c r="M81" s="2" t="s">
        <v>1419</v>
      </c>
    </row>
    <row r="82" spans="1:13" x14ac:dyDescent="0.25">
      <c r="A82" s="2" t="s">
        <v>373</v>
      </c>
      <c r="B82" s="2" t="s">
        <v>1420</v>
      </c>
      <c r="C82" s="2" t="s">
        <v>1219</v>
      </c>
      <c r="D82">
        <v>21</v>
      </c>
      <c r="E82" s="2" t="s">
        <v>1242</v>
      </c>
      <c r="F82" s="2" t="s">
        <v>1243</v>
      </c>
      <c r="G82" s="2" t="s">
        <v>1259</v>
      </c>
      <c r="H82">
        <v>126532</v>
      </c>
      <c r="I82" s="2" t="s">
        <v>1245</v>
      </c>
      <c r="J82" s="2" t="s">
        <v>1224</v>
      </c>
      <c r="K82" s="1">
        <v>45011</v>
      </c>
      <c r="L82">
        <v>2023</v>
      </c>
      <c r="M82" s="2" t="s">
        <v>1421</v>
      </c>
    </row>
    <row r="83" spans="1:13" x14ac:dyDescent="0.25">
      <c r="A83" s="2" t="s">
        <v>333</v>
      </c>
      <c r="B83" s="2" t="s">
        <v>1422</v>
      </c>
      <c r="C83" s="2" t="s">
        <v>1227</v>
      </c>
      <c r="D83">
        <v>23</v>
      </c>
      <c r="E83" s="2" t="s">
        <v>1242</v>
      </c>
      <c r="F83" s="2" t="s">
        <v>1243</v>
      </c>
      <c r="G83" s="2" t="s">
        <v>1230</v>
      </c>
      <c r="H83">
        <v>146267</v>
      </c>
      <c r="I83" s="2" t="s">
        <v>1223</v>
      </c>
      <c r="J83" s="2" t="s">
        <v>1236</v>
      </c>
      <c r="K83" s="1">
        <v>45791</v>
      </c>
      <c r="L83">
        <v>2025</v>
      </c>
      <c r="M83" s="2" t="s">
        <v>1423</v>
      </c>
    </row>
    <row r="84" spans="1:13" x14ac:dyDescent="0.25">
      <c r="A84" s="2" t="s">
        <v>861</v>
      </c>
      <c r="B84" s="2" t="s">
        <v>1424</v>
      </c>
      <c r="C84" s="2" t="s">
        <v>1219</v>
      </c>
      <c r="D84">
        <v>62</v>
      </c>
      <c r="E84" s="2" t="s">
        <v>1263</v>
      </c>
      <c r="F84" s="2" t="s">
        <v>1221</v>
      </c>
      <c r="G84" s="2" t="s">
        <v>1244</v>
      </c>
      <c r="H84">
        <v>160975</v>
      </c>
      <c r="I84" s="2" t="s">
        <v>1223</v>
      </c>
      <c r="J84" s="2" t="s">
        <v>1224</v>
      </c>
      <c r="K84" s="1">
        <v>44302</v>
      </c>
      <c r="L84">
        <v>2021</v>
      </c>
      <c r="M84" s="2" t="s">
        <v>1425</v>
      </c>
    </row>
    <row r="85" spans="1:13" x14ac:dyDescent="0.25">
      <c r="A85" s="2" t="s">
        <v>221</v>
      </c>
      <c r="B85" s="2" t="s">
        <v>1426</v>
      </c>
      <c r="C85" s="2" t="s">
        <v>1227</v>
      </c>
      <c r="D85">
        <v>49</v>
      </c>
      <c r="E85" s="2" t="s">
        <v>1228</v>
      </c>
      <c r="F85" s="2" t="s">
        <v>1249</v>
      </c>
      <c r="G85" s="2" t="s">
        <v>1239</v>
      </c>
      <c r="H85">
        <v>154092</v>
      </c>
      <c r="I85" s="2" t="s">
        <v>1223</v>
      </c>
      <c r="J85" s="2" t="s">
        <v>1236</v>
      </c>
      <c r="K85" s="1">
        <v>44288</v>
      </c>
      <c r="L85">
        <v>2021</v>
      </c>
      <c r="M85" s="2" t="s">
        <v>1427</v>
      </c>
    </row>
    <row r="86" spans="1:13" x14ac:dyDescent="0.25">
      <c r="A86" s="2" t="s">
        <v>551</v>
      </c>
      <c r="B86" s="2" t="s">
        <v>1428</v>
      </c>
      <c r="C86" s="2" t="s">
        <v>1219</v>
      </c>
      <c r="D86">
        <v>69</v>
      </c>
      <c r="E86" s="2" t="s">
        <v>1263</v>
      </c>
      <c r="F86" s="2" t="s">
        <v>1249</v>
      </c>
      <c r="G86" s="2" t="s">
        <v>1253</v>
      </c>
      <c r="H86">
        <v>61755</v>
      </c>
      <c r="I86" s="2" t="s">
        <v>1250</v>
      </c>
      <c r="J86" s="2" t="s">
        <v>1224</v>
      </c>
      <c r="K86" s="1">
        <v>43838</v>
      </c>
      <c r="L86">
        <v>2020</v>
      </c>
      <c r="M86" s="2" t="s">
        <v>1429</v>
      </c>
    </row>
    <row r="87" spans="1:13" x14ac:dyDescent="0.25">
      <c r="A87" s="2" t="s">
        <v>369</v>
      </c>
      <c r="B87" s="2" t="s">
        <v>1430</v>
      </c>
      <c r="C87" s="2" t="s">
        <v>1219</v>
      </c>
      <c r="D87">
        <v>47</v>
      </c>
      <c r="E87" s="2" t="s">
        <v>1228</v>
      </c>
      <c r="F87" s="2" t="s">
        <v>1221</v>
      </c>
      <c r="G87" s="2" t="s">
        <v>1253</v>
      </c>
      <c r="H87">
        <v>105956</v>
      </c>
      <c r="I87" s="2" t="s">
        <v>1245</v>
      </c>
      <c r="J87" s="2" t="s">
        <v>1224</v>
      </c>
      <c r="K87" s="1">
        <v>44285</v>
      </c>
      <c r="L87">
        <v>2021</v>
      </c>
      <c r="M87" s="2" t="s">
        <v>1431</v>
      </c>
    </row>
    <row r="88" spans="1:13" x14ac:dyDescent="0.25">
      <c r="A88" s="2" t="s">
        <v>338</v>
      </c>
      <c r="B88" s="2" t="s">
        <v>1432</v>
      </c>
      <c r="C88" s="2" t="s">
        <v>1227</v>
      </c>
      <c r="D88">
        <v>64</v>
      </c>
      <c r="E88" s="2" t="s">
        <v>1263</v>
      </c>
      <c r="F88" s="2" t="s">
        <v>1249</v>
      </c>
      <c r="G88" s="2" t="s">
        <v>1239</v>
      </c>
      <c r="H88">
        <v>106988</v>
      </c>
      <c r="I88" s="2" t="s">
        <v>1245</v>
      </c>
      <c r="J88" s="2" t="s">
        <v>1224</v>
      </c>
      <c r="K88" s="1">
        <v>45811</v>
      </c>
      <c r="L88">
        <v>2025</v>
      </c>
      <c r="M88" s="2" t="s">
        <v>1433</v>
      </c>
    </row>
    <row r="89" spans="1:13" x14ac:dyDescent="0.25">
      <c r="A89" s="2" t="s">
        <v>1434</v>
      </c>
      <c r="B89" s="2" t="s">
        <v>1435</v>
      </c>
      <c r="C89" s="2" t="s">
        <v>1219</v>
      </c>
      <c r="D89">
        <v>52</v>
      </c>
      <c r="E89" s="2" t="s">
        <v>1228</v>
      </c>
      <c r="F89" s="2" t="s">
        <v>1221</v>
      </c>
      <c r="G89" s="2" t="s">
        <v>1259</v>
      </c>
      <c r="H89">
        <v>65648</v>
      </c>
      <c r="I89" s="2" t="s">
        <v>1250</v>
      </c>
      <c r="J89" s="2" t="s">
        <v>1224</v>
      </c>
      <c r="K89" s="1">
        <v>43744</v>
      </c>
      <c r="L89">
        <v>2019</v>
      </c>
      <c r="M89" s="2" t="s">
        <v>1436</v>
      </c>
    </row>
    <row r="90" spans="1:13" x14ac:dyDescent="0.25">
      <c r="A90" s="2" t="s">
        <v>525</v>
      </c>
      <c r="B90" s="2" t="s">
        <v>1437</v>
      </c>
      <c r="C90" s="2" t="s">
        <v>1227</v>
      </c>
      <c r="D90">
        <v>72</v>
      </c>
      <c r="E90" s="2" t="s">
        <v>1263</v>
      </c>
      <c r="F90" s="2" t="s">
        <v>1249</v>
      </c>
      <c r="G90" s="2" t="s">
        <v>1222</v>
      </c>
      <c r="H90">
        <v>145991</v>
      </c>
      <c r="I90" s="2" t="s">
        <v>1223</v>
      </c>
      <c r="J90" s="2" t="s">
        <v>1224</v>
      </c>
      <c r="K90" s="1">
        <v>44205</v>
      </c>
      <c r="L90">
        <v>2021</v>
      </c>
      <c r="M90" s="2" t="s">
        <v>1438</v>
      </c>
    </row>
    <row r="91" spans="1:13" x14ac:dyDescent="0.25">
      <c r="A91" s="2" t="s">
        <v>114</v>
      </c>
      <c r="B91" s="2" t="s">
        <v>1439</v>
      </c>
      <c r="C91" s="2" t="s">
        <v>1227</v>
      </c>
      <c r="D91">
        <v>57</v>
      </c>
      <c r="E91" s="2" t="s">
        <v>1228</v>
      </c>
      <c r="F91" s="2" t="s">
        <v>1229</v>
      </c>
      <c r="G91" s="2" t="s">
        <v>1244</v>
      </c>
      <c r="H91">
        <v>160588</v>
      </c>
      <c r="I91" s="2" t="s">
        <v>1223</v>
      </c>
      <c r="J91" s="2" t="s">
        <v>1224</v>
      </c>
      <c r="K91" s="1">
        <v>42239</v>
      </c>
      <c r="L91">
        <v>2015</v>
      </c>
      <c r="M91" s="2" t="s">
        <v>1440</v>
      </c>
    </row>
    <row r="92" spans="1:13" x14ac:dyDescent="0.25">
      <c r="A92" s="2" t="s">
        <v>830</v>
      </c>
      <c r="B92" s="2" t="s">
        <v>1441</v>
      </c>
      <c r="C92" s="2" t="s">
        <v>1227</v>
      </c>
      <c r="D92">
        <v>69</v>
      </c>
      <c r="E92" s="2" t="s">
        <v>1263</v>
      </c>
      <c r="F92" s="2" t="s">
        <v>1229</v>
      </c>
      <c r="G92" s="2" t="s">
        <v>1235</v>
      </c>
      <c r="H92">
        <v>135005</v>
      </c>
      <c r="I92" s="2" t="s">
        <v>1245</v>
      </c>
      <c r="J92" s="2" t="s">
        <v>1231</v>
      </c>
      <c r="K92" s="1">
        <v>44775</v>
      </c>
      <c r="L92">
        <v>2022</v>
      </c>
      <c r="M92" s="2" t="s">
        <v>1442</v>
      </c>
    </row>
    <row r="93" spans="1:13" x14ac:dyDescent="0.25">
      <c r="A93" s="2" t="s">
        <v>480</v>
      </c>
      <c r="B93" s="2" t="s">
        <v>1443</v>
      </c>
      <c r="C93" s="2" t="s">
        <v>1227</v>
      </c>
      <c r="D93">
        <v>33</v>
      </c>
      <c r="E93" s="2" t="s">
        <v>1220</v>
      </c>
      <c r="F93" s="2" t="s">
        <v>1243</v>
      </c>
      <c r="G93" s="2" t="s">
        <v>1230</v>
      </c>
      <c r="H93">
        <v>22396</v>
      </c>
      <c r="I93" s="2" t="s">
        <v>1250</v>
      </c>
      <c r="J93" s="2" t="s">
        <v>1224</v>
      </c>
      <c r="K93" s="1">
        <v>42531</v>
      </c>
      <c r="L93">
        <v>2016</v>
      </c>
      <c r="M93" s="2" t="s">
        <v>1444</v>
      </c>
    </row>
    <row r="94" spans="1:13" x14ac:dyDescent="0.25">
      <c r="A94" s="2" t="s">
        <v>996</v>
      </c>
      <c r="B94" s="2" t="s">
        <v>1445</v>
      </c>
      <c r="C94" s="2" t="s">
        <v>1227</v>
      </c>
      <c r="D94">
        <v>30</v>
      </c>
      <c r="E94" s="2" t="s">
        <v>1220</v>
      </c>
      <c r="F94" s="2" t="s">
        <v>1229</v>
      </c>
      <c r="G94" s="2" t="s">
        <v>1235</v>
      </c>
      <c r="H94">
        <v>104082</v>
      </c>
      <c r="I94" s="2" t="s">
        <v>1245</v>
      </c>
      <c r="J94" s="2" t="s">
        <v>1224</v>
      </c>
      <c r="K94" s="1">
        <v>43102</v>
      </c>
      <c r="L94">
        <v>2018</v>
      </c>
      <c r="M94" s="2" t="s">
        <v>1446</v>
      </c>
    </row>
    <row r="95" spans="1:13" x14ac:dyDescent="0.25">
      <c r="A95" s="2" t="s">
        <v>1447</v>
      </c>
      <c r="B95" s="2" t="s">
        <v>1448</v>
      </c>
      <c r="C95" s="2" t="s">
        <v>1227</v>
      </c>
      <c r="D95">
        <v>67</v>
      </c>
      <c r="E95" s="2" t="s">
        <v>1263</v>
      </c>
      <c r="F95" s="2" t="s">
        <v>1229</v>
      </c>
      <c r="G95" s="2" t="s">
        <v>1239</v>
      </c>
      <c r="H95">
        <v>170201</v>
      </c>
      <c r="I95" s="2" t="s">
        <v>1223</v>
      </c>
      <c r="J95" s="2" t="s">
        <v>1231</v>
      </c>
      <c r="K95" s="1">
        <v>45234</v>
      </c>
      <c r="L95">
        <v>2023</v>
      </c>
      <c r="M95" s="2" t="s">
        <v>1449</v>
      </c>
    </row>
    <row r="96" spans="1:13" x14ac:dyDescent="0.25">
      <c r="A96" s="2" t="s">
        <v>1450</v>
      </c>
      <c r="B96" s="2" t="s">
        <v>1451</v>
      </c>
      <c r="C96" s="2" t="s">
        <v>1227</v>
      </c>
      <c r="D96">
        <v>59</v>
      </c>
      <c r="E96" s="2" t="s">
        <v>1228</v>
      </c>
      <c r="F96" s="2" t="s">
        <v>1229</v>
      </c>
      <c r="G96" s="2" t="s">
        <v>1253</v>
      </c>
      <c r="H96">
        <v>148322</v>
      </c>
      <c r="I96" s="2" t="s">
        <v>1223</v>
      </c>
      <c r="J96" s="2" t="s">
        <v>1231</v>
      </c>
      <c r="K96" s="1">
        <v>44381</v>
      </c>
      <c r="L96">
        <v>2021</v>
      </c>
      <c r="M96" s="2" t="s">
        <v>1452</v>
      </c>
    </row>
    <row r="97" spans="1:13" x14ac:dyDescent="0.25">
      <c r="A97" s="2" t="s">
        <v>1453</v>
      </c>
      <c r="B97" s="2" t="s">
        <v>1454</v>
      </c>
      <c r="C97" s="2" t="s">
        <v>1227</v>
      </c>
      <c r="D97">
        <v>47</v>
      </c>
      <c r="E97" s="2" t="s">
        <v>1228</v>
      </c>
      <c r="F97" s="2" t="s">
        <v>1221</v>
      </c>
      <c r="G97" s="2" t="s">
        <v>1259</v>
      </c>
      <c r="H97">
        <v>152663</v>
      </c>
      <c r="I97" s="2" t="s">
        <v>1223</v>
      </c>
      <c r="J97" s="2" t="s">
        <v>1224</v>
      </c>
      <c r="K97" s="1">
        <v>42976</v>
      </c>
      <c r="L97">
        <v>2017</v>
      </c>
      <c r="M97" s="2" t="s">
        <v>1455</v>
      </c>
    </row>
    <row r="98" spans="1:13" x14ac:dyDescent="0.25">
      <c r="A98" s="2" t="s">
        <v>511</v>
      </c>
      <c r="B98" s="2" t="s">
        <v>1456</v>
      </c>
      <c r="C98" s="2" t="s">
        <v>1227</v>
      </c>
      <c r="D98">
        <v>36</v>
      </c>
      <c r="E98" s="2" t="s">
        <v>1220</v>
      </c>
      <c r="F98" s="2" t="s">
        <v>1229</v>
      </c>
      <c r="G98" s="2" t="s">
        <v>1253</v>
      </c>
      <c r="H98">
        <v>31303</v>
      </c>
      <c r="I98" s="2" t="s">
        <v>1250</v>
      </c>
      <c r="J98" s="2" t="s">
        <v>1224</v>
      </c>
      <c r="K98" s="1">
        <v>43091</v>
      </c>
      <c r="L98">
        <v>2017</v>
      </c>
      <c r="M98" s="2" t="s">
        <v>1389</v>
      </c>
    </row>
    <row r="99" spans="1:13" x14ac:dyDescent="0.25">
      <c r="A99" s="2" t="s">
        <v>395</v>
      </c>
      <c r="B99" s="2" t="s">
        <v>1457</v>
      </c>
      <c r="C99" s="2" t="s">
        <v>1227</v>
      </c>
      <c r="D99">
        <v>34</v>
      </c>
      <c r="E99" s="2" t="s">
        <v>1220</v>
      </c>
      <c r="F99" s="2" t="s">
        <v>1229</v>
      </c>
      <c r="G99" s="2" t="s">
        <v>1230</v>
      </c>
      <c r="H99">
        <v>181633</v>
      </c>
      <c r="I99" s="2" t="s">
        <v>1223</v>
      </c>
      <c r="J99" s="2" t="s">
        <v>1224</v>
      </c>
      <c r="K99" s="1">
        <v>45099</v>
      </c>
      <c r="L99">
        <v>2023</v>
      </c>
      <c r="M99" s="2" t="s">
        <v>1458</v>
      </c>
    </row>
    <row r="100" spans="1:13" x14ac:dyDescent="0.25">
      <c r="A100" s="2" t="s">
        <v>446</v>
      </c>
      <c r="B100" s="2" t="s">
        <v>1459</v>
      </c>
      <c r="C100" s="2" t="s">
        <v>1227</v>
      </c>
      <c r="D100">
        <v>73</v>
      </c>
      <c r="E100" s="2" t="s">
        <v>1263</v>
      </c>
      <c r="F100" s="2" t="s">
        <v>1243</v>
      </c>
      <c r="G100" s="2" t="s">
        <v>1253</v>
      </c>
      <c r="H100">
        <v>91719</v>
      </c>
      <c r="I100" s="2" t="s">
        <v>1245</v>
      </c>
      <c r="J100" s="2" t="s">
        <v>1224</v>
      </c>
      <c r="K100" s="1">
        <v>44154</v>
      </c>
      <c r="L100">
        <v>2020</v>
      </c>
      <c r="M100" s="2" t="s">
        <v>1460</v>
      </c>
    </row>
    <row r="101" spans="1:13" x14ac:dyDescent="0.25">
      <c r="A101" s="2" t="s">
        <v>201</v>
      </c>
      <c r="B101" s="2" t="s">
        <v>1461</v>
      </c>
      <c r="C101" s="2" t="s">
        <v>1219</v>
      </c>
      <c r="D101">
        <v>36</v>
      </c>
      <c r="E101" s="2" t="s">
        <v>1220</v>
      </c>
      <c r="F101" s="2" t="s">
        <v>1229</v>
      </c>
      <c r="G101" s="2" t="s">
        <v>1253</v>
      </c>
      <c r="H101">
        <v>119616</v>
      </c>
      <c r="I101" s="2" t="s">
        <v>1245</v>
      </c>
      <c r="J101" s="2" t="s">
        <v>1231</v>
      </c>
      <c r="K101" s="1">
        <v>44942</v>
      </c>
      <c r="L101">
        <v>2023</v>
      </c>
      <c r="M101" s="2" t="s">
        <v>1462</v>
      </c>
    </row>
    <row r="102" spans="1:13" x14ac:dyDescent="0.25">
      <c r="A102" s="2" t="s">
        <v>593</v>
      </c>
      <c r="B102" s="2" t="s">
        <v>1463</v>
      </c>
      <c r="C102" s="2" t="s">
        <v>1219</v>
      </c>
      <c r="D102">
        <v>45</v>
      </c>
      <c r="E102" s="2" t="s">
        <v>1228</v>
      </c>
      <c r="F102" s="2" t="s">
        <v>1229</v>
      </c>
      <c r="G102" s="2" t="s">
        <v>1230</v>
      </c>
      <c r="H102">
        <v>144165</v>
      </c>
      <c r="I102" s="2" t="s">
        <v>1223</v>
      </c>
      <c r="J102" s="2" t="s">
        <v>1224</v>
      </c>
      <c r="K102" s="1">
        <v>44018</v>
      </c>
      <c r="L102">
        <v>2020</v>
      </c>
      <c r="M102" s="2" t="s">
        <v>1464</v>
      </c>
    </row>
    <row r="103" spans="1:13" x14ac:dyDescent="0.25">
      <c r="A103" s="2" t="s">
        <v>638</v>
      </c>
      <c r="B103" s="2" t="s">
        <v>1465</v>
      </c>
      <c r="C103" s="2" t="s">
        <v>1227</v>
      </c>
      <c r="D103">
        <v>72</v>
      </c>
      <c r="E103" s="2" t="s">
        <v>1263</v>
      </c>
      <c r="F103" s="2" t="s">
        <v>1249</v>
      </c>
      <c r="G103" s="2" t="s">
        <v>1244</v>
      </c>
      <c r="H103">
        <v>106231</v>
      </c>
      <c r="I103" s="2" t="s">
        <v>1245</v>
      </c>
      <c r="J103" s="2" t="s">
        <v>1224</v>
      </c>
      <c r="K103" s="1">
        <v>44560</v>
      </c>
      <c r="L103">
        <v>2021</v>
      </c>
      <c r="M103" s="2" t="s">
        <v>1466</v>
      </c>
    </row>
    <row r="104" spans="1:13" x14ac:dyDescent="0.25">
      <c r="A104" s="2" t="s">
        <v>1146</v>
      </c>
      <c r="B104" s="2" t="s">
        <v>1467</v>
      </c>
      <c r="C104" s="2" t="s">
        <v>1227</v>
      </c>
      <c r="D104">
        <v>43</v>
      </c>
      <c r="E104" s="2" t="s">
        <v>1220</v>
      </c>
      <c r="F104" s="2" t="s">
        <v>1243</v>
      </c>
      <c r="G104" s="2" t="s">
        <v>1244</v>
      </c>
      <c r="H104">
        <v>27314</v>
      </c>
      <c r="I104" s="2" t="s">
        <v>1250</v>
      </c>
      <c r="J104" s="2" t="s">
        <v>1231</v>
      </c>
      <c r="K104" s="1">
        <v>44706</v>
      </c>
      <c r="L104">
        <v>2022</v>
      </c>
      <c r="M104" s="2" t="s">
        <v>1468</v>
      </c>
    </row>
    <row r="105" spans="1:13" x14ac:dyDescent="0.25">
      <c r="A105" s="2" t="s">
        <v>564</v>
      </c>
      <c r="B105" s="2" t="s">
        <v>1469</v>
      </c>
      <c r="C105" s="2" t="s">
        <v>1227</v>
      </c>
      <c r="D105">
        <v>54</v>
      </c>
      <c r="E105" s="2" t="s">
        <v>1228</v>
      </c>
      <c r="F105" s="2" t="s">
        <v>1243</v>
      </c>
      <c r="G105" s="2" t="s">
        <v>1230</v>
      </c>
      <c r="H105">
        <v>39623</v>
      </c>
      <c r="I105" s="2" t="s">
        <v>1250</v>
      </c>
      <c r="J105" s="2" t="s">
        <v>1224</v>
      </c>
      <c r="K105" s="1">
        <v>42645</v>
      </c>
      <c r="L105">
        <v>2016</v>
      </c>
      <c r="M105" s="2" t="s">
        <v>1470</v>
      </c>
    </row>
    <row r="106" spans="1:13" x14ac:dyDescent="0.25">
      <c r="A106" s="2" t="s">
        <v>1196</v>
      </c>
      <c r="B106" s="2" t="s">
        <v>1471</v>
      </c>
      <c r="C106" s="2" t="s">
        <v>1227</v>
      </c>
      <c r="D106">
        <v>43</v>
      </c>
      <c r="E106" s="2" t="s">
        <v>1220</v>
      </c>
      <c r="F106" s="2" t="s">
        <v>1243</v>
      </c>
      <c r="G106" s="2" t="s">
        <v>1259</v>
      </c>
      <c r="H106">
        <v>125228</v>
      </c>
      <c r="I106" s="2" t="s">
        <v>1245</v>
      </c>
      <c r="J106" s="2" t="s">
        <v>1224</v>
      </c>
      <c r="K106" s="1">
        <v>45748</v>
      </c>
      <c r="L106">
        <v>2025</v>
      </c>
      <c r="M106" s="2" t="s">
        <v>1472</v>
      </c>
    </row>
    <row r="107" spans="1:13" x14ac:dyDescent="0.25">
      <c r="A107" s="2" t="s">
        <v>235</v>
      </c>
      <c r="B107" s="2" t="s">
        <v>1473</v>
      </c>
      <c r="C107" s="2" t="s">
        <v>1227</v>
      </c>
      <c r="D107">
        <v>70</v>
      </c>
      <c r="E107" s="2" t="s">
        <v>1263</v>
      </c>
      <c r="F107" s="2" t="s">
        <v>1243</v>
      </c>
      <c r="G107" s="2" t="s">
        <v>1239</v>
      </c>
      <c r="H107">
        <v>184202</v>
      </c>
      <c r="I107" s="2" t="s">
        <v>1223</v>
      </c>
      <c r="J107" s="2" t="s">
        <v>1224</v>
      </c>
      <c r="K107" s="1">
        <v>42940</v>
      </c>
      <c r="L107">
        <v>2017</v>
      </c>
      <c r="M107" s="2" t="s">
        <v>1474</v>
      </c>
    </row>
    <row r="108" spans="1:13" x14ac:dyDescent="0.25">
      <c r="A108" s="2" t="s">
        <v>132</v>
      </c>
      <c r="B108" s="2" t="s">
        <v>1475</v>
      </c>
      <c r="C108" s="2" t="s">
        <v>1227</v>
      </c>
      <c r="D108">
        <v>40</v>
      </c>
      <c r="E108" s="2" t="s">
        <v>1220</v>
      </c>
      <c r="F108" s="2" t="s">
        <v>1243</v>
      </c>
      <c r="G108" s="2" t="s">
        <v>1253</v>
      </c>
      <c r="H108">
        <v>117624</v>
      </c>
      <c r="I108" s="2" t="s">
        <v>1245</v>
      </c>
      <c r="J108" s="2" t="s">
        <v>1236</v>
      </c>
      <c r="K108" s="1">
        <v>45720</v>
      </c>
      <c r="L108">
        <v>2025</v>
      </c>
      <c r="M108" s="2" t="s">
        <v>1476</v>
      </c>
    </row>
    <row r="109" spans="1:13" x14ac:dyDescent="0.25">
      <c r="A109" s="2" t="s">
        <v>743</v>
      </c>
      <c r="B109" s="2" t="s">
        <v>1477</v>
      </c>
      <c r="C109" s="2" t="s">
        <v>1227</v>
      </c>
      <c r="D109">
        <v>26</v>
      </c>
      <c r="E109" s="2" t="s">
        <v>1242</v>
      </c>
      <c r="F109" s="2" t="s">
        <v>1243</v>
      </c>
      <c r="G109" s="2" t="s">
        <v>1259</v>
      </c>
      <c r="H109">
        <v>177364</v>
      </c>
      <c r="I109" s="2" t="s">
        <v>1223</v>
      </c>
      <c r="J109" s="2" t="s">
        <v>1224</v>
      </c>
      <c r="K109" s="1">
        <v>44224</v>
      </c>
      <c r="L109">
        <v>2021</v>
      </c>
      <c r="M109" s="2" t="s">
        <v>1478</v>
      </c>
    </row>
    <row r="110" spans="1:13" x14ac:dyDescent="0.25">
      <c r="A110" s="2" t="s">
        <v>24</v>
      </c>
      <c r="B110" s="2" t="s">
        <v>1479</v>
      </c>
      <c r="C110" s="2" t="s">
        <v>1227</v>
      </c>
      <c r="D110">
        <v>29</v>
      </c>
      <c r="E110" s="2" t="s">
        <v>1220</v>
      </c>
      <c r="F110" s="2" t="s">
        <v>1221</v>
      </c>
      <c r="G110" s="2" t="s">
        <v>1253</v>
      </c>
      <c r="H110">
        <v>131785</v>
      </c>
      <c r="I110" s="2" t="s">
        <v>1245</v>
      </c>
      <c r="J110" s="2" t="s">
        <v>1231</v>
      </c>
      <c r="K110" s="1">
        <v>44077</v>
      </c>
      <c r="L110">
        <v>2020</v>
      </c>
      <c r="M110" s="2" t="s">
        <v>1480</v>
      </c>
    </row>
    <row r="111" spans="1:13" x14ac:dyDescent="0.25">
      <c r="A111" s="2" t="s">
        <v>863</v>
      </c>
      <c r="B111" s="2" t="s">
        <v>1481</v>
      </c>
      <c r="C111" s="2" t="s">
        <v>1219</v>
      </c>
      <c r="D111">
        <v>70</v>
      </c>
      <c r="E111" s="2" t="s">
        <v>1263</v>
      </c>
      <c r="F111" s="2" t="s">
        <v>1229</v>
      </c>
      <c r="G111" s="2" t="s">
        <v>1239</v>
      </c>
      <c r="H111">
        <v>106206</v>
      </c>
      <c r="I111" s="2" t="s">
        <v>1245</v>
      </c>
      <c r="J111" s="2" t="s">
        <v>1224</v>
      </c>
      <c r="K111" s="1">
        <v>43256</v>
      </c>
      <c r="L111">
        <v>2018</v>
      </c>
      <c r="M111" s="2" t="s">
        <v>1482</v>
      </c>
    </row>
    <row r="112" spans="1:13" x14ac:dyDescent="0.25">
      <c r="A112" s="2" t="s">
        <v>1483</v>
      </c>
      <c r="B112" s="2" t="s">
        <v>1484</v>
      </c>
      <c r="C112" s="2" t="s">
        <v>1227</v>
      </c>
      <c r="D112">
        <v>18</v>
      </c>
      <c r="E112" s="2" t="s">
        <v>1242</v>
      </c>
      <c r="F112" s="2" t="s">
        <v>1243</v>
      </c>
      <c r="G112" s="2" t="s">
        <v>1244</v>
      </c>
      <c r="H112">
        <v>89274</v>
      </c>
      <c r="I112" s="2" t="s">
        <v>1245</v>
      </c>
      <c r="J112" s="2" t="s">
        <v>1224</v>
      </c>
      <c r="K112" s="1">
        <v>43657</v>
      </c>
      <c r="L112">
        <v>2019</v>
      </c>
      <c r="M112" s="2" t="s">
        <v>1485</v>
      </c>
    </row>
    <row r="113" spans="1:13" x14ac:dyDescent="0.25">
      <c r="A113" s="2" t="s">
        <v>414</v>
      </c>
      <c r="B113" s="2" t="s">
        <v>1486</v>
      </c>
      <c r="C113" s="2" t="s">
        <v>1219</v>
      </c>
      <c r="D113">
        <v>18</v>
      </c>
      <c r="E113" s="2" t="s">
        <v>1242</v>
      </c>
      <c r="F113" s="2" t="s">
        <v>1229</v>
      </c>
      <c r="G113" s="2" t="s">
        <v>1259</v>
      </c>
      <c r="H113">
        <v>153541</v>
      </c>
      <c r="I113" s="2" t="s">
        <v>1223</v>
      </c>
      <c r="J113" s="2" t="s">
        <v>1231</v>
      </c>
      <c r="K113" s="1">
        <v>43931</v>
      </c>
      <c r="L113">
        <v>2020</v>
      </c>
      <c r="M113" s="2" t="s">
        <v>1487</v>
      </c>
    </row>
    <row r="114" spans="1:13" x14ac:dyDescent="0.25">
      <c r="A114" s="2" t="s">
        <v>57</v>
      </c>
      <c r="B114" s="2" t="s">
        <v>1488</v>
      </c>
      <c r="C114" s="2" t="s">
        <v>1227</v>
      </c>
      <c r="D114">
        <v>64</v>
      </c>
      <c r="E114" s="2" t="s">
        <v>1263</v>
      </c>
      <c r="F114" s="2" t="s">
        <v>1229</v>
      </c>
      <c r="G114" s="2" t="s">
        <v>1222</v>
      </c>
      <c r="H114">
        <v>73947</v>
      </c>
      <c r="I114" s="2" t="s">
        <v>1250</v>
      </c>
      <c r="J114" s="2" t="s">
        <v>1236</v>
      </c>
      <c r="K114" s="1">
        <v>42445</v>
      </c>
      <c r="L114">
        <v>2016</v>
      </c>
      <c r="M114" s="2" t="s">
        <v>1489</v>
      </c>
    </row>
    <row r="115" spans="1:13" x14ac:dyDescent="0.25">
      <c r="A115" s="2" t="s">
        <v>583</v>
      </c>
      <c r="B115" s="2" t="s">
        <v>1490</v>
      </c>
      <c r="C115" s="2" t="s">
        <v>1227</v>
      </c>
      <c r="D115">
        <v>51</v>
      </c>
      <c r="E115" s="2" t="s">
        <v>1228</v>
      </c>
      <c r="F115" s="2" t="s">
        <v>1221</v>
      </c>
      <c r="G115" s="2" t="s">
        <v>1222</v>
      </c>
      <c r="H115">
        <v>173606</v>
      </c>
      <c r="I115" s="2" t="s">
        <v>1223</v>
      </c>
      <c r="J115" s="2" t="s">
        <v>1231</v>
      </c>
      <c r="K115" s="1">
        <v>43658</v>
      </c>
      <c r="L115">
        <v>2019</v>
      </c>
      <c r="M115" s="2" t="s">
        <v>1491</v>
      </c>
    </row>
    <row r="116" spans="1:13" x14ac:dyDescent="0.25">
      <c r="A116" s="2" t="s">
        <v>818</v>
      </c>
      <c r="B116" s="2" t="s">
        <v>1492</v>
      </c>
      <c r="C116" s="2" t="s">
        <v>1219</v>
      </c>
      <c r="D116">
        <v>49</v>
      </c>
      <c r="E116" s="2" t="s">
        <v>1228</v>
      </c>
      <c r="F116" s="2" t="s">
        <v>1243</v>
      </c>
      <c r="G116" s="2" t="s">
        <v>1222</v>
      </c>
      <c r="H116">
        <v>68874</v>
      </c>
      <c r="I116" s="2" t="s">
        <v>1250</v>
      </c>
      <c r="J116" s="2" t="s">
        <v>1231</v>
      </c>
      <c r="K116" s="1">
        <v>45532</v>
      </c>
      <c r="L116">
        <v>2024</v>
      </c>
      <c r="M116" s="2" t="s">
        <v>1493</v>
      </c>
    </row>
    <row r="117" spans="1:13" x14ac:dyDescent="0.25">
      <c r="A117" s="2" t="s">
        <v>66</v>
      </c>
      <c r="B117" s="2" t="s">
        <v>1494</v>
      </c>
      <c r="C117" s="2" t="s">
        <v>1227</v>
      </c>
      <c r="D117">
        <v>71</v>
      </c>
      <c r="E117" s="2" t="s">
        <v>1263</v>
      </c>
      <c r="F117" s="2" t="s">
        <v>1249</v>
      </c>
      <c r="G117" s="2" t="s">
        <v>1244</v>
      </c>
      <c r="H117">
        <v>69708</v>
      </c>
      <c r="I117" s="2" t="s">
        <v>1250</v>
      </c>
      <c r="J117" s="2" t="s">
        <v>1231</v>
      </c>
      <c r="K117" s="1">
        <v>45797</v>
      </c>
      <c r="L117">
        <v>2025</v>
      </c>
      <c r="M117" s="2" t="s">
        <v>1495</v>
      </c>
    </row>
    <row r="118" spans="1:13" x14ac:dyDescent="0.25">
      <c r="A118" s="2" t="s">
        <v>36</v>
      </c>
      <c r="B118" s="2" t="s">
        <v>1496</v>
      </c>
      <c r="C118" s="2" t="s">
        <v>1219</v>
      </c>
      <c r="D118">
        <v>65</v>
      </c>
      <c r="E118" s="2" t="s">
        <v>1263</v>
      </c>
      <c r="F118" s="2" t="s">
        <v>1221</v>
      </c>
      <c r="G118" s="2" t="s">
        <v>1244</v>
      </c>
      <c r="H118">
        <v>94553</v>
      </c>
      <c r="I118" s="2" t="s">
        <v>1245</v>
      </c>
      <c r="J118" s="2" t="s">
        <v>1224</v>
      </c>
      <c r="K118" s="1">
        <v>45706</v>
      </c>
      <c r="L118">
        <v>2025</v>
      </c>
      <c r="M118" s="2" t="s">
        <v>1497</v>
      </c>
    </row>
    <row r="119" spans="1:13" x14ac:dyDescent="0.25">
      <c r="A119" s="2" t="s">
        <v>80</v>
      </c>
      <c r="B119" s="2" t="s">
        <v>1498</v>
      </c>
      <c r="C119" s="2" t="s">
        <v>1227</v>
      </c>
      <c r="D119">
        <v>42</v>
      </c>
      <c r="E119" s="2" t="s">
        <v>1220</v>
      </c>
      <c r="F119" s="2" t="s">
        <v>1249</v>
      </c>
      <c r="G119" s="2" t="s">
        <v>1239</v>
      </c>
      <c r="H119">
        <v>88344</v>
      </c>
      <c r="I119" s="2" t="s">
        <v>1245</v>
      </c>
      <c r="J119" s="2" t="s">
        <v>1224</v>
      </c>
      <c r="K119" s="1">
        <v>45720</v>
      </c>
      <c r="L119">
        <v>2025</v>
      </c>
      <c r="M119" s="2" t="s">
        <v>1476</v>
      </c>
    </row>
    <row r="120" spans="1:13" x14ac:dyDescent="0.25">
      <c r="A120" s="2" t="s">
        <v>1499</v>
      </c>
      <c r="B120" s="2" t="s">
        <v>1500</v>
      </c>
      <c r="C120" s="2" t="s">
        <v>1227</v>
      </c>
      <c r="D120">
        <v>57</v>
      </c>
      <c r="E120" s="2" t="s">
        <v>1228</v>
      </c>
      <c r="F120" s="2" t="s">
        <v>1229</v>
      </c>
      <c r="G120" s="2" t="s">
        <v>1253</v>
      </c>
      <c r="H120">
        <v>69138</v>
      </c>
      <c r="I120" s="2" t="s">
        <v>1250</v>
      </c>
      <c r="J120" s="2" t="s">
        <v>1231</v>
      </c>
      <c r="K120" s="1">
        <v>43821</v>
      </c>
      <c r="L120">
        <v>2019</v>
      </c>
      <c r="M120" s="2" t="s">
        <v>1501</v>
      </c>
    </row>
    <row r="121" spans="1:13" x14ac:dyDescent="0.25">
      <c r="A121" s="2" t="s">
        <v>251</v>
      </c>
      <c r="B121" s="2" t="s">
        <v>1502</v>
      </c>
      <c r="C121" s="2" t="s">
        <v>1219</v>
      </c>
      <c r="D121">
        <v>62</v>
      </c>
      <c r="E121" s="2" t="s">
        <v>1263</v>
      </c>
      <c r="F121" s="2" t="s">
        <v>1229</v>
      </c>
      <c r="G121" s="2" t="s">
        <v>1239</v>
      </c>
      <c r="H121">
        <v>67638</v>
      </c>
      <c r="I121" s="2" t="s">
        <v>1250</v>
      </c>
      <c r="J121" s="2" t="s">
        <v>1224</v>
      </c>
      <c r="K121" s="1">
        <v>43555</v>
      </c>
      <c r="L121">
        <v>2019</v>
      </c>
      <c r="M121" s="2" t="s">
        <v>1503</v>
      </c>
    </row>
    <row r="122" spans="1:13" x14ac:dyDescent="0.25">
      <c r="A122" s="2" t="s">
        <v>882</v>
      </c>
      <c r="B122" s="2" t="s">
        <v>1504</v>
      </c>
      <c r="C122" s="2" t="s">
        <v>1227</v>
      </c>
      <c r="D122">
        <v>70</v>
      </c>
      <c r="E122" s="2" t="s">
        <v>1263</v>
      </c>
      <c r="F122" s="2" t="s">
        <v>1221</v>
      </c>
      <c r="G122" s="2" t="s">
        <v>1239</v>
      </c>
      <c r="H122">
        <v>98249</v>
      </c>
      <c r="I122" s="2" t="s">
        <v>1245</v>
      </c>
      <c r="J122" s="2" t="s">
        <v>1231</v>
      </c>
      <c r="K122" s="1">
        <v>45094</v>
      </c>
      <c r="L122">
        <v>2023</v>
      </c>
      <c r="M122" s="2" t="s">
        <v>1505</v>
      </c>
    </row>
    <row r="123" spans="1:13" x14ac:dyDescent="0.25">
      <c r="A123" s="2" t="s">
        <v>1506</v>
      </c>
      <c r="B123" s="2" t="s">
        <v>1507</v>
      </c>
      <c r="C123" s="2" t="s">
        <v>1219</v>
      </c>
      <c r="D123">
        <v>18</v>
      </c>
      <c r="E123" s="2" t="s">
        <v>1242</v>
      </c>
      <c r="F123" s="2" t="s">
        <v>1221</v>
      </c>
      <c r="G123" s="2" t="s">
        <v>1244</v>
      </c>
      <c r="H123">
        <v>125865</v>
      </c>
      <c r="I123" s="2" t="s">
        <v>1245</v>
      </c>
      <c r="J123" s="2" t="s">
        <v>1236</v>
      </c>
      <c r="K123" s="1">
        <v>42270</v>
      </c>
      <c r="L123">
        <v>2015</v>
      </c>
      <c r="M123" s="2" t="s">
        <v>1508</v>
      </c>
    </row>
    <row r="124" spans="1:13" x14ac:dyDescent="0.25">
      <c r="A124" s="2" t="s">
        <v>1509</v>
      </c>
      <c r="B124" s="2" t="s">
        <v>1510</v>
      </c>
      <c r="C124" s="2" t="s">
        <v>1227</v>
      </c>
      <c r="D124">
        <v>33</v>
      </c>
      <c r="E124" s="2" t="s">
        <v>1220</v>
      </c>
      <c r="F124" s="2" t="s">
        <v>1249</v>
      </c>
      <c r="G124" s="2" t="s">
        <v>1222</v>
      </c>
      <c r="H124">
        <v>22719</v>
      </c>
      <c r="I124" s="2" t="s">
        <v>1250</v>
      </c>
      <c r="J124" s="2" t="s">
        <v>1224</v>
      </c>
      <c r="K124" s="1">
        <v>42921</v>
      </c>
      <c r="L124">
        <v>2017</v>
      </c>
      <c r="M124" s="2" t="s">
        <v>1511</v>
      </c>
    </row>
    <row r="125" spans="1:13" x14ac:dyDescent="0.25">
      <c r="A125" s="2" t="s">
        <v>106</v>
      </c>
      <c r="B125" s="2" t="s">
        <v>1512</v>
      </c>
      <c r="C125" s="2" t="s">
        <v>1219</v>
      </c>
      <c r="D125">
        <v>56</v>
      </c>
      <c r="E125" s="2" t="s">
        <v>1228</v>
      </c>
      <c r="F125" s="2" t="s">
        <v>1243</v>
      </c>
      <c r="G125" s="2" t="s">
        <v>1235</v>
      </c>
      <c r="H125">
        <v>173962</v>
      </c>
      <c r="I125" s="2" t="s">
        <v>1223</v>
      </c>
      <c r="J125" s="2" t="s">
        <v>1224</v>
      </c>
      <c r="K125" s="1">
        <v>44752</v>
      </c>
      <c r="L125">
        <v>2022</v>
      </c>
      <c r="M125" s="2" t="s">
        <v>1338</v>
      </c>
    </row>
    <row r="126" spans="1:13" x14ac:dyDescent="0.25">
      <c r="A126" s="2" t="s">
        <v>427</v>
      </c>
      <c r="B126" s="2" t="s">
        <v>1513</v>
      </c>
      <c r="C126" s="2" t="s">
        <v>1219</v>
      </c>
      <c r="D126">
        <v>22</v>
      </c>
      <c r="E126" s="2" t="s">
        <v>1242</v>
      </c>
      <c r="F126" s="2" t="s">
        <v>1249</v>
      </c>
      <c r="G126" s="2" t="s">
        <v>1253</v>
      </c>
      <c r="H126">
        <v>187581</v>
      </c>
      <c r="I126" s="2" t="s">
        <v>1223</v>
      </c>
      <c r="J126" s="2" t="s">
        <v>1231</v>
      </c>
      <c r="K126" s="1">
        <v>42754</v>
      </c>
      <c r="L126">
        <v>2017</v>
      </c>
      <c r="M126" s="2" t="s">
        <v>1514</v>
      </c>
    </row>
    <row r="127" spans="1:13" x14ac:dyDescent="0.25">
      <c r="A127" s="2" t="s">
        <v>186</v>
      </c>
      <c r="B127" s="2" t="s">
        <v>1515</v>
      </c>
      <c r="C127" s="2" t="s">
        <v>1227</v>
      </c>
      <c r="D127">
        <v>39</v>
      </c>
      <c r="E127" s="2" t="s">
        <v>1220</v>
      </c>
      <c r="F127" s="2" t="s">
        <v>1221</v>
      </c>
      <c r="G127" s="2" t="s">
        <v>1244</v>
      </c>
      <c r="H127">
        <v>62534</v>
      </c>
      <c r="I127" s="2" t="s">
        <v>1250</v>
      </c>
      <c r="J127" s="2" t="s">
        <v>1224</v>
      </c>
      <c r="K127" s="1">
        <v>43891</v>
      </c>
      <c r="L127">
        <v>2020</v>
      </c>
      <c r="M127" s="2" t="s">
        <v>1516</v>
      </c>
    </row>
    <row r="128" spans="1:13" x14ac:dyDescent="0.25">
      <c r="A128" s="2" t="s">
        <v>297</v>
      </c>
      <c r="B128" s="2" t="s">
        <v>1517</v>
      </c>
      <c r="C128" s="2" t="s">
        <v>1227</v>
      </c>
      <c r="D128">
        <v>46</v>
      </c>
      <c r="E128" s="2" t="s">
        <v>1228</v>
      </c>
      <c r="F128" s="2" t="s">
        <v>1249</v>
      </c>
      <c r="G128" s="2" t="s">
        <v>1222</v>
      </c>
      <c r="H128">
        <v>112241</v>
      </c>
      <c r="I128" s="2" t="s">
        <v>1245</v>
      </c>
      <c r="J128" s="2" t="s">
        <v>1231</v>
      </c>
      <c r="K128" s="1">
        <v>42374</v>
      </c>
      <c r="L128">
        <v>2016</v>
      </c>
      <c r="M128" s="2" t="s">
        <v>1518</v>
      </c>
    </row>
    <row r="129" spans="1:13" x14ac:dyDescent="0.25">
      <c r="A129" s="2" t="s">
        <v>645</v>
      </c>
      <c r="B129" s="2" t="s">
        <v>1519</v>
      </c>
      <c r="C129" s="2" t="s">
        <v>1219</v>
      </c>
      <c r="D129">
        <v>72</v>
      </c>
      <c r="E129" s="2" t="s">
        <v>1263</v>
      </c>
      <c r="F129" s="2" t="s">
        <v>1221</v>
      </c>
      <c r="G129" s="2" t="s">
        <v>1259</v>
      </c>
      <c r="H129">
        <v>169859</v>
      </c>
      <c r="I129" s="2" t="s">
        <v>1223</v>
      </c>
      <c r="J129" s="2" t="s">
        <v>1224</v>
      </c>
      <c r="K129" s="1">
        <v>45039</v>
      </c>
      <c r="L129">
        <v>2023</v>
      </c>
      <c r="M129" s="2" t="s">
        <v>1520</v>
      </c>
    </row>
    <row r="130" spans="1:13" x14ac:dyDescent="0.25">
      <c r="A130" s="2" t="s">
        <v>196</v>
      </c>
      <c r="B130" s="2" t="s">
        <v>1521</v>
      </c>
      <c r="C130" s="2" t="s">
        <v>1227</v>
      </c>
      <c r="D130">
        <v>20</v>
      </c>
      <c r="E130" s="2" t="s">
        <v>1242</v>
      </c>
      <c r="F130" s="2" t="s">
        <v>1249</v>
      </c>
      <c r="G130" s="2" t="s">
        <v>1235</v>
      </c>
      <c r="H130">
        <v>146209</v>
      </c>
      <c r="I130" s="2" t="s">
        <v>1223</v>
      </c>
      <c r="J130" s="2" t="s">
        <v>1231</v>
      </c>
      <c r="K130" s="1">
        <v>43517</v>
      </c>
      <c r="L130">
        <v>2019</v>
      </c>
      <c r="M130" s="2" t="s">
        <v>1522</v>
      </c>
    </row>
    <row r="131" spans="1:13" x14ac:dyDescent="0.25">
      <c r="A131" s="2" t="s">
        <v>1523</v>
      </c>
      <c r="B131" s="2" t="s">
        <v>1524</v>
      </c>
      <c r="C131" s="2" t="s">
        <v>1227</v>
      </c>
      <c r="D131">
        <v>29</v>
      </c>
      <c r="E131" s="2" t="s">
        <v>1220</v>
      </c>
      <c r="F131" s="2" t="s">
        <v>1221</v>
      </c>
      <c r="G131" s="2" t="s">
        <v>1235</v>
      </c>
      <c r="H131">
        <v>199917</v>
      </c>
      <c r="I131" s="2" t="s">
        <v>1223</v>
      </c>
      <c r="J131" s="2" t="s">
        <v>1224</v>
      </c>
      <c r="K131" s="1">
        <v>45498</v>
      </c>
      <c r="L131">
        <v>2024</v>
      </c>
      <c r="M131" s="2" t="s">
        <v>1525</v>
      </c>
    </row>
    <row r="132" spans="1:13" x14ac:dyDescent="0.25">
      <c r="A132" s="2" t="s">
        <v>336</v>
      </c>
      <c r="B132" s="2" t="s">
        <v>1526</v>
      </c>
      <c r="C132" s="2" t="s">
        <v>1227</v>
      </c>
      <c r="D132">
        <v>43</v>
      </c>
      <c r="E132" s="2" t="s">
        <v>1220</v>
      </c>
      <c r="F132" s="2" t="s">
        <v>1221</v>
      </c>
      <c r="G132" s="2" t="s">
        <v>1244</v>
      </c>
      <c r="H132">
        <v>112124</v>
      </c>
      <c r="I132" s="2" t="s">
        <v>1245</v>
      </c>
      <c r="J132" s="2" t="s">
        <v>1231</v>
      </c>
      <c r="K132" s="1">
        <v>43955</v>
      </c>
      <c r="L132">
        <v>2020</v>
      </c>
      <c r="M132" s="2" t="s">
        <v>1527</v>
      </c>
    </row>
    <row r="133" spans="1:13" x14ac:dyDescent="0.25">
      <c r="A133" s="2" t="s">
        <v>1008</v>
      </c>
      <c r="B133" s="2" t="s">
        <v>1528</v>
      </c>
      <c r="C133" s="2" t="s">
        <v>1219</v>
      </c>
      <c r="D133">
        <v>33</v>
      </c>
      <c r="E133" s="2" t="s">
        <v>1220</v>
      </c>
      <c r="F133" s="2" t="s">
        <v>1221</v>
      </c>
      <c r="G133" s="2" t="s">
        <v>1230</v>
      </c>
      <c r="H133">
        <v>111659</v>
      </c>
      <c r="I133" s="2" t="s">
        <v>1245</v>
      </c>
      <c r="J133" s="2" t="s">
        <v>1224</v>
      </c>
      <c r="K133" s="1">
        <v>43143</v>
      </c>
      <c r="L133">
        <v>2018</v>
      </c>
      <c r="M133" s="2" t="s">
        <v>1529</v>
      </c>
    </row>
    <row r="134" spans="1:13" x14ac:dyDescent="0.25">
      <c r="A134" s="2" t="s">
        <v>664</v>
      </c>
      <c r="B134" s="2" t="s">
        <v>1530</v>
      </c>
      <c r="C134" s="2" t="s">
        <v>1219</v>
      </c>
      <c r="D134">
        <v>68</v>
      </c>
      <c r="E134" s="2" t="s">
        <v>1263</v>
      </c>
      <c r="F134" s="2" t="s">
        <v>1243</v>
      </c>
      <c r="G134" s="2" t="s">
        <v>1253</v>
      </c>
      <c r="H134">
        <v>184134</v>
      </c>
      <c r="I134" s="2" t="s">
        <v>1223</v>
      </c>
      <c r="J134" s="2" t="s">
        <v>1224</v>
      </c>
      <c r="K134" s="1">
        <v>44454</v>
      </c>
      <c r="L134">
        <v>2021</v>
      </c>
      <c r="M134" s="2" t="s">
        <v>1531</v>
      </c>
    </row>
    <row r="135" spans="1:13" x14ac:dyDescent="0.25">
      <c r="A135" s="2" t="s">
        <v>678</v>
      </c>
      <c r="B135" s="2" t="s">
        <v>1532</v>
      </c>
      <c r="C135" s="2" t="s">
        <v>1219</v>
      </c>
      <c r="D135">
        <v>54</v>
      </c>
      <c r="E135" s="2" t="s">
        <v>1228</v>
      </c>
      <c r="F135" s="2" t="s">
        <v>1249</v>
      </c>
      <c r="G135" s="2" t="s">
        <v>1235</v>
      </c>
      <c r="H135">
        <v>95713</v>
      </c>
      <c r="I135" s="2" t="s">
        <v>1245</v>
      </c>
      <c r="J135" s="2" t="s">
        <v>1224</v>
      </c>
      <c r="K135" s="1">
        <v>43302</v>
      </c>
      <c r="L135">
        <v>2018</v>
      </c>
      <c r="M135" s="2" t="s">
        <v>1414</v>
      </c>
    </row>
    <row r="136" spans="1:13" x14ac:dyDescent="0.25">
      <c r="A136" s="2" t="s">
        <v>1533</v>
      </c>
      <c r="B136" s="2" t="s">
        <v>1534</v>
      </c>
      <c r="C136" s="2" t="s">
        <v>1219</v>
      </c>
      <c r="D136">
        <v>39</v>
      </c>
      <c r="E136" s="2" t="s">
        <v>1220</v>
      </c>
      <c r="F136" s="2" t="s">
        <v>1249</v>
      </c>
      <c r="G136" s="2" t="s">
        <v>1244</v>
      </c>
      <c r="H136">
        <v>95418</v>
      </c>
      <c r="I136" s="2" t="s">
        <v>1245</v>
      </c>
      <c r="J136" s="2" t="s">
        <v>1231</v>
      </c>
      <c r="K136" s="1">
        <v>43262</v>
      </c>
      <c r="L136">
        <v>2018</v>
      </c>
      <c r="M136" s="2" t="s">
        <v>1535</v>
      </c>
    </row>
    <row r="137" spans="1:13" x14ac:dyDescent="0.25">
      <c r="A137" s="2" t="s">
        <v>1048</v>
      </c>
      <c r="B137" s="2" t="s">
        <v>1536</v>
      </c>
      <c r="C137" s="2" t="s">
        <v>1219</v>
      </c>
      <c r="D137">
        <v>74</v>
      </c>
      <c r="E137" s="2" t="s">
        <v>1263</v>
      </c>
      <c r="F137" s="2" t="s">
        <v>1249</v>
      </c>
      <c r="G137" s="2" t="s">
        <v>1244</v>
      </c>
      <c r="H137">
        <v>148232</v>
      </c>
      <c r="I137" s="2" t="s">
        <v>1223</v>
      </c>
      <c r="J137" s="2" t="s">
        <v>1231</v>
      </c>
      <c r="K137" s="1">
        <v>45439</v>
      </c>
      <c r="L137">
        <v>2024</v>
      </c>
      <c r="M137" s="2" t="s">
        <v>1537</v>
      </c>
    </row>
    <row r="138" spans="1:13" x14ac:dyDescent="0.25">
      <c r="A138" s="2" t="s">
        <v>112</v>
      </c>
      <c r="B138" s="2" t="s">
        <v>1538</v>
      </c>
      <c r="C138" s="2" t="s">
        <v>1219</v>
      </c>
      <c r="D138">
        <v>46</v>
      </c>
      <c r="E138" s="2" t="s">
        <v>1228</v>
      </c>
      <c r="F138" s="2" t="s">
        <v>1221</v>
      </c>
      <c r="G138" s="2" t="s">
        <v>1222</v>
      </c>
      <c r="H138">
        <v>185904</v>
      </c>
      <c r="I138" s="2" t="s">
        <v>1223</v>
      </c>
      <c r="J138" s="2" t="s">
        <v>1224</v>
      </c>
      <c r="K138" s="1">
        <v>43594</v>
      </c>
      <c r="L138">
        <v>2019</v>
      </c>
      <c r="M138" s="2" t="s">
        <v>1539</v>
      </c>
    </row>
    <row r="139" spans="1:13" x14ac:dyDescent="0.25">
      <c r="A139" s="2" t="s">
        <v>124</v>
      </c>
      <c r="B139" s="2" t="s">
        <v>1540</v>
      </c>
      <c r="C139" s="2" t="s">
        <v>1219</v>
      </c>
      <c r="D139">
        <v>31</v>
      </c>
      <c r="E139" s="2" t="s">
        <v>1220</v>
      </c>
      <c r="F139" s="2" t="s">
        <v>1249</v>
      </c>
      <c r="G139" s="2" t="s">
        <v>1259</v>
      </c>
      <c r="H139">
        <v>183038</v>
      </c>
      <c r="I139" s="2" t="s">
        <v>1223</v>
      </c>
      <c r="J139" s="2" t="s">
        <v>1224</v>
      </c>
      <c r="K139" s="1">
        <v>42817</v>
      </c>
      <c r="L139">
        <v>2017</v>
      </c>
      <c r="M139" s="2" t="s">
        <v>1541</v>
      </c>
    </row>
    <row r="140" spans="1:13" x14ac:dyDescent="0.25">
      <c r="A140" s="2" t="s">
        <v>745</v>
      </c>
      <c r="B140" s="2" t="s">
        <v>1542</v>
      </c>
      <c r="C140" s="2" t="s">
        <v>1219</v>
      </c>
      <c r="D140">
        <v>45</v>
      </c>
      <c r="E140" s="2" t="s">
        <v>1228</v>
      </c>
      <c r="F140" s="2" t="s">
        <v>1249</v>
      </c>
      <c r="G140" s="2" t="s">
        <v>1230</v>
      </c>
      <c r="H140">
        <v>164059</v>
      </c>
      <c r="I140" s="2" t="s">
        <v>1223</v>
      </c>
      <c r="J140" s="2" t="s">
        <v>1224</v>
      </c>
      <c r="K140" s="1">
        <v>45619</v>
      </c>
      <c r="L140">
        <v>2024</v>
      </c>
      <c r="M140" s="2" t="s">
        <v>1543</v>
      </c>
    </row>
    <row r="141" spans="1:13" x14ac:dyDescent="0.25">
      <c r="A141" s="2" t="s">
        <v>1544</v>
      </c>
      <c r="B141" s="2" t="s">
        <v>1545</v>
      </c>
      <c r="C141" s="2" t="s">
        <v>1219</v>
      </c>
      <c r="D141">
        <v>22</v>
      </c>
      <c r="E141" s="2" t="s">
        <v>1242</v>
      </c>
      <c r="F141" s="2" t="s">
        <v>1221</v>
      </c>
      <c r="G141" s="2" t="s">
        <v>1253</v>
      </c>
      <c r="H141">
        <v>188383</v>
      </c>
      <c r="I141" s="2" t="s">
        <v>1223</v>
      </c>
      <c r="J141" s="2" t="s">
        <v>1231</v>
      </c>
      <c r="K141" s="1">
        <v>43371</v>
      </c>
      <c r="L141">
        <v>2018</v>
      </c>
      <c r="M141" s="2" t="s">
        <v>1546</v>
      </c>
    </row>
    <row r="142" spans="1:13" x14ac:dyDescent="0.25">
      <c r="A142" s="2" t="s">
        <v>1075</v>
      </c>
      <c r="B142" s="2" t="s">
        <v>1547</v>
      </c>
      <c r="C142" s="2" t="s">
        <v>1227</v>
      </c>
      <c r="D142">
        <v>64</v>
      </c>
      <c r="E142" s="2" t="s">
        <v>1263</v>
      </c>
      <c r="F142" s="2" t="s">
        <v>1229</v>
      </c>
      <c r="G142" s="2" t="s">
        <v>1239</v>
      </c>
      <c r="H142">
        <v>51575</v>
      </c>
      <c r="I142" s="2" t="s">
        <v>1250</v>
      </c>
      <c r="J142" s="2" t="s">
        <v>1231</v>
      </c>
      <c r="K142" s="1">
        <v>43326</v>
      </c>
      <c r="L142">
        <v>2018</v>
      </c>
      <c r="M142" s="2" t="s">
        <v>1548</v>
      </c>
    </row>
    <row r="143" spans="1:13" x14ac:dyDescent="0.25">
      <c r="A143" s="2" t="s">
        <v>326</v>
      </c>
      <c r="B143" s="2" t="s">
        <v>1549</v>
      </c>
      <c r="C143" s="2" t="s">
        <v>1219</v>
      </c>
      <c r="D143">
        <v>66</v>
      </c>
      <c r="E143" s="2" t="s">
        <v>1263</v>
      </c>
      <c r="F143" s="2" t="s">
        <v>1221</v>
      </c>
      <c r="G143" s="2" t="s">
        <v>1259</v>
      </c>
      <c r="H143">
        <v>83852</v>
      </c>
      <c r="I143" s="2" t="s">
        <v>1245</v>
      </c>
      <c r="J143" s="2" t="s">
        <v>1224</v>
      </c>
      <c r="K143" s="1">
        <v>45560</v>
      </c>
      <c r="L143">
        <v>2024</v>
      </c>
      <c r="M143" s="2" t="s">
        <v>1550</v>
      </c>
    </row>
    <row r="144" spans="1:13" x14ac:dyDescent="0.25">
      <c r="A144" s="2" t="s">
        <v>311</v>
      </c>
      <c r="B144" s="2" t="s">
        <v>1551</v>
      </c>
      <c r="C144" s="2" t="s">
        <v>1227</v>
      </c>
      <c r="D144">
        <v>47</v>
      </c>
      <c r="E144" s="2" t="s">
        <v>1228</v>
      </c>
      <c r="F144" s="2" t="s">
        <v>1249</v>
      </c>
      <c r="G144" s="2" t="s">
        <v>1259</v>
      </c>
      <c r="H144">
        <v>152079</v>
      </c>
      <c r="I144" s="2" t="s">
        <v>1223</v>
      </c>
      <c r="J144" s="2" t="s">
        <v>1224</v>
      </c>
      <c r="K144" s="1">
        <v>44528</v>
      </c>
      <c r="L144">
        <v>2021</v>
      </c>
      <c r="M144" s="2" t="s">
        <v>1552</v>
      </c>
    </row>
    <row r="145" spans="1:13" x14ac:dyDescent="0.25">
      <c r="A145" s="2" t="s">
        <v>421</v>
      </c>
      <c r="B145" s="2" t="s">
        <v>1553</v>
      </c>
      <c r="C145" s="2" t="s">
        <v>1227</v>
      </c>
      <c r="D145">
        <v>63</v>
      </c>
      <c r="E145" s="2" t="s">
        <v>1263</v>
      </c>
      <c r="F145" s="2" t="s">
        <v>1221</v>
      </c>
      <c r="G145" s="2" t="s">
        <v>1222</v>
      </c>
      <c r="H145">
        <v>96242</v>
      </c>
      <c r="I145" s="2" t="s">
        <v>1245</v>
      </c>
      <c r="J145" s="2" t="s">
        <v>1224</v>
      </c>
      <c r="K145" s="1">
        <v>43084</v>
      </c>
      <c r="L145">
        <v>2017</v>
      </c>
      <c r="M145" s="2" t="s">
        <v>1554</v>
      </c>
    </row>
    <row r="146" spans="1:13" x14ac:dyDescent="0.25">
      <c r="A146" s="2" t="s">
        <v>1555</v>
      </c>
      <c r="B146" s="2" t="s">
        <v>1556</v>
      </c>
      <c r="C146" s="2" t="s">
        <v>1227</v>
      </c>
      <c r="D146">
        <v>69</v>
      </c>
      <c r="E146" s="2" t="s">
        <v>1263</v>
      </c>
      <c r="F146" s="2" t="s">
        <v>1229</v>
      </c>
      <c r="G146" s="2" t="s">
        <v>1235</v>
      </c>
      <c r="H146">
        <v>198589</v>
      </c>
      <c r="I146" s="2" t="s">
        <v>1223</v>
      </c>
      <c r="J146" s="2" t="s">
        <v>1224</v>
      </c>
      <c r="K146" s="1">
        <v>43588</v>
      </c>
      <c r="L146">
        <v>2019</v>
      </c>
      <c r="M146" s="2" t="s">
        <v>1557</v>
      </c>
    </row>
    <row r="147" spans="1:13" x14ac:dyDescent="0.25">
      <c r="A147" s="2" t="s">
        <v>63</v>
      </c>
      <c r="B147" s="2" t="s">
        <v>1558</v>
      </c>
      <c r="C147" s="2" t="s">
        <v>1219</v>
      </c>
      <c r="D147">
        <v>22</v>
      </c>
      <c r="E147" s="2" t="s">
        <v>1242</v>
      </c>
      <c r="F147" s="2" t="s">
        <v>1221</v>
      </c>
      <c r="G147" s="2" t="s">
        <v>1235</v>
      </c>
      <c r="H147">
        <v>49257</v>
      </c>
      <c r="I147" s="2" t="s">
        <v>1250</v>
      </c>
      <c r="J147" s="2" t="s">
        <v>1224</v>
      </c>
      <c r="K147" s="1">
        <v>44029</v>
      </c>
      <c r="L147">
        <v>2020</v>
      </c>
      <c r="M147" s="2" t="s">
        <v>1559</v>
      </c>
    </row>
    <row r="148" spans="1:13" x14ac:dyDescent="0.25">
      <c r="A148" s="2" t="s">
        <v>844</v>
      </c>
      <c r="B148" s="2" t="s">
        <v>1560</v>
      </c>
      <c r="C148" s="2" t="s">
        <v>1219</v>
      </c>
      <c r="D148">
        <v>29</v>
      </c>
      <c r="E148" s="2" t="s">
        <v>1220</v>
      </c>
      <c r="F148" s="2" t="s">
        <v>1249</v>
      </c>
      <c r="G148" s="2" t="s">
        <v>1222</v>
      </c>
      <c r="H148">
        <v>193279</v>
      </c>
      <c r="I148" s="2" t="s">
        <v>1223</v>
      </c>
      <c r="J148" s="2" t="s">
        <v>1236</v>
      </c>
      <c r="K148" s="1">
        <v>43888</v>
      </c>
      <c r="L148">
        <v>2020</v>
      </c>
      <c r="M148" s="2" t="s">
        <v>1561</v>
      </c>
    </row>
    <row r="149" spans="1:13" x14ac:dyDescent="0.25">
      <c r="A149" s="2" t="s">
        <v>92</v>
      </c>
      <c r="B149" s="2" t="s">
        <v>1562</v>
      </c>
      <c r="C149" s="2" t="s">
        <v>1219</v>
      </c>
      <c r="D149">
        <v>33</v>
      </c>
      <c r="E149" s="2" t="s">
        <v>1220</v>
      </c>
      <c r="F149" s="2" t="s">
        <v>1229</v>
      </c>
      <c r="G149" s="2" t="s">
        <v>1244</v>
      </c>
      <c r="H149">
        <v>164353</v>
      </c>
      <c r="I149" s="2" t="s">
        <v>1223</v>
      </c>
      <c r="J149" s="2" t="s">
        <v>1224</v>
      </c>
      <c r="K149" s="1">
        <v>43337</v>
      </c>
      <c r="L149">
        <v>2018</v>
      </c>
      <c r="M149" s="2" t="s">
        <v>1563</v>
      </c>
    </row>
    <row r="150" spans="1:13" x14ac:dyDescent="0.25">
      <c r="A150" s="2" t="s">
        <v>951</v>
      </c>
      <c r="B150" s="2" t="s">
        <v>1564</v>
      </c>
      <c r="C150" s="2" t="s">
        <v>1219</v>
      </c>
      <c r="D150">
        <v>43</v>
      </c>
      <c r="E150" s="2" t="s">
        <v>1220</v>
      </c>
      <c r="F150" s="2" t="s">
        <v>1243</v>
      </c>
      <c r="G150" s="2" t="s">
        <v>1235</v>
      </c>
      <c r="H150">
        <v>81246</v>
      </c>
      <c r="I150" s="2" t="s">
        <v>1245</v>
      </c>
      <c r="J150" s="2" t="s">
        <v>1231</v>
      </c>
      <c r="K150" s="1">
        <v>44893</v>
      </c>
      <c r="L150">
        <v>2022</v>
      </c>
      <c r="M150" s="2" t="s">
        <v>1565</v>
      </c>
    </row>
    <row r="151" spans="1:13" x14ac:dyDescent="0.25">
      <c r="A151" s="2" t="s">
        <v>738</v>
      </c>
      <c r="B151" s="2" t="s">
        <v>1566</v>
      </c>
      <c r="C151" s="2" t="s">
        <v>1227</v>
      </c>
      <c r="D151">
        <v>43</v>
      </c>
      <c r="E151" s="2" t="s">
        <v>1220</v>
      </c>
      <c r="F151" s="2" t="s">
        <v>1249</v>
      </c>
      <c r="G151" s="2" t="s">
        <v>1230</v>
      </c>
      <c r="H151">
        <v>21435</v>
      </c>
      <c r="I151" s="2" t="s">
        <v>1250</v>
      </c>
      <c r="J151" s="2" t="s">
        <v>1224</v>
      </c>
      <c r="K151" s="1">
        <v>44015</v>
      </c>
      <c r="L151">
        <v>2020</v>
      </c>
      <c r="M151" s="2" t="s">
        <v>1567</v>
      </c>
    </row>
    <row r="152" spans="1:13" x14ac:dyDescent="0.25">
      <c r="A152" s="2" t="s">
        <v>1568</v>
      </c>
      <c r="B152" s="2" t="s">
        <v>1569</v>
      </c>
      <c r="C152" s="2" t="s">
        <v>1219</v>
      </c>
      <c r="D152">
        <v>65</v>
      </c>
      <c r="E152" s="2" t="s">
        <v>1263</v>
      </c>
      <c r="F152" s="2" t="s">
        <v>1229</v>
      </c>
      <c r="G152" s="2" t="s">
        <v>1253</v>
      </c>
      <c r="H152">
        <v>111357</v>
      </c>
      <c r="I152" s="2" t="s">
        <v>1245</v>
      </c>
      <c r="J152" s="2" t="s">
        <v>1224</v>
      </c>
      <c r="K152" s="1">
        <v>43949</v>
      </c>
      <c r="L152">
        <v>2020</v>
      </c>
      <c r="M152" s="2" t="s">
        <v>1570</v>
      </c>
    </row>
    <row r="153" spans="1:13" x14ac:dyDescent="0.25">
      <c r="A153" s="2" t="s">
        <v>22</v>
      </c>
      <c r="B153" s="2" t="s">
        <v>1571</v>
      </c>
      <c r="C153" s="2" t="s">
        <v>1219</v>
      </c>
      <c r="D153">
        <v>38</v>
      </c>
      <c r="E153" s="2" t="s">
        <v>1220</v>
      </c>
      <c r="F153" s="2" t="s">
        <v>1229</v>
      </c>
      <c r="G153" s="2" t="s">
        <v>1259</v>
      </c>
      <c r="H153">
        <v>177732</v>
      </c>
      <c r="I153" s="2" t="s">
        <v>1223</v>
      </c>
      <c r="J153" s="2" t="s">
        <v>1231</v>
      </c>
      <c r="K153" s="1">
        <v>43409</v>
      </c>
      <c r="L153">
        <v>2018</v>
      </c>
      <c r="M153" s="2" t="s">
        <v>1572</v>
      </c>
    </row>
    <row r="154" spans="1:13" x14ac:dyDescent="0.25">
      <c r="A154" s="2" t="s">
        <v>1039</v>
      </c>
      <c r="B154" s="2" t="s">
        <v>1573</v>
      </c>
      <c r="C154" s="2" t="s">
        <v>1219</v>
      </c>
      <c r="D154">
        <v>56</v>
      </c>
      <c r="E154" s="2" t="s">
        <v>1228</v>
      </c>
      <c r="F154" s="2" t="s">
        <v>1243</v>
      </c>
      <c r="G154" s="2" t="s">
        <v>1259</v>
      </c>
      <c r="H154">
        <v>156156</v>
      </c>
      <c r="I154" s="2" t="s">
        <v>1223</v>
      </c>
      <c r="J154" s="2" t="s">
        <v>1231</v>
      </c>
      <c r="K154" s="1">
        <v>42365</v>
      </c>
      <c r="L154">
        <v>2015</v>
      </c>
      <c r="M154" s="2" t="s">
        <v>1574</v>
      </c>
    </row>
    <row r="155" spans="1:13" x14ac:dyDescent="0.25">
      <c r="A155" s="2" t="s">
        <v>318</v>
      </c>
      <c r="B155" s="2" t="s">
        <v>1575</v>
      </c>
      <c r="C155" s="2" t="s">
        <v>1219</v>
      </c>
      <c r="D155">
        <v>53</v>
      </c>
      <c r="E155" s="2" t="s">
        <v>1228</v>
      </c>
      <c r="F155" s="2" t="s">
        <v>1221</v>
      </c>
      <c r="G155" s="2" t="s">
        <v>1230</v>
      </c>
      <c r="H155">
        <v>164579</v>
      </c>
      <c r="I155" s="2" t="s">
        <v>1223</v>
      </c>
      <c r="J155" s="2" t="s">
        <v>1236</v>
      </c>
      <c r="K155" s="1">
        <v>42280</v>
      </c>
      <c r="L155">
        <v>2015</v>
      </c>
      <c r="M155" s="2" t="s">
        <v>1576</v>
      </c>
    </row>
    <row r="156" spans="1:13" x14ac:dyDescent="0.25">
      <c r="A156" s="2" t="s">
        <v>1577</v>
      </c>
      <c r="B156" s="2" t="s">
        <v>1578</v>
      </c>
      <c r="C156" s="2" t="s">
        <v>1219</v>
      </c>
      <c r="D156">
        <v>50</v>
      </c>
      <c r="E156" s="2" t="s">
        <v>1228</v>
      </c>
      <c r="F156" s="2" t="s">
        <v>1221</v>
      </c>
      <c r="G156" s="2" t="s">
        <v>1235</v>
      </c>
      <c r="H156">
        <v>103807</v>
      </c>
      <c r="I156" s="2" t="s">
        <v>1245</v>
      </c>
      <c r="J156" s="2" t="s">
        <v>1224</v>
      </c>
      <c r="K156" s="1">
        <v>45264</v>
      </c>
      <c r="L156">
        <v>2023</v>
      </c>
      <c r="M156" s="2" t="s">
        <v>1579</v>
      </c>
    </row>
    <row r="157" spans="1:13" x14ac:dyDescent="0.25">
      <c r="A157" s="2" t="s">
        <v>713</v>
      </c>
      <c r="B157" s="2" t="s">
        <v>1580</v>
      </c>
      <c r="C157" s="2" t="s">
        <v>1227</v>
      </c>
      <c r="D157">
        <v>47</v>
      </c>
      <c r="E157" s="2" t="s">
        <v>1228</v>
      </c>
      <c r="F157" s="2" t="s">
        <v>1249</v>
      </c>
      <c r="G157" s="2" t="s">
        <v>1259</v>
      </c>
      <c r="H157">
        <v>196611</v>
      </c>
      <c r="I157" s="2" t="s">
        <v>1223</v>
      </c>
      <c r="J157" s="2" t="s">
        <v>1224</v>
      </c>
      <c r="K157" s="1">
        <v>44850</v>
      </c>
      <c r="L157">
        <v>2022</v>
      </c>
      <c r="M157" s="2" t="s">
        <v>1581</v>
      </c>
    </row>
    <row r="158" spans="1:13" x14ac:dyDescent="0.25">
      <c r="A158" s="2" t="s">
        <v>1004</v>
      </c>
      <c r="B158" s="2" t="s">
        <v>1582</v>
      </c>
      <c r="C158" s="2" t="s">
        <v>1219</v>
      </c>
      <c r="D158">
        <v>54</v>
      </c>
      <c r="E158" s="2" t="s">
        <v>1228</v>
      </c>
      <c r="F158" s="2" t="s">
        <v>1243</v>
      </c>
      <c r="G158" s="2" t="s">
        <v>1239</v>
      </c>
      <c r="H158">
        <v>135953</v>
      </c>
      <c r="I158" s="2" t="s">
        <v>1245</v>
      </c>
      <c r="J158" s="2" t="s">
        <v>1231</v>
      </c>
      <c r="K158" s="1">
        <v>43172</v>
      </c>
      <c r="L158">
        <v>2018</v>
      </c>
      <c r="M158" s="2" t="s">
        <v>1583</v>
      </c>
    </row>
    <row r="159" spans="1:13" x14ac:dyDescent="0.25">
      <c r="A159" s="2" t="s">
        <v>629</v>
      </c>
      <c r="B159" s="2" t="s">
        <v>1584</v>
      </c>
      <c r="C159" s="2" t="s">
        <v>1227</v>
      </c>
      <c r="D159">
        <v>40</v>
      </c>
      <c r="E159" s="2" t="s">
        <v>1220</v>
      </c>
      <c r="F159" s="2" t="s">
        <v>1221</v>
      </c>
      <c r="G159" s="2" t="s">
        <v>1253</v>
      </c>
      <c r="H159">
        <v>158563</v>
      </c>
      <c r="I159" s="2" t="s">
        <v>1223</v>
      </c>
      <c r="J159" s="2" t="s">
        <v>1224</v>
      </c>
      <c r="K159" s="1">
        <v>45774</v>
      </c>
      <c r="L159">
        <v>2025</v>
      </c>
      <c r="M159" s="2" t="s">
        <v>1585</v>
      </c>
    </row>
    <row r="160" spans="1:13" x14ac:dyDescent="0.25">
      <c r="A160" s="2" t="s">
        <v>1586</v>
      </c>
      <c r="B160" s="2" t="s">
        <v>1587</v>
      </c>
      <c r="C160" s="2" t="s">
        <v>1219</v>
      </c>
      <c r="D160">
        <v>27</v>
      </c>
      <c r="E160" s="2" t="s">
        <v>1242</v>
      </c>
      <c r="F160" s="2" t="s">
        <v>1243</v>
      </c>
      <c r="G160" s="2" t="s">
        <v>1253</v>
      </c>
      <c r="H160">
        <v>143797</v>
      </c>
      <c r="I160" s="2" t="s">
        <v>1223</v>
      </c>
      <c r="J160" s="2" t="s">
        <v>1224</v>
      </c>
      <c r="K160" s="1">
        <v>43200</v>
      </c>
      <c r="L160">
        <v>2018</v>
      </c>
      <c r="M160" s="2" t="s">
        <v>1419</v>
      </c>
    </row>
    <row r="161" spans="1:13" x14ac:dyDescent="0.25">
      <c r="A161" s="2" t="s">
        <v>302</v>
      </c>
      <c r="B161" s="2" t="s">
        <v>1588</v>
      </c>
      <c r="C161" s="2" t="s">
        <v>1227</v>
      </c>
      <c r="D161">
        <v>71</v>
      </c>
      <c r="E161" s="2" t="s">
        <v>1263</v>
      </c>
      <c r="F161" s="2" t="s">
        <v>1221</v>
      </c>
      <c r="G161" s="2" t="s">
        <v>1259</v>
      </c>
      <c r="H161">
        <v>83888</v>
      </c>
      <c r="I161" s="2" t="s">
        <v>1245</v>
      </c>
      <c r="J161" s="2" t="s">
        <v>1224</v>
      </c>
      <c r="K161" s="1">
        <v>42314</v>
      </c>
      <c r="L161">
        <v>2015</v>
      </c>
      <c r="M161" s="2" t="s">
        <v>1589</v>
      </c>
    </row>
    <row r="162" spans="1:13" x14ac:dyDescent="0.25">
      <c r="A162" s="2" t="s">
        <v>84</v>
      </c>
      <c r="B162" s="2" t="s">
        <v>1590</v>
      </c>
      <c r="C162" s="2" t="s">
        <v>1219</v>
      </c>
      <c r="D162">
        <v>22</v>
      </c>
      <c r="E162" s="2" t="s">
        <v>1242</v>
      </c>
      <c r="F162" s="2" t="s">
        <v>1229</v>
      </c>
      <c r="G162" s="2" t="s">
        <v>1222</v>
      </c>
      <c r="H162">
        <v>93609</v>
      </c>
      <c r="I162" s="2" t="s">
        <v>1245</v>
      </c>
      <c r="J162" s="2" t="s">
        <v>1224</v>
      </c>
      <c r="K162" s="1">
        <v>44252</v>
      </c>
      <c r="L162">
        <v>2021</v>
      </c>
      <c r="M162" s="2" t="s">
        <v>1591</v>
      </c>
    </row>
    <row r="163" spans="1:13" x14ac:dyDescent="0.25">
      <c r="A163" s="2" t="s">
        <v>633</v>
      </c>
      <c r="B163" s="2" t="s">
        <v>1592</v>
      </c>
      <c r="C163" s="2" t="s">
        <v>1219</v>
      </c>
      <c r="D163">
        <v>53</v>
      </c>
      <c r="E163" s="2" t="s">
        <v>1228</v>
      </c>
      <c r="F163" s="2" t="s">
        <v>1221</v>
      </c>
      <c r="G163" s="2" t="s">
        <v>1259</v>
      </c>
      <c r="H163">
        <v>29077</v>
      </c>
      <c r="I163" s="2" t="s">
        <v>1250</v>
      </c>
      <c r="J163" s="2" t="s">
        <v>1231</v>
      </c>
      <c r="K163" s="1">
        <v>42248</v>
      </c>
      <c r="L163">
        <v>2015</v>
      </c>
      <c r="M163" s="2" t="s">
        <v>1593</v>
      </c>
    </row>
    <row r="164" spans="1:13" x14ac:dyDescent="0.25">
      <c r="A164" s="2" t="s">
        <v>244</v>
      </c>
      <c r="B164" s="2" t="s">
        <v>1594</v>
      </c>
      <c r="C164" s="2" t="s">
        <v>1227</v>
      </c>
      <c r="D164">
        <v>51</v>
      </c>
      <c r="E164" s="2" t="s">
        <v>1228</v>
      </c>
      <c r="F164" s="2" t="s">
        <v>1243</v>
      </c>
      <c r="G164" s="2" t="s">
        <v>1222</v>
      </c>
      <c r="H164">
        <v>40953</v>
      </c>
      <c r="I164" s="2" t="s">
        <v>1250</v>
      </c>
      <c r="J164" s="2" t="s">
        <v>1224</v>
      </c>
      <c r="K164" s="1">
        <v>44789</v>
      </c>
      <c r="L164">
        <v>2022</v>
      </c>
      <c r="M164" s="2" t="s">
        <v>1595</v>
      </c>
    </row>
    <row r="165" spans="1:13" x14ac:dyDescent="0.25">
      <c r="A165" s="2" t="s">
        <v>547</v>
      </c>
      <c r="B165" s="2" t="s">
        <v>1596</v>
      </c>
      <c r="C165" s="2" t="s">
        <v>1227</v>
      </c>
      <c r="D165">
        <v>69</v>
      </c>
      <c r="E165" s="2" t="s">
        <v>1263</v>
      </c>
      <c r="F165" s="2" t="s">
        <v>1229</v>
      </c>
      <c r="G165" s="2" t="s">
        <v>1259</v>
      </c>
      <c r="H165">
        <v>134682</v>
      </c>
      <c r="I165" s="2" t="s">
        <v>1245</v>
      </c>
      <c r="J165" s="2" t="s">
        <v>1224</v>
      </c>
      <c r="K165" s="1">
        <v>44257</v>
      </c>
      <c r="L165">
        <v>2021</v>
      </c>
      <c r="M165" s="2" t="s">
        <v>1597</v>
      </c>
    </row>
    <row r="166" spans="1:13" x14ac:dyDescent="0.25">
      <c r="A166" s="2" t="s">
        <v>329</v>
      </c>
      <c r="B166" s="2" t="s">
        <v>1598</v>
      </c>
      <c r="C166" s="2" t="s">
        <v>1227</v>
      </c>
      <c r="D166">
        <v>48</v>
      </c>
      <c r="E166" s="2" t="s">
        <v>1228</v>
      </c>
      <c r="F166" s="2" t="s">
        <v>1229</v>
      </c>
      <c r="G166" s="2" t="s">
        <v>1239</v>
      </c>
      <c r="H166">
        <v>87889</v>
      </c>
      <c r="I166" s="2" t="s">
        <v>1245</v>
      </c>
      <c r="J166" s="2" t="s">
        <v>1224</v>
      </c>
      <c r="K166" s="1">
        <v>45172</v>
      </c>
      <c r="L166">
        <v>2023</v>
      </c>
      <c r="M166" s="2" t="s">
        <v>1599</v>
      </c>
    </row>
    <row r="167" spans="1:13" x14ac:dyDescent="0.25">
      <c r="A167" s="2" t="s">
        <v>1600</v>
      </c>
      <c r="B167" s="2" t="s">
        <v>1601</v>
      </c>
      <c r="C167" s="2" t="s">
        <v>1219</v>
      </c>
      <c r="D167">
        <v>27</v>
      </c>
      <c r="E167" s="2" t="s">
        <v>1242</v>
      </c>
      <c r="F167" s="2" t="s">
        <v>1229</v>
      </c>
      <c r="G167" s="2" t="s">
        <v>1244</v>
      </c>
      <c r="H167">
        <v>174893</v>
      </c>
      <c r="I167" s="2" t="s">
        <v>1223</v>
      </c>
      <c r="J167" s="2" t="s">
        <v>1224</v>
      </c>
      <c r="K167" s="1">
        <v>42431</v>
      </c>
      <c r="L167">
        <v>2016</v>
      </c>
      <c r="M167" s="2" t="s">
        <v>1602</v>
      </c>
    </row>
    <row r="168" spans="1:13" x14ac:dyDescent="0.25">
      <c r="A168" s="2" t="s">
        <v>429</v>
      </c>
      <c r="B168" s="2" t="s">
        <v>1603</v>
      </c>
      <c r="C168" s="2" t="s">
        <v>1227</v>
      </c>
      <c r="D168">
        <v>36</v>
      </c>
      <c r="E168" s="2" t="s">
        <v>1220</v>
      </c>
      <c r="F168" s="2" t="s">
        <v>1243</v>
      </c>
      <c r="G168" s="2" t="s">
        <v>1253</v>
      </c>
      <c r="H168">
        <v>188639</v>
      </c>
      <c r="I168" s="2" t="s">
        <v>1223</v>
      </c>
      <c r="J168" s="2" t="s">
        <v>1224</v>
      </c>
      <c r="K168" s="1">
        <v>45492</v>
      </c>
      <c r="L168">
        <v>2024</v>
      </c>
      <c r="M168" s="2" t="s">
        <v>1604</v>
      </c>
    </row>
    <row r="169" spans="1:13" x14ac:dyDescent="0.25">
      <c r="A169" s="2" t="s">
        <v>489</v>
      </c>
      <c r="B169" s="2" t="s">
        <v>1605</v>
      </c>
      <c r="C169" s="2" t="s">
        <v>1219</v>
      </c>
      <c r="D169">
        <v>49</v>
      </c>
      <c r="E169" s="2" t="s">
        <v>1228</v>
      </c>
      <c r="F169" s="2" t="s">
        <v>1249</v>
      </c>
      <c r="G169" s="2" t="s">
        <v>1259</v>
      </c>
      <c r="H169">
        <v>135374</v>
      </c>
      <c r="I169" s="2" t="s">
        <v>1245</v>
      </c>
      <c r="J169" s="2" t="s">
        <v>1224</v>
      </c>
      <c r="K169" s="1">
        <v>43786</v>
      </c>
      <c r="L169">
        <v>2019</v>
      </c>
      <c r="M169" s="2" t="s">
        <v>1606</v>
      </c>
    </row>
    <row r="170" spans="1:13" x14ac:dyDescent="0.25">
      <c r="A170" s="2" t="s">
        <v>386</v>
      </c>
      <c r="B170" s="2" t="s">
        <v>1607</v>
      </c>
      <c r="C170" s="2" t="s">
        <v>1219</v>
      </c>
      <c r="D170">
        <v>18</v>
      </c>
      <c r="E170" s="2" t="s">
        <v>1242</v>
      </c>
      <c r="F170" s="2" t="s">
        <v>1249</v>
      </c>
      <c r="G170" s="2" t="s">
        <v>1239</v>
      </c>
      <c r="H170">
        <v>44860</v>
      </c>
      <c r="I170" s="2" t="s">
        <v>1250</v>
      </c>
      <c r="J170" s="2" t="s">
        <v>1224</v>
      </c>
      <c r="K170" s="1">
        <v>45714</v>
      </c>
      <c r="L170">
        <v>2025</v>
      </c>
      <c r="M170" s="2" t="s">
        <v>1608</v>
      </c>
    </row>
    <row r="171" spans="1:13" x14ac:dyDescent="0.25">
      <c r="A171" s="2" t="s">
        <v>1609</v>
      </c>
      <c r="B171" s="2" t="s">
        <v>1610</v>
      </c>
      <c r="C171" s="2" t="s">
        <v>1227</v>
      </c>
      <c r="D171">
        <v>73</v>
      </c>
      <c r="E171" s="2" t="s">
        <v>1263</v>
      </c>
      <c r="F171" s="2" t="s">
        <v>1249</v>
      </c>
      <c r="G171" s="2" t="s">
        <v>1222</v>
      </c>
      <c r="H171">
        <v>172267</v>
      </c>
      <c r="I171" s="2" t="s">
        <v>1223</v>
      </c>
      <c r="J171" s="2" t="s">
        <v>1231</v>
      </c>
      <c r="K171" s="1">
        <v>44887</v>
      </c>
      <c r="L171">
        <v>2022</v>
      </c>
      <c r="M171" s="2" t="s">
        <v>1611</v>
      </c>
    </row>
    <row r="172" spans="1:13" x14ac:dyDescent="0.25">
      <c r="A172" s="2" t="s">
        <v>1612</v>
      </c>
      <c r="B172" s="2" t="s">
        <v>1613</v>
      </c>
      <c r="C172" s="2" t="s">
        <v>1227</v>
      </c>
      <c r="D172">
        <v>22</v>
      </c>
      <c r="E172" s="2" t="s">
        <v>1242</v>
      </c>
      <c r="F172" s="2" t="s">
        <v>1243</v>
      </c>
      <c r="G172" s="2" t="s">
        <v>1222</v>
      </c>
      <c r="H172">
        <v>97475</v>
      </c>
      <c r="I172" s="2" t="s">
        <v>1245</v>
      </c>
      <c r="J172" s="2" t="s">
        <v>1224</v>
      </c>
      <c r="K172" s="1">
        <v>42532</v>
      </c>
      <c r="L172">
        <v>2016</v>
      </c>
      <c r="M172" s="2" t="s">
        <v>1614</v>
      </c>
    </row>
    <row r="173" spans="1:13" x14ac:dyDescent="0.25">
      <c r="A173" s="2" t="s">
        <v>962</v>
      </c>
      <c r="B173" s="2" t="s">
        <v>1615</v>
      </c>
      <c r="C173" s="2" t="s">
        <v>1219</v>
      </c>
      <c r="D173">
        <v>62</v>
      </c>
      <c r="E173" s="2" t="s">
        <v>1263</v>
      </c>
      <c r="F173" s="2" t="s">
        <v>1229</v>
      </c>
      <c r="G173" s="2" t="s">
        <v>1253</v>
      </c>
      <c r="H173">
        <v>107266</v>
      </c>
      <c r="I173" s="2" t="s">
        <v>1245</v>
      </c>
      <c r="J173" s="2" t="s">
        <v>1224</v>
      </c>
      <c r="K173" s="1">
        <v>43988</v>
      </c>
      <c r="L173">
        <v>2020</v>
      </c>
      <c r="M173" s="2" t="s">
        <v>1616</v>
      </c>
    </row>
    <row r="174" spans="1:13" x14ac:dyDescent="0.25">
      <c r="A174" s="2" t="s">
        <v>49</v>
      </c>
      <c r="B174" s="2" t="s">
        <v>1617</v>
      </c>
      <c r="C174" s="2" t="s">
        <v>1219</v>
      </c>
      <c r="D174">
        <v>21</v>
      </c>
      <c r="E174" s="2" t="s">
        <v>1242</v>
      </c>
      <c r="F174" s="2" t="s">
        <v>1249</v>
      </c>
      <c r="G174" s="2" t="s">
        <v>1230</v>
      </c>
      <c r="H174">
        <v>172499</v>
      </c>
      <c r="I174" s="2" t="s">
        <v>1223</v>
      </c>
      <c r="J174" s="2" t="s">
        <v>1231</v>
      </c>
      <c r="K174" s="1">
        <v>44501</v>
      </c>
      <c r="L174">
        <v>2021</v>
      </c>
      <c r="M174" s="2" t="s">
        <v>1618</v>
      </c>
    </row>
    <row r="175" spans="1:13" x14ac:dyDescent="0.25">
      <c r="A175" s="2" t="s">
        <v>209</v>
      </c>
      <c r="B175" s="2" t="s">
        <v>1619</v>
      </c>
      <c r="C175" s="2" t="s">
        <v>1227</v>
      </c>
      <c r="D175">
        <v>33</v>
      </c>
      <c r="E175" s="2" t="s">
        <v>1220</v>
      </c>
      <c r="F175" s="2" t="s">
        <v>1243</v>
      </c>
      <c r="G175" s="2" t="s">
        <v>1259</v>
      </c>
      <c r="H175">
        <v>120732</v>
      </c>
      <c r="I175" s="2" t="s">
        <v>1245</v>
      </c>
      <c r="J175" s="2" t="s">
        <v>1231</v>
      </c>
      <c r="K175" s="1">
        <v>43767</v>
      </c>
      <c r="L175">
        <v>2019</v>
      </c>
      <c r="M175" s="2" t="s">
        <v>1620</v>
      </c>
    </row>
    <row r="176" spans="1:13" x14ac:dyDescent="0.25">
      <c r="A176" s="2" t="s">
        <v>1162</v>
      </c>
      <c r="B176" s="2" t="s">
        <v>1621</v>
      </c>
      <c r="C176" s="2" t="s">
        <v>1227</v>
      </c>
      <c r="D176">
        <v>41</v>
      </c>
      <c r="E176" s="2" t="s">
        <v>1220</v>
      </c>
      <c r="F176" s="2" t="s">
        <v>1249</v>
      </c>
      <c r="G176" s="2" t="s">
        <v>1235</v>
      </c>
      <c r="H176">
        <v>47083</v>
      </c>
      <c r="I176" s="2" t="s">
        <v>1250</v>
      </c>
      <c r="J176" s="2" t="s">
        <v>1224</v>
      </c>
      <c r="K176" s="1">
        <v>43046</v>
      </c>
      <c r="L176">
        <v>2017</v>
      </c>
      <c r="M176" s="2" t="s">
        <v>1622</v>
      </c>
    </row>
    <row r="177" spans="1:13" x14ac:dyDescent="0.25">
      <c r="A177" s="2" t="s">
        <v>599</v>
      </c>
      <c r="B177" s="2" t="s">
        <v>1623</v>
      </c>
      <c r="C177" s="2" t="s">
        <v>1227</v>
      </c>
      <c r="D177">
        <v>33</v>
      </c>
      <c r="E177" s="2" t="s">
        <v>1220</v>
      </c>
      <c r="F177" s="2" t="s">
        <v>1221</v>
      </c>
      <c r="G177" s="2" t="s">
        <v>1222</v>
      </c>
      <c r="H177">
        <v>77372</v>
      </c>
      <c r="I177" s="2" t="s">
        <v>1245</v>
      </c>
      <c r="J177" s="2" t="s">
        <v>1224</v>
      </c>
      <c r="K177" s="1">
        <v>42292</v>
      </c>
      <c r="L177">
        <v>2015</v>
      </c>
      <c r="M177" s="2" t="s">
        <v>1624</v>
      </c>
    </row>
    <row r="178" spans="1:13" x14ac:dyDescent="0.25">
      <c r="A178" s="2" t="s">
        <v>391</v>
      </c>
      <c r="B178" s="2" t="s">
        <v>1625</v>
      </c>
      <c r="C178" s="2" t="s">
        <v>1219</v>
      </c>
      <c r="D178">
        <v>72</v>
      </c>
      <c r="E178" s="2" t="s">
        <v>1263</v>
      </c>
      <c r="F178" s="2" t="s">
        <v>1249</v>
      </c>
      <c r="G178" s="2" t="s">
        <v>1244</v>
      </c>
      <c r="H178">
        <v>143786</v>
      </c>
      <c r="I178" s="2" t="s">
        <v>1223</v>
      </c>
      <c r="J178" s="2" t="s">
        <v>1224</v>
      </c>
      <c r="K178" s="1">
        <v>45538</v>
      </c>
      <c r="L178">
        <v>2024</v>
      </c>
      <c r="M178" s="2" t="s">
        <v>1626</v>
      </c>
    </row>
    <row r="179" spans="1:13" x14ac:dyDescent="0.25">
      <c r="A179" s="2" t="s">
        <v>289</v>
      </c>
      <c r="B179" s="2" t="s">
        <v>1627</v>
      </c>
      <c r="C179" s="2" t="s">
        <v>1219</v>
      </c>
      <c r="D179">
        <v>19</v>
      </c>
      <c r="E179" s="2" t="s">
        <v>1242</v>
      </c>
      <c r="F179" s="2" t="s">
        <v>1249</v>
      </c>
      <c r="G179" s="2" t="s">
        <v>1244</v>
      </c>
      <c r="H179">
        <v>195136</v>
      </c>
      <c r="I179" s="2" t="s">
        <v>1223</v>
      </c>
      <c r="J179" s="2" t="s">
        <v>1231</v>
      </c>
      <c r="K179" s="1">
        <v>45642</v>
      </c>
      <c r="L179">
        <v>2024</v>
      </c>
      <c r="M179" s="2" t="s">
        <v>1628</v>
      </c>
    </row>
    <row r="180" spans="1:13" x14ac:dyDescent="0.25">
      <c r="A180" s="2" t="s">
        <v>1006</v>
      </c>
      <c r="B180" s="2" t="s">
        <v>1629</v>
      </c>
      <c r="C180" s="2" t="s">
        <v>1219</v>
      </c>
      <c r="D180">
        <v>66</v>
      </c>
      <c r="E180" s="2" t="s">
        <v>1263</v>
      </c>
      <c r="F180" s="2" t="s">
        <v>1229</v>
      </c>
      <c r="G180" s="2" t="s">
        <v>1222</v>
      </c>
      <c r="H180">
        <v>27813</v>
      </c>
      <c r="I180" s="2" t="s">
        <v>1250</v>
      </c>
      <c r="J180" s="2" t="s">
        <v>1236</v>
      </c>
      <c r="K180" s="1">
        <v>42803</v>
      </c>
      <c r="L180">
        <v>2017</v>
      </c>
      <c r="M180" s="2" t="s">
        <v>1630</v>
      </c>
    </row>
    <row r="181" spans="1:13" x14ac:dyDescent="0.25">
      <c r="A181" s="2" t="s">
        <v>723</v>
      </c>
      <c r="B181" s="2" t="s">
        <v>1631</v>
      </c>
      <c r="C181" s="2" t="s">
        <v>1219</v>
      </c>
      <c r="D181">
        <v>45</v>
      </c>
      <c r="E181" s="2" t="s">
        <v>1228</v>
      </c>
      <c r="F181" s="2" t="s">
        <v>1243</v>
      </c>
      <c r="G181" s="2" t="s">
        <v>1230</v>
      </c>
      <c r="H181">
        <v>51598</v>
      </c>
      <c r="I181" s="2" t="s">
        <v>1250</v>
      </c>
      <c r="J181" s="2" t="s">
        <v>1231</v>
      </c>
      <c r="K181" s="1">
        <v>45704</v>
      </c>
      <c r="L181">
        <v>2025</v>
      </c>
      <c r="M181" s="2" t="s">
        <v>1632</v>
      </c>
    </row>
    <row r="182" spans="1:13" x14ac:dyDescent="0.25">
      <c r="A182" s="2" t="s">
        <v>1633</v>
      </c>
      <c r="B182" s="2" t="s">
        <v>1634</v>
      </c>
      <c r="C182" s="2" t="s">
        <v>1219</v>
      </c>
      <c r="D182">
        <v>49</v>
      </c>
      <c r="E182" s="2" t="s">
        <v>1228</v>
      </c>
      <c r="F182" s="2" t="s">
        <v>1229</v>
      </c>
      <c r="G182" s="2" t="s">
        <v>1230</v>
      </c>
      <c r="H182">
        <v>113106</v>
      </c>
      <c r="I182" s="2" t="s">
        <v>1245</v>
      </c>
      <c r="J182" s="2" t="s">
        <v>1224</v>
      </c>
      <c r="K182" s="1">
        <v>42387</v>
      </c>
      <c r="L182">
        <v>2016</v>
      </c>
      <c r="M182" s="2" t="s">
        <v>1635</v>
      </c>
    </row>
    <row r="183" spans="1:13" x14ac:dyDescent="0.25">
      <c r="A183" s="2" t="s">
        <v>207</v>
      </c>
      <c r="B183" s="2" t="s">
        <v>1636</v>
      </c>
      <c r="C183" s="2" t="s">
        <v>1219</v>
      </c>
      <c r="D183">
        <v>44</v>
      </c>
      <c r="E183" s="2" t="s">
        <v>1220</v>
      </c>
      <c r="F183" s="2" t="s">
        <v>1229</v>
      </c>
      <c r="G183" s="2" t="s">
        <v>1239</v>
      </c>
      <c r="H183">
        <v>47082</v>
      </c>
      <c r="I183" s="2" t="s">
        <v>1250</v>
      </c>
      <c r="J183" s="2" t="s">
        <v>1231</v>
      </c>
      <c r="K183" s="1">
        <v>45843</v>
      </c>
      <c r="L183">
        <v>2025</v>
      </c>
      <c r="M183" s="2" t="s">
        <v>1637</v>
      </c>
    </row>
    <row r="184" spans="1:13" x14ac:dyDescent="0.25">
      <c r="A184" s="2" t="s">
        <v>55</v>
      </c>
      <c r="B184" s="2" t="s">
        <v>1638</v>
      </c>
      <c r="C184" s="2" t="s">
        <v>1227</v>
      </c>
      <c r="D184">
        <v>37</v>
      </c>
      <c r="E184" s="2" t="s">
        <v>1220</v>
      </c>
      <c r="F184" s="2" t="s">
        <v>1229</v>
      </c>
      <c r="G184" s="2" t="s">
        <v>1244</v>
      </c>
      <c r="H184">
        <v>49241</v>
      </c>
      <c r="I184" s="2" t="s">
        <v>1250</v>
      </c>
      <c r="J184" s="2" t="s">
        <v>1224</v>
      </c>
      <c r="K184" s="1">
        <v>43202</v>
      </c>
      <c r="L184">
        <v>2018</v>
      </c>
      <c r="M184" s="2" t="s">
        <v>1639</v>
      </c>
    </row>
    <row r="185" spans="1:13" x14ac:dyDescent="0.25">
      <c r="A185" s="2" t="s">
        <v>273</v>
      </c>
      <c r="B185" s="2" t="s">
        <v>1640</v>
      </c>
      <c r="C185" s="2" t="s">
        <v>1219</v>
      </c>
      <c r="D185">
        <v>41</v>
      </c>
      <c r="E185" s="2" t="s">
        <v>1220</v>
      </c>
      <c r="F185" s="2" t="s">
        <v>1229</v>
      </c>
      <c r="G185" s="2" t="s">
        <v>1239</v>
      </c>
      <c r="H185">
        <v>195641</v>
      </c>
      <c r="I185" s="2" t="s">
        <v>1223</v>
      </c>
      <c r="J185" s="2" t="s">
        <v>1224</v>
      </c>
      <c r="K185" s="1">
        <v>44775</v>
      </c>
      <c r="L185">
        <v>2022</v>
      </c>
      <c r="M185" s="2" t="s">
        <v>1442</v>
      </c>
    </row>
    <row r="186" spans="1:13" x14ac:dyDescent="0.25">
      <c r="A186" s="2" t="s">
        <v>1641</v>
      </c>
      <c r="B186" s="2" t="s">
        <v>1642</v>
      </c>
      <c r="C186" s="2" t="s">
        <v>1219</v>
      </c>
      <c r="D186">
        <v>29</v>
      </c>
      <c r="E186" s="2" t="s">
        <v>1220</v>
      </c>
      <c r="F186" s="2" t="s">
        <v>1229</v>
      </c>
      <c r="G186" s="2" t="s">
        <v>1244</v>
      </c>
      <c r="H186">
        <v>31745</v>
      </c>
      <c r="I186" s="2" t="s">
        <v>1250</v>
      </c>
      <c r="J186" s="2" t="s">
        <v>1224</v>
      </c>
      <c r="K186" s="1">
        <v>45422</v>
      </c>
      <c r="L186">
        <v>2024</v>
      </c>
      <c r="M186" s="2" t="s">
        <v>1643</v>
      </c>
    </row>
    <row r="187" spans="1:13" x14ac:dyDescent="0.25">
      <c r="A187" s="2" t="s">
        <v>1644</v>
      </c>
      <c r="B187" s="2" t="s">
        <v>1645</v>
      </c>
      <c r="C187" s="2" t="s">
        <v>1219</v>
      </c>
      <c r="D187">
        <v>67</v>
      </c>
      <c r="E187" s="2" t="s">
        <v>1263</v>
      </c>
      <c r="F187" s="2" t="s">
        <v>1249</v>
      </c>
      <c r="G187" s="2" t="s">
        <v>1259</v>
      </c>
      <c r="H187">
        <v>46029</v>
      </c>
      <c r="I187" s="2" t="s">
        <v>1250</v>
      </c>
      <c r="J187" s="2" t="s">
        <v>1236</v>
      </c>
      <c r="K187" s="1">
        <v>42881</v>
      </c>
      <c r="L187">
        <v>2017</v>
      </c>
      <c r="M187" s="2" t="s">
        <v>1646</v>
      </c>
    </row>
    <row r="188" spans="1:13" x14ac:dyDescent="0.25">
      <c r="A188" s="2" t="s">
        <v>1647</v>
      </c>
      <c r="B188" s="2" t="s">
        <v>1648</v>
      </c>
      <c r="C188" s="2" t="s">
        <v>1227</v>
      </c>
      <c r="D188">
        <v>52</v>
      </c>
      <c r="E188" s="2" t="s">
        <v>1228</v>
      </c>
      <c r="F188" s="2" t="s">
        <v>1229</v>
      </c>
      <c r="G188" s="2" t="s">
        <v>1259</v>
      </c>
      <c r="H188">
        <v>164097</v>
      </c>
      <c r="I188" s="2" t="s">
        <v>1223</v>
      </c>
      <c r="J188" s="2" t="s">
        <v>1224</v>
      </c>
      <c r="K188" s="1">
        <v>45101</v>
      </c>
      <c r="L188">
        <v>2023</v>
      </c>
      <c r="M188" s="2" t="s">
        <v>1649</v>
      </c>
    </row>
    <row r="189" spans="1:13" x14ac:dyDescent="0.25">
      <c r="A189" s="2" t="s">
        <v>215</v>
      </c>
      <c r="B189" s="2" t="s">
        <v>1650</v>
      </c>
      <c r="C189" s="2" t="s">
        <v>1219</v>
      </c>
      <c r="D189">
        <v>50</v>
      </c>
      <c r="E189" s="2" t="s">
        <v>1228</v>
      </c>
      <c r="F189" s="2" t="s">
        <v>1229</v>
      </c>
      <c r="G189" s="2" t="s">
        <v>1235</v>
      </c>
      <c r="H189">
        <v>143395</v>
      </c>
      <c r="I189" s="2" t="s">
        <v>1223</v>
      </c>
      <c r="J189" s="2" t="s">
        <v>1231</v>
      </c>
      <c r="K189" s="1">
        <v>45211</v>
      </c>
      <c r="L189">
        <v>2023</v>
      </c>
      <c r="M189" s="2" t="s">
        <v>1651</v>
      </c>
    </row>
    <row r="190" spans="1:13" x14ac:dyDescent="0.25">
      <c r="A190" s="2" t="s">
        <v>667</v>
      </c>
      <c r="B190" s="2" t="s">
        <v>1652</v>
      </c>
      <c r="C190" s="2" t="s">
        <v>1219</v>
      </c>
      <c r="D190">
        <v>50</v>
      </c>
      <c r="E190" s="2" t="s">
        <v>1228</v>
      </c>
      <c r="F190" s="2" t="s">
        <v>1243</v>
      </c>
      <c r="G190" s="2" t="s">
        <v>1259</v>
      </c>
      <c r="H190">
        <v>165360</v>
      </c>
      <c r="I190" s="2" t="s">
        <v>1223</v>
      </c>
      <c r="J190" s="2" t="s">
        <v>1224</v>
      </c>
      <c r="K190" s="1">
        <v>45535</v>
      </c>
      <c r="L190">
        <v>2024</v>
      </c>
      <c r="M190" s="2" t="s">
        <v>1653</v>
      </c>
    </row>
    <row r="191" spans="1:13" x14ac:dyDescent="0.25">
      <c r="A191" s="2" t="s">
        <v>717</v>
      </c>
      <c r="B191" s="2" t="s">
        <v>1654</v>
      </c>
      <c r="C191" s="2" t="s">
        <v>1227</v>
      </c>
      <c r="D191">
        <v>68</v>
      </c>
      <c r="E191" s="2" t="s">
        <v>1263</v>
      </c>
      <c r="F191" s="2" t="s">
        <v>1221</v>
      </c>
      <c r="G191" s="2" t="s">
        <v>1235</v>
      </c>
      <c r="H191">
        <v>109186</v>
      </c>
      <c r="I191" s="2" t="s">
        <v>1245</v>
      </c>
      <c r="J191" s="2" t="s">
        <v>1224</v>
      </c>
      <c r="K191" s="1">
        <v>43008</v>
      </c>
      <c r="L191">
        <v>2017</v>
      </c>
      <c r="M191" s="2" t="s">
        <v>1655</v>
      </c>
    </row>
    <row r="192" spans="1:13" x14ac:dyDescent="0.25">
      <c r="A192" s="2" t="s">
        <v>780</v>
      </c>
      <c r="B192" s="2" t="s">
        <v>1656</v>
      </c>
      <c r="C192" s="2" t="s">
        <v>1219</v>
      </c>
      <c r="D192">
        <v>60</v>
      </c>
      <c r="E192" s="2" t="s">
        <v>1228</v>
      </c>
      <c r="F192" s="2" t="s">
        <v>1249</v>
      </c>
      <c r="G192" s="2" t="s">
        <v>1259</v>
      </c>
      <c r="H192">
        <v>157612</v>
      </c>
      <c r="I192" s="2" t="s">
        <v>1223</v>
      </c>
      <c r="J192" s="2" t="s">
        <v>1224</v>
      </c>
      <c r="K192" s="1">
        <v>43780</v>
      </c>
      <c r="L192">
        <v>2019</v>
      </c>
      <c r="M192" s="2" t="s">
        <v>1657</v>
      </c>
    </row>
    <row r="193" spans="1:13" x14ac:dyDescent="0.25">
      <c r="A193" s="2" t="s">
        <v>43</v>
      </c>
      <c r="B193" s="2" t="s">
        <v>1658</v>
      </c>
      <c r="C193" s="2" t="s">
        <v>1219</v>
      </c>
      <c r="D193">
        <v>54</v>
      </c>
      <c r="E193" s="2" t="s">
        <v>1228</v>
      </c>
      <c r="F193" s="2" t="s">
        <v>1249</v>
      </c>
      <c r="G193" s="2" t="s">
        <v>1253</v>
      </c>
      <c r="H193">
        <v>117768</v>
      </c>
      <c r="I193" s="2" t="s">
        <v>1245</v>
      </c>
      <c r="J193" s="2" t="s">
        <v>1224</v>
      </c>
      <c r="K193" s="1">
        <v>45891</v>
      </c>
      <c r="L193">
        <v>2025</v>
      </c>
      <c r="M193" s="2" t="s">
        <v>1659</v>
      </c>
    </row>
    <row r="194" spans="1:13" x14ac:dyDescent="0.25">
      <c r="A194" s="2" t="s">
        <v>1660</v>
      </c>
      <c r="B194" s="2" t="s">
        <v>1661</v>
      </c>
      <c r="C194" s="2" t="s">
        <v>1219</v>
      </c>
      <c r="D194">
        <v>29</v>
      </c>
      <c r="E194" s="2" t="s">
        <v>1220</v>
      </c>
      <c r="F194" s="2" t="s">
        <v>1249</v>
      </c>
      <c r="G194" s="2" t="s">
        <v>1259</v>
      </c>
      <c r="H194">
        <v>61846</v>
      </c>
      <c r="I194" s="2" t="s">
        <v>1250</v>
      </c>
      <c r="J194" s="2" t="s">
        <v>1231</v>
      </c>
      <c r="K194" s="1">
        <v>44169</v>
      </c>
      <c r="L194">
        <v>2020</v>
      </c>
      <c r="M194" s="2" t="s">
        <v>1662</v>
      </c>
    </row>
    <row r="195" spans="1:13" x14ac:dyDescent="0.25">
      <c r="A195" s="2" t="s">
        <v>1025</v>
      </c>
      <c r="B195" s="2" t="s">
        <v>1663</v>
      </c>
      <c r="C195" s="2" t="s">
        <v>1219</v>
      </c>
      <c r="D195">
        <v>20</v>
      </c>
      <c r="E195" s="2" t="s">
        <v>1242</v>
      </c>
      <c r="F195" s="2" t="s">
        <v>1229</v>
      </c>
      <c r="G195" s="2" t="s">
        <v>1239</v>
      </c>
      <c r="H195">
        <v>95932</v>
      </c>
      <c r="I195" s="2" t="s">
        <v>1245</v>
      </c>
      <c r="J195" s="2" t="s">
        <v>1224</v>
      </c>
      <c r="K195" s="1">
        <v>45446</v>
      </c>
      <c r="L195">
        <v>2024</v>
      </c>
      <c r="M195" s="2" t="s">
        <v>1664</v>
      </c>
    </row>
    <row r="196" spans="1:13" x14ac:dyDescent="0.25">
      <c r="A196" s="2" t="s">
        <v>1665</v>
      </c>
      <c r="B196" s="2" t="s">
        <v>1666</v>
      </c>
      <c r="C196" s="2" t="s">
        <v>1219</v>
      </c>
      <c r="D196">
        <v>18</v>
      </c>
      <c r="E196" s="2" t="s">
        <v>1242</v>
      </c>
      <c r="F196" s="2" t="s">
        <v>1229</v>
      </c>
      <c r="G196" s="2" t="s">
        <v>1222</v>
      </c>
      <c r="H196">
        <v>168554</v>
      </c>
      <c r="I196" s="2" t="s">
        <v>1223</v>
      </c>
      <c r="J196" s="2" t="s">
        <v>1231</v>
      </c>
      <c r="K196" s="1">
        <v>42269</v>
      </c>
      <c r="L196">
        <v>2015</v>
      </c>
      <c r="M196" s="2" t="s">
        <v>1667</v>
      </c>
    </row>
    <row r="197" spans="1:13" x14ac:dyDescent="0.25">
      <c r="A197" s="2" t="s">
        <v>287</v>
      </c>
      <c r="B197" s="2" t="s">
        <v>1668</v>
      </c>
      <c r="C197" s="2" t="s">
        <v>1227</v>
      </c>
      <c r="D197">
        <v>50</v>
      </c>
      <c r="E197" s="2" t="s">
        <v>1228</v>
      </c>
      <c r="F197" s="2" t="s">
        <v>1229</v>
      </c>
      <c r="G197" s="2" t="s">
        <v>1239</v>
      </c>
      <c r="H197">
        <v>43411</v>
      </c>
      <c r="I197" s="2" t="s">
        <v>1250</v>
      </c>
      <c r="J197" s="2" t="s">
        <v>1231</v>
      </c>
      <c r="K197" s="1">
        <v>43612</v>
      </c>
      <c r="L197">
        <v>2019</v>
      </c>
      <c r="M197" s="2" t="s">
        <v>1669</v>
      </c>
    </row>
    <row r="198" spans="1:13" x14ac:dyDescent="0.25">
      <c r="A198" s="2" t="s">
        <v>533</v>
      </c>
      <c r="B198" s="2" t="s">
        <v>1670</v>
      </c>
      <c r="C198" s="2" t="s">
        <v>1227</v>
      </c>
      <c r="D198">
        <v>57</v>
      </c>
      <c r="E198" s="2" t="s">
        <v>1228</v>
      </c>
      <c r="F198" s="2" t="s">
        <v>1243</v>
      </c>
      <c r="G198" s="2" t="s">
        <v>1222</v>
      </c>
      <c r="H198">
        <v>98797</v>
      </c>
      <c r="I198" s="2" t="s">
        <v>1245</v>
      </c>
      <c r="J198" s="2" t="s">
        <v>1236</v>
      </c>
      <c r="K198" s="1">
        <v>42402</v>
      </c>
      <c r="L198">
        <v>2016</v>
      </c>
      <c r="M198" s="2" t="s">
        <v>1671</v>
      </c>
    </row>
    <row r="199" spans="1:13" x14ac:dyDescent="0.25">
      <c r="A199" s="2" t="s">
        <v>88</v>
      </c>
      <c r="B199" s="2" t="s">
        <v>1672</v>
      </c>
      <c r="C199" s="2" t="s">
        <v>1227</v>
      </c>
      <c r="D199">
        <v>27</v>
      </c>
      <c r="E199" s="2" t="s">
        <v>1242</v>
      </c>
      <c r="F199" s="2" t="s">
        <v>1221</v>
      </c>
      <c r="G199" s="2" t="s">
        <v>1230</v>
      </c>
      <c r="H199">
        <v>72307</v>
      </c>
      <c r="I199" s="2" t="s">
        <v>1250</v>
      </c>
      <c r="J199" s="2" t="s">
        <v>1224</v>
      </c>
      <c r="K199" s="1">
        <v>43945</v>
      </c>
      <c r="L199">
        <v>2020</v>
      </c>
      <c r="M199" s="2" t="s">
        <v>1673</v>
      </c>
    </row>
    <row r="200" spans="1:13" x14ac:dyDescent="0.25">
      <c r="A200" s="2" t="s">
        <v>314</v>
      </c>
      <c r="B200" s="2" t="s">
        <v>1674</v>
      </c>
      <c r="C200" s="2" t="s">
        <v>1219</v>
      </c>
      <c r="D200">
        <v>60</v>
      </c>
      <c r="E200" s="2" t="s">
        <v>1228</v>
      </c>
      <c r="F200" s="2" t="s">
        <v>1229</v>
      </c>
      <c r="G200" s="2" t="s">
        <v>1239</v>
      </c>
      <c r="H200">
        <v>154165</v>
      </c>
      <c r="I200" s="2" t="s">
        <v>1223</v>
      </c>
      <c r="J200" s="2" t="s">
        <v>1224</v>
      </c>
      <c r="K200" s="1">
        <v>43118</v>
      </c>
      <c r="L200">
        <v>2018</v>
      </c>
      <c r="M200" s="2" t="s">
        <v>1675</v>
      </c>
    </row>
    <row r="201" spans="1:13" x14ac:dyDescent="0.25">
      <c r="A201" s="2" t="s">
        <v>1676</v>
      </c>
      <c r="B201" s="2" t="s">
        <v>1677</v>
      </c>
      <c r="C201" s="2" t="s">
        <v>1219</v>
      </c>
      <c r="D201">
        <v>61</v>
      </c>
      <c r="E201" s="2" t="s">
        <v>1263</v>
      </c>
      <c r="F201" s="2" t="s">
        <v>1221</v>
      </c>
      <c r="G201" s="2" t="s">
        <v>1230</v>
      </c>
      <c r="H201">
        <v>42042</v>
      </c>
      <c r="I201" s="2" t="s">
        <v>1250</v>
      </c>
      <c r="J201" s="2" t="s">
        <v>1224</v>
      </c>
      <c r="K201" s="1">
        <v>45365</v>
      </c>
      <c r="L201">
        <v>2024</v>
      </c>
      <c r="M201" s="2" t="s">
        <v>1678</v>
      </c>
    </row>
    <row r="202" spans="1:13" x14ac:dyDescent="0.25">
      <c r="A202" s="2" t="s">
        <v>769</v>
      </c>
      <c r="B202" s="2" t="s">
        <v>1679</v>
      </c>
      <c r="C202" s="2" t="s">
        <v>1219</v>
      </c>
      <c r="D202">
        <v>46</v>
      </c>
      <c r="E202" s="2" t="s">
        <v>1228</v>
      </c>
      <c r="F202" s="2" t="s">
        <v>1243</v>
      </c>
      <c r="G202" s="2" t="s">
        <v>1235</v>
      </c>
      <c r="H202">
        <v>72930</v>
      </c>
      <c r="I202" s="2" t="s">
        <v>1250</v>
      </c>
      <c r="J202" s="2" t="s">
        <v>1236</v>
      </c>
      <c r="K202" s="1">
        <v>42971</v>
      </c>
      <c r="L202">
        <v>2017</v>
      </c>
      <c r="M202" s="2" t="s">
        <v>1680</v>
      </c>
    </row>
    <row r="203" spans="1:13" x14ac:dyDescent="0.25">
      <c r="A203" s="2" t="s">
        <v>1198</v>
      </c>
      <c r="B203" s="2" t="s">
        <v>1681</v>
      </c>
      <c r="C203" s="2" t="s">
        <v>1227</v>
      </c>
      <c r="D203">
        <v>30</v>
      </c>
      <c r="E203" s="2" t="s">
        <v>1220</v>
      </c>
      <c r="F203" s="2" t="s">
        <v>1249</v>
      </c>
      <c r="G203" s="2" t="s">
        <v>1235</v>
      </c>
      <c r="H203">
        <v>195485</v>
      </c>
      <c r="I203" s="2" t="s">
        <v>1223</v>
      </c>
      <c r="J203" s="2" t="s">
        <v>1236</v>
      </c>
      <c r="K203" s="1">
        <v>43537</v>
      </c>
      <c r="L203">
        <v>2019</v>
      </c>
      <c r="M203" s="2" t="s">
        <v>1682</v>
      </c>
    </row>
    <row r="204" spans="1:13" x14ac:dyDescent="0.25">
      <c r="A204" s="2" t="s">
        <v>306</v>
      </c>
      <c r="B204" s="2" t="s">
        <v>1683</v>
      </c>
      <c r="C204" s="2" t="s">
        <v>1219</v>
      </c>
      <c r="D204">
        <v>29</v>
      </c>
      <c r="E204" s="2" t="s">
        <v>1220</v>
      </c>
      <c r="F204" s="2" t="s">
        <v>1229</v>
      </c>
      <c r="G204" s="2" t="s">
        <v>1253</v>
      </c>
      <c r="H204">
        <v>117883</v>
      </c>
      <c r="I204" s="2" t="s">
        <v>1245</v>
      </c>
      <c r="J204" s="2" t="s">
        <v>1224</v>
      </c>
      <c r="K204" s="1">
        <v>45525</v>
      </c>
      <c r="L204">
        <v>2024</v>
      </c>
      <c r="M204" s="2" t="s">
        <v>1684</v>
      </c>
    </row>
    <row r="205" spans="1:13" x14ac:dyDescent="0.25">
      <c r="A205" s="2" t="s">
        <v>1685</v>
      </c>
      <c r="B205" s="2" t="s">
        <v>1686</v>
      </c>
      <c r="C205" s="2" t="s">
        <v>1219</v>
      </c>
      <c r="D205">
        <v>48</v>
      </c>
      <c r="E205" s="2" t="s">
        <v>1228</v>
      </c>
      <c r="F205" s="2" t="s">
        <v>1221</v>
      </c>
      <c r="G205" s="2" t="s">
        <v>1259</v>
      </c>
      <c r="H205">
        <v>53756</v>
      </c>
      <c r="I205" s="2" t="s">
        <v>1250</v>
      </c>
      <c r="J205" s="2" t="s">
        <v>1231</v>
      </c>
      <c r="K205" s="1">
        <v>42533</v>
      </c>
      <c r="L205">
        <v>2016</v>
      </c>
      <c r="M205" s="2" t="s">
        <v>1322</v>
      </c>
    </row>
    <row r="206" spans="1:13" x14ac:dyDescent="0.25">
      <c r="A206" s="2" t="s">
        <v>264</v>
      </c>
      <c r="B206" s="2" t="s">
        <v>1687</v>
      </c>
      <c r="C206" s="2" t="s">
        <v>1227</v>
      </c>
      <c r="D206">
        <v>63</v>
      </c>
      <c r="E206" s="2" t="s">
        <v>1263</v>
      </c>
      <c r="F206" s="2" t="s">
        <v>1221</v>
      </c>
      <c r="G206" s="2" t="s">
        <v>1239</v>
      </c>
      <c r="H206">
        <v>73268</v>
      </c>
      <c r="I206" s="2" t="s">
        <v>1250</v>
      </c>
      <c r="J206" s="2" t="s">
        <v>1224</v>
      </c>
      <c r="K206" s="1">
        <v>45587</v>
      </c>
      <c r="L206">
        <v>2024</v>
      </c>
      <c r="M206" s="2" t="s">
        <v>1688</v>
      </c>
    </row>
    <row r="207" spans="1:13" x14ac:dyDescent="0.25">
      <c r="A207" s="2" t="s">
        <v>874</v>
      </c>
      <c r="B207" s="2" t="s">
        <v>1689</v>
      </c>
      <c r="C207" s="2" t="s">
        <v>1219</v>
      </c>
      <c r="D207">
        <v>19</v>
      </c>
      <c r="E207" s="2" t="s">
        <v>1242</v>
      </c>
      <c r="F207" s="2" t="s">
        <v>1229</v>
      </c>
      <c r="G207" s="2" t="s">
        <v>1230</v>
      </c>
      <c r="H207">
        <v>190286</v>
      </c>
      <c r="I207" s="2" t="s">
        <v>1223</v>
      </c>
      <c r="J207" s="2" t="s">
        <v>1231</v>
      </c>
      <c r="K207" s="1">
        <v>43918</v>
      </c>
      <c r="L207">
        <v>2020</v>
      </c>
      <c r="M207" s="2" t="s">
        <v>1690</v>
      </c>
    </row>
    <row r="208" spans="1:13" x14ac:dyDescent="0.25">
      <c r="A208" s="2" t="s">
        <v>815</v>
      </c>
      <c r="B208" s="2" t="s">
        <v>1691</v>
      </c>
      <c r="C208" s="2" t="s">
        <v>1227</v>
      </c>
      <c r="D208">
        <v>68</v>
      </c>
      <c r="E208" s="2" t="s">
        <v>1263</v>
      </c>
      <c r="F208" s="2" t="s">
        <v>1249</v>
      </c>
      <c r="G208" s="2" t="s">
        <v>1222</v>
      </c>
      <c r="H208">
        <v>179674</v>
      </c>
      <c r="I208" s="2" t="s">
        <v>1223</v>
      </c>
      <c r="J208" s="2" t="s">
        <v>1224</v>
      </c>
      <c r="K208" s="1">
        <v>43431</v>
      </c>
      <c r="L208">
        <v>2018</v>
      </c>
      <c r="M208" s="2" t="s">
        <v>1692</v>
      </c>
    </row>
    <row r="209" spans="1:13" x14ac:dyDescent="0.25">
      <c r="A209" s="2" t="s">
        <v>1693</v>
      </c>
      <c r="B209" s="2" t="s">
        <v>1694</v>
      </c>
      <c r="C209" s="2" t="s">
        <v>1227</v>
      </c>
      <c r="D209">
        <v>67</v>
      </c>
      <c r="E209" s="2" t="s">
        <v>1263</v>
      </c>
      <c r="F209" s="2" t="s">
        <v>1249</v>
      </c>
      <c r="G209" s="2" t="s">
        <v>1235</v>
      </c>
      <c r="H209">
        <v>68901</v>
      </c>
      <c r="I209" s="2" t="s">
        <v>1250</v>
      </c>
      <c r="J209" s="2" t="s">
        <v>1231</v>
      </c>
      <c r="K209" s="1">
        <v>44644</v>
      </c>
      <c r="L209">
        <v>2022</v>
      </c>
      <c r="M209" s="2" t="s">
        <v>1695</v>
      </c>
    </row>
    <row r="210" spans="1:13" x14ac:dyDescent="0.25">
      <c r="A210" s="2" t="s">
        <v>1696</v>
      </c>
      <c r="B210" s="2" t="s">
        <v>1697</v>
      </c>
      <c r="C210" s="2" t="s">
        <v>1227</v>
      </c>
      <c r="D210">
        <v>52</v>
      </c>
      <c r="E210" s="2" t="s">
        <v>1228</v>
      </c>
      <c r="F210" s="2" t="s">
        <v>1249</v>
      </c>
      <c r="G210" s="2" t="s">
        <v>1259</v>
      </c>
      <c r="H210">
        <v>119986</v>
      </c>
      <c r="I210" s="2" t="s">
        <v>1245</v>
      </c>
      <c r="J210" s="2" t="s">
        <v>1224</v>
      </c>
      <c r="K210" s="1">
        <v>43935</v>
      </c>
      <c r="L210">
        <v>2020</v>
      </c>
      <c r="M210" s="2" t="s">
        <v>1698</v>
      </c>
    </row>
    <row r="211" spans="1:13" x14ac:dyDescent="0.25">
      <c r="A211" s="2" t="s">
        <v>566</v>
      </c>
      <c r="B211" s="2" t="s">
        <v>1699</v>
      </c>
      <c r="C211" s="2" t="s">
        <v>1219</v>
      </c>
      <c r="D211">
        <v>40</v>
      </c>
      <c r="E211" s="2" t="s">
        <v>1220</v>
      </c>
      <c r="F211" s="2" t="s">
        <v>1243</v>
      </c>
      <c r="G211" s="2" t="s">
        <v>1235</v>
      </c>
      <c r="H211">
        <v>183268</v>
      </c>
      <c r="I211" s="2" t="s">
        <v>1223</v>
      </c>
      <c r="J211" s="2" t="s">
        <v>1231</v>
      </c>
      <c r="K211" s="1">
        <v>43742</v>
      </c>
      <c r="L211">
        <v>2019</v>
      </c>
      <c r="M211" s="2" t="s">
        <v>1700</v>
      </c>
    </row>
    <row r="212" spans="1:13" x14ac:dyDescent="0.25">
      <c r="A212" s="2" t="s">
        <v>17</v>
      </c>
      <c r="B212" s="2" t="s">
        <v>1701</v>
      </c>
      <c r="C212" s="2" t="s">
        <v>1219</v>
      </c>
      <c r="D212">
        <v>34</v>
      </c>
      <c r="E212" s="2" t="s">
        <v>1220</v>
      </c>
      <c r="F212" s="2" t="s">
        <v>1221</v>
      </c>
      <c r="G212" s="2" t="s">
        <v>1222</v>
      </c>
      <c r="H212">
        <v>148386</v>
      </c>
      <c r="I212" s="2" t="s">
        <v>1223</v>
      </c>
      <c r="J212" s="2" t="s">
        <v>1231</v>
      </c>
      <c r="K212" s="1">
        <v>43881</v>
      </c>
      <c r="L212">
        <v>2020</v>
      </c>
      <c r="M212" s="2" t="s">
        <v>1702</v>
      </c>
    </row>
    <row r="213" spans="1:13" x14ac:dyDescent="0.25">
      <c r="A213" s="2" t="s">
        <v>754</v>
      </c>
      <c r="B213" s="2" t="s">
        <v>1703</v>
      </c>
      <c r="C213" s="2" t="s">
        <v>1219</v>
      </c>
      <c r="D213">
        <v>43</v>
      </c>
      <c r="E213" s="2" t="s">
        <v>1220</v>
      </c>
      <c r="F213" s="2" t="s">
        <v>1221</v>
      </c>
      <c r="G213" s="2" t="s">
        <v>1259</v>
      </c>
      <c r="H213">
        <v>25626</v>
      </c>
      <c r="I213" s="2" t="s">
        <v>1250</v>
      </c>
      <c r="J213" s="2" t="s">
        <v>1231</v>
      </c>
      <c r="K213" s="1">
        <v>43477</v>
      </c>
      <c r="L213">
        <v>2019</v>
      </c>
      <c r="M213" s="2" t="s">
        <v>1704</v>
      </c>
    </row>
    <row r="214" spans="1:13" x14ac:dyDescent="0.25">
      <c r="A214" s="2" t="s">
        <v>228</v>
      </c>
      <c r="B214" s="2" t="s">
        <v>1705</v>
      </c>
      <c r="C214" s="2" t="s">
        <v>1219</v>
      </c>
      <c r="D214">
        <v>25</v>
      </c>
      <c r="E214" s="2" t="s">
        <v>1242</v>
      </c>
      <c r="F214" s="2" t="s">
        <v>1221</v>
      </c>
      <c r="G214" s="2" t="s">
        <v>1259</v>
      </c>
      <c r="H214">
        <v>158496</v>
      </c>
      <c r="I214" s="2" t="s">
        <v>1223</v>
      </c>
      <c r="J214" s="2" t="s">
        <v>1224</v>
      </c>
      <c r="K214" s="1">
        <v>42973</v>
      </c>
      <c r="L214">
        <v>2017</v>
      </c>
      <c r="M214" s="2" t="s">
        <v>1706</v>
      </c>
    </row>
    <row r="215" spans="1:13" x14ac:dyDescent="0.25">
      <c r="A215" s="2" t="s">
        <v>469</v>
      </c>
      <c r="B215" s="2" t="s">
        <v>1707</v>
      </c>
      <c r="C215" s="2" t="s">
        <v>1219</v>
      </c>
      <c r="D215">
        <v>46</v>
      </c>
      <c r="E215" s="2" t="s">
        <v>1228</v>
      </c>
      <c r="F215" s="2" t="s">
        <v>1243</v>
      </c>
      <c r="G215" s="2" t="s">
        <v>1230</v>
      </c>
      <c r="H215">
        <v>32857</v>
      </c>
      <c r="I215" s="2" t="s">
        <v>1250</v>
      </c>
      <c r="J215" s="2" t="s">
        <v>1224</v>
      </c>
      <c r="K215" s="1">
        <v>44799</v>
      </c>
      <c r="L215">
        <v>2022</v>
      </c>
      <c r="M215" s="2" t="s">
        <v>1708</v>
      </c>
    </row>
    <row r="216" spans="1:13" x14ac:dyDescent="0.25">
      <c r="A216" s="2" t="s">
        <v>857</v>
      </c>
      <c r="B216" s="2" t="s">
        <v>1709</v>
      </c>
      <c r="C216" s="2" t="s">
        <v>1219</v>
      </c>
      <c r="D216">
        <v>43</v>
      </c>
      <c r="E216" s="2" t="s">
        <v>1220</v>
      </c>
      <c r="F216" s="2" t="s">
        <v>1221</v>
      </c>
      <c r="G216" s="2" t="s">
        <v>1230</v>
      </c>
      <c r="H216">
        <v>171054</v>
      </c>
      <c r="I216" s="2" t="s">
        <v>1223</v>
      </c>
      <c r="J216" s="2" t="s">
        <v>1224</v>
      </c>
      <c r="K216" s="1">
        <v>43877</v>
      </c>
      <c r="L216">
        <v>2020</v>
      </c>
      <c r="M216" s="2" t="s">
        <v>1710</v>
      </c>
    </row>
    <row r="217" spans="1:13" x14ac:dyDescent="0.25">
      <c r="A217" s="2" t="s">
        <v>697</v>
      </c>
      <c r="B217" s="2" t="s">
        <v>1711</v>
      </c>
      <c r="C217" s="2" t="s">
        <v>1219</v>
      </c>
      <c r="D217">
        <v>27</v>
      </c>
      <c r="E217" s="2" t="s">
        <v>1242</v>
      </c>
      <c r="F217" s="2" t="s">
        <v>1243</v>
      </c>
      <c r="G217" s="2" t="s">
        <v>1239</v>
      </c>
      <c r="H217">
        <v>153052</v>
      </c>
      <c r="I217" s="2" t="s">
        <v>1223</v>
      </c>
      <c r="J217" s="2" t="s">
        <v>1224</v>
      </c>
      <c r="K217" s="1">
        <v>42311</v>
      </c>
      <c r="L217">
        <v>2015</v>
      </c>
      <c r="M217" s="2" t="s">
        <v>1712</v>
      </c>
    </row>
    <row r="218" spans="1:13" x14ac:dyDescent="0.25">
      <c r="A218" s="2" t="s">
        <v>262</v>
      </c>
      <c r="B218" s="2" t="s">
        <v>1713</v>
      </c>
      <c r="C218" s="2" t="s">
        <v>1227</v>
      </c>
      <c r="D218">
        <v>43</v>
      </c>
      <c r="E218" s="2" t="s">
        <v>1220</v>
      </c>
      <c r="F218" s="2" t="s">
        <v>1249</v>
      </c>
      <c r="G218" s="2" t="s">
        <v>1239</v>
      </c>
      <c r="H218">
        <v>199362</v>
      </c>
      <c r="I218" s="2" t="s">
        <v>1223</v>
      </c>
      <c r="J218" s="2" t="s">
        <v>1224</v>
      </c>
      <c r="K218" s="1">
        <v>45083</v>
      </c>
      <c r="L218">
        <v>2023</v>
      </c>
      <c r="M218" s="2" t="s">
        <v>1714</v>
      </c>
    </row>
    <row r="219" spans="1:13" x14ac:dyDescent="0.25">
      <c r="A219" s="2" t="s">
        <v>340</v>
      </c>
      <c r="B219" s="2" t="s">
        <v>1715</v>
      </c>
      <c r="C219" s="2" t="s">
        <v>1219</v>
      </c>
      <c r="D219">
        <v>51</v>
      </c>
      <c r="E219" s="2" t="s">
        <v>1228</v>
      </c>
      <c r="F219" s="2" t="s">
        <v>1229</v>
      </c>
      <c r="G219" s="2" t="s">
        <v>1244</v>
      </c>
      <c r="H219">
        <v>46431</v>
      </c>
      <c r="I219" s="2" t="s">
        <v>1250</v>
      </c>
      <c r="J219" s="2" t="s">
        <v>1236</v>
      </c>
      <c r="K219" s="1">
        <v>42586</v>
      </c>
      <c r="L219">
        <v>2016</v>
      </c>
      <c r="M219" s="2" t="s">
        <v>1716</v>
      </c>
    </row>
    <row r="220" spans="1:13" x14ac:dyDescent="0.25">
      <c r="A220" s="2" t="s">
        <v>824</v>
      </c>
      <c r="B220" s="2" t="s">
        <v>1717</v>
      </c>
      <c r="C220" s="2" t="s">
        <v>1227</v>
      </c>
      <c r="D220">
        <v>68</v>
      </c>
      <c r="E220" s="2" t="s">
        <v>1263</v>
      </c>
      <c r="F220" s="2" t="s">
        <v>1221</v>
      </c>
      <c r="G220" s="2" t="s">
        <v>1244</v>
      </c>
      <c r="H220">
        <v>104976</v>
      </c>
      <c r="I220" s="2" t="s">
        <v>1245</v>
      </c>
      <c r="J220" s="2" t="s">
        <v>1224</v>
      </c>
      <c r="K220" s="1">
        <v>43719</v>
      </c>
      <c r="L220">
        <v>2019</v>
      </c>
      <c r="M220" s="2" t="s">
        <v>1718</v>
      </c>
    </row>
    <row r="221" spans="1:13" x14ac:dyDescent="0.25">
      <c r="A221" s="2" t="s">
        <v>240</v>
      </c>
      <c r="B221" s="2" t="s">
        <v>1719</v>
      </c>
      <c r="C221" s="2" t="s">
        <v>1219</v>
      </c>
      <c r="D221">
        <v>58</v>
      </c>
      <c r="E221" s="2" t="s">
        <v>1228</v>
      </c>
      <c r="F221" s="2" t="s">
        <v>1221</v>
      </c>
      <c r="G221" s="2" t="s">
        <v>1253</v>
      </c>
      <c r="H221">
        <v>102711</v>
      </c>
      <c r="I221" s="2" t="s">
        <v>1245</v>
      </c>
      <c r="J221" s="2" t="s">
        <v>1224</v>
      </c>
      <c r="K221" s="1">
        <v>45427</v>
      </c>
      <c r="L221">
        <v>2024</v>
      </c>
      <c r="M221" s="2" t="s">
        <v>1720</v>
      </c>
    </row>
    <row r="222" spans="1:13" x14ac:dyDescent="0.25">
      <c r="A222" s="2" t="s">
        <v>1721</v>
      </c>
      <c r="B222" s="2" t="s">
        <v>1722</v>
      </c>
      <c r="C222" s="2" t="s">
        <v>1219</v>
      </c>
      <c r="D222">
        <v>24</v>
      </c>
      <c r="E222" s="2" t="s">
        <v>1242</v>
      </c>
      <c r="F222" s="2" t="s">
        <v>1249</v>
      </c>
      <c r="G222" s="2" t="s">
        <v>1235</v>
      </c>
      <c r="H222">
        <v>46385</v>
      </c>
      <c r="I222" s="2" t="s">
        <v>1250</v>
      </c>
      <c r="J222" s="2" t="s">
        <v>1224</v>
      </c>
      <c r="K222" s="1">
        <v>43046</v>
      </c>
      <c r="L222">
        <v>2017</v>
      </c>
      <c r="M222" s="2" t="s">
        <v>1622</v>
      </c>
    </row>
    <row r="223" spans="1:13" x14ac:dyDescent="0.25">
      <c r="A223" s="2" t="s">
        <v>915</v>
      </c>
      <c r="B223" s="2" t="s">
        <v>1723</v>
      </c>
      <c r="C223" s="2" t="s">
        <v>1219</v>
      </c>
      <c r="D223">
        <v>21</v>
      </c>
      <c r="E223" s="2" t="s">
        <v>1242</v>
      </c>
      <c r="F223" s="2" t="s">
        <v>1229</v>
      </c>
      <c r="G223" s="2" t="s">
        <v>1239</v>
      </c>
      <c r="H223">
        <v>189230</v>
      </c>
      <c r="I223" s="2" t="s">
        <v>1223</v>
      </c>
      <c r="J223" s="2" t="s">
        <v>1224</v>
      </c>
      <c r="K223" s="1">
        <v>45495</v>
      </c>
      <c r="L223">
        <v>2024</v>
      </c>
      <c r="M223" s="2" t="s">
        <v>1724</v>
      </c>
    </row>
    <row r="224" spans="1:13" x14ac:dyDescent="0.25">
      <c r="A224" s="2" t="s">
        <v>640</v>
      </c>
      <c r="B224" s="2" t="s">
        <v>1725</v>
      </c>
      <c r="C224" s="2" t="s">
        <v>1227</v>
      </c>
      <c r="D224">
        <v>70</v>
      </c>
      <c r="E224" s="2" t="s">
        <v>1263</v>
      </c>
      <c r="F224" s="2" t="s">
        <v>1243</v>
      </c>
      <c r="G224" s="2" t="s">
        <v>1230</v>
      </c>
      <c r="H224">
        <v>174091</v>
      </c>
      <c r="I224" s="2" t="s">
        <v>1223</v>
      </c>
      <c r="J224" s="2" t="s">
        <v>1231</v>
      </c>
      <c r="K224" s="1">
        <v>42378</v>
      </c>
      <c r="L224">
        <v>2016</v>
      </c>
      <c r="M224" s="2" t="s">
        <v>1726</v>
      </c>
    </row>
    <row r="225" spans="1:13" x14ac:dyDescent="0.25">
      <c r="A225" s="2" t="s">
        <v>1727</v>
      </c>
      <c r="B225" s="2" t="s">
        <v>1728</v>
      </c>
      <c r="C225" s="2" t="s">
        <v>1227</v>
      </c>
      <c r="D225">
        <v>67</v>
      </c>
      <c r="E225" s="2" t="s">
        <v>1263</v>
      </c>
      <c r="F225" s="2" t="s">
        <v>1229</v>
      </c>
      <c r="G225" s="2" t="s">
        <v>1222</v>
      </c>
      <c r="H225">
        <v>38639</v>
      </c>
      <c r="I225" s="2" t="s">
        <v>1250</v>
      </c>
      <c r="J225" s="2" t="s">
        <v>1224</v>
      </c>
      <c r="K225" s="1">
        <v>42653</v>
      </c>
      <c r="L225">
        <v>2016</v>
      </c>
      <c r="M225" s="2" t="s">
        <v>1729</v>
      </c>
    </row>
    <row r="226" spans="1:13" x14ac:dyDescent="0.25">
      <c r="A226" s="2" t="s">
        <v>820</v>
      </c>
      <c r="B226" s="2" t="s">
        <v>1730</v>
      </c>
      <c r="C226" s="2" t="s">
        <v>1227</v>
      </c>
      <c r="D226">
        <v>62</v>
      </c>
      <c r="E226" s="2" t="s">
        <v>1263</v>
      </c>
      <c r="F226" s="2" t="s">
        <v>1249</v>
      </c>
      <c r="G226" s="2" t="s">
        <v>1230</v>
      </c>
      <c r="H226">
        <v>105530</v>
      </c>
      <c r="I226" s="2" t="s">
        <v>1245</v>
      </c>
      <c r="J226" s="2" t="s">
        <v>1236</v>
      </c>
      <c r="K226" s="1">
        <v>43070</v>
      </c>
      <c r="L226">
        <v>2017</v>
      </c>
      <c r="M226" s="2" t="s">
        <v>1731</v>
      </c>
    </row>
    <row r="227" spans="1:13" x14ac:dyDescent="0.25">
      <c r="A227" s="2" t="s">
        <v>699</v>
      </c>
      <c r="B227" s="2" t="s">
        <v>1732</v>
      </c>
      <c r="C227" s="2" t="s">
        <v>1227</v>
      </c>
      <c r="D227">
        <v>28</v>
      </c>
      <c r="E227" s="2" t="s">
        <v>1242</v>
      </c>
      <c r="F227" s="2" t="s">
        <v>1249</v>
      </c>
      <c r="G227" s="2" t="s">
        <v>1235</v>
      </c>
      <c r="H227">
        <v>41563</v>
      </c>
      <c r="I227" s="2" t="s">
        <v>1250</v>
      </c>
      <c r="J227" s="2" t="s">
        <v>1224</v>
      </c>
      <c r="K227" s="1">
        <v>45387</v>
      </c>
      <c r="L227">
        <v>2024</v>
      </c>
      <c r="M227" s="2" t="s">
        <v>1733</v>
      </c>
    </row>
    <row r="228" spans="1:13" x14ac:dyDescent="0.25">
      <c r="A228" s="2" t="s">
        <v>516</v>
      </c>
      <c r="B228" s="2" t="s">
        <v>1734</v>
      </c>
      <c r="C228" s="2" t="s">
        <v>1219</v>
      </c>
      <c r="D228">
        <v>46</v>
      </c>
      <c r="E228" s="2" t="s">
        <v>1228</v>
      </c>
      <c r="F228" s="2" t="s">
        <v>1229</v>
      </c>
      <c r="G228" s="2" t="s">
        <v>1244</v>
      </c>
      <c r="H228">
        <v>190413</v>
      </c>
      <c r="I228" s="2" t="s">
        <v>1223</v>
      </c>
      <c r="J228" s="2" t="s">
        <v>1236</v>
      </c>
      <c r="K228" s="1">
        <v>42873</v>
      </c>
      <c r="L228">
        <v>2017</v>
      </c>
      <c r="M228" s="2" t="s">
        <v>1735</v>
      </c>
    </row>
    <row r="229" spans="1:13" x14ac:dyDescent="0.25">
      <c r="A229" s="2" t="s">
        <v>51</v>
      </c>
      <c r="B229" s="2" t="s">
        <v>1736</v>
      </c>
      <c r="C229" s="2" t="s">
        <v>1227</v>
      </c>
      <c r="D229">
        <v>73</v>
      </c>
      <c r="E229" s="2" t="s">
        <v>1263</v>
      </c>
      <c r="F229" s="2" t="s">
        <v>1243</v>
      </c>
      <c r="G229" s="2" t="s">
        <v>1230</v>
      </c>
      <c r="H229">
        <v>135672</v>
      </c>
      <c r="I229" s="2" t="s">
        <v>1245</v>
      </c>
      <c r="J229" s="2" t="s">
        <v>1231</v>
      </c>
      <c r="K229" s="1">
        <v>43479</v>
      </c>
      <c r="L229">
        <v>2019</v>
      </c>
      <c r="M229" s="2" t="s">
        <v>1737</v>
      </c>
    </row>
    <row r="230" spans="1:13" x14ac:dyDescent="0.25">
      <c r="A230" s="2" t="s">
        <v>1738</v>
      </c>
      <c r="B230" s="2" t="s">
        <v>1739</v>
      </c>
      <c r="C230" s="2" t="s">
        <v>1219</v>
      </c>
      <c r="D230">
        <v>53</v>
      </c>
      <c r="E230" s="2" t="s">
        <v>1228</v>
      </c>
      <c r="F230" s="2" t="s">
        <v>1243</v>
      </c>
      <c r="G230" s="2" t="s">
        <v>1253</v>
      </c>
      <c r="H230">
        <v>156848</v>
      </c>
      <c r="I230" s="2" t="s">
        <v>1223</v>
      </c>
      <c r="J230" s="2" t="s">
        <v>1224</v>
      </c>
      <c r="K230" s="1">
        <v>44786</v>
      </c>
      <c r="L230">
        <v>2022</v>
      </c>
      <c r="M230" s="2" t="s">
        <v>1740</v>
      </c>
    </row>
    <row r="231" spans="1:13" x14ac:dyDescent="0.25">
      <c r="A231" s="2" t="s">
        <v>1741</v>
      </c>
      <c r="B231" s="2" t="s">
        <v>1742</v>
      </c>
      <c r="C231" s="2" t="s">
        <v>1219</v>
      </c>
      <c r="D231">
        <v>42</v>
      </c>
      <c r="E231" s="2" t="s">
        <v>1220</v>
      </c>
      <c r="F231" s="2" t="s">
        <v>1221</v>
      </c>
      <c r="G231" s="2" t="s">
        <v>1235</v>
      </c>
      <c r="H231">
        <v>187516</v>
      </c>
      <c r="I231" s="2" t="s">
        <v>1223</v>
      </c>
      <c r="J231" s="2" t="s">
        <v>1236</v>
      </c>
      <c r="K231" s="1">
        <v>43184</v>
      </c>
      <c r="L231">
        <v>2018</v>
      </c>
      <c r="M231" s="2" t="s">
        <v>1743</v>
      </c>
    </row>
    <row r="232" spans="1:13" x14ac:dyDescent="0.25">
      <c r="A232" s="2" t="s">
        <v>188</v>
      </c>
      <c r="B232" s="2" t="s">
        <v>1744</v>
      </c>
      <c r="C232" s="2" t="s">
        <v>1227</v>
      </c>
      <c r="D232">
        <v>38</v>
      </c>
      <c r="E232" s="2" t="s">
        <v>1220</v>
      </c>
      <c r="F232" s="2" t="s">
        <v>1243</v>
      </c>
      <c r="G232" s="2" t="s">
        <v>1244</v>
      </c>
      <c r="H232">
        <v>159783</v>
      </c>
      <c r="I232" s="2" t="s">
        <v>1223</v>
      </c>
      <c r="J232" s="2" t="s">
        <v>1224</v>
      </c>
      <c r="K232" s="1">
        <v>44937</v>
      </c>
      <c r="L232">
        <v>2023</v>
      </c>
      <c r="M232" s="2" t="s">
        <v>1745</v>
      </c>
    </row>
    <row r="233" spans="1:13" x14ac:dyDescent="0.25">
      <c r="A233" s="2" t="s">
        <v>473</v>
      </c>
      <c r="B233" s="2" t="s">
        <v>1746</v>
      </c>
      <c r="C233" s="2" t="s">
        <v>1227</v>
      </c>
      <c r="D233">
        <v>74</v>
      </c>
      <c r="E233" s="2" t="s">
        <v>1263</v>
      </c>
      <c r="F233" s="2" t="s">
        <v>1229</v>
      </c>
      <c r="G233" s="2" t="s">
        <v>1222</v>
      </c>
      <c r="H233">
        <v>102970</v>
      </c>
      <c r="I233" s="2" t="s">
        <v>1245</v>
      </c>
      <c r="J233" s="2" t="s">
        <v>1231</v>
      </c>
      <c r="K233" s="1">
        <v>43335</v>
      </c>
      <c r="L233">
        <v>2018</v>
      </c>
      <c r="M233" s="2" t="s">
        <v>1747</v>
      </c>
    </row>
    <row r="234" spans="1:13" x14ac:dyDescent="0.25">
      <c r="A234" s="2" t="s">
        <v>1102</v>
      </c>
      <c r="B234" s="2" t="s">
        <v>1748</v>
      </c>
      <c r="C234" s="2" t="s">
        <v>1227</v>
      </c>
      <c r="D234">
        <v>53</v>
      </c>
      <c r="E234" s="2" t="s">
        <v>1228</v>
      </c>
      <c r="F234" s="2" t="s">
        <v>1249</v>
      </c>
      <c r="G234" s="2" t="s">
        <v>1244</v>
      </c>
      <c r="H234">
        <v>105553</v>
      </c>
      <c r="I234" s="2" t="s">
        <v>1245</v>
      </c>
      <c r="J234" s="2" t="s">
        <v>1224</v>
      </c>
      <c r="K234" s="1">
        <v>42932</v>
      </c>
      <c r="L234">
        <v>2017</v>
      </c>
      <c r="M234" s="2" t="s">
        <v>1749</v>
      </c>
    </row>
    <row r="235" spans="1:13" x14ac:dyDescent="0.25">
      <c r="A235" s="2" t="s">
        <v>1750</v>
      </c>
      <c r="B235" s="2" t="s">
        <v>1751</v>
      </c>
      <c r="C235" s="2" t="s">
        <v>1227</v>
      </c>
      <c r="D235">
        <v>27</v>
      </c>
      <c r="E235" s="2" t="s">
        <v>1242</v>
      </c>
      <c r="F235" s="2" t="s">
        <v>1221</v>
      </c>
      <c r="G235" s="2" t="s">
        <v>1259</v>
      </c>
      <c r="H235">
        <v>181779</v>
      </c>
      <c r="I235" s="2" t="s">
        <v>1223</v>
      </c>
      <c r="J235" s="2" t="s">
        <v>1231</v>
      </c>
      <c r="K235" s="1">
        <v>42976</v>
      </c>
      <c r="L235">
        <v>2017</v>
      </c>
      <c r="M235" s="2" t="s">
        <v>1455</v>
      </c>
    </row>
    <row r="236" spans="1:13" x14ac:dyDescent="0.25">
      <c r="A236" s="2" t="s">
        <v>1752</v>
      </c>
      <c r="B236" s="2" t="s">
        <v>1753</v>
      </c>
      <c r="C236" s="2" t="s">
        <v>1227</v>
      </c>
      <c r="D236">
        <v>54</v>
      </c>
      <c r="E236" s="2" t="s">
        <v>1228</v>
      </c>
      <c r="F236" s="2" t="s">
        <v>1221</v>
      </c>
      <c r="G236" s="2" t="s">
        <v>1253</v>
      </c>
      <c r="H236">
        <v>190182</v>
      </c>
      <c r="I236" s="2" t="s">
        <v>1223</v>
      </c>
      <c r="J236" s="2" t="s">
        <v>1231</v>
      </c>
      <c r="K236" s="1">
        <v>45033</v>
      </c>
      <c r="L236">
        <v>2023</v>
      </c>
      <c r="M236" s="2" t="s">
        <v>1754</v>
      </c>
    </row>
    <row r="237" spans="1:13" x14ac:dyDescent="0.25">
      <c r="A237" s="2" t="s">
        <v>1755</v>
      </c>
      <c r="B237" s="2" t="s">
        <v>1756</v>
      </c>
      <c r="C237" s="2" t="s">
        <v>1227</v>
      </c>
      <c r="D237">
        <v>26</v>
      </c>
      <c r="E237" s="2" t="s">
        <v>1242</v>
      </c>
      <c r="F237" s="2" t="s">
        <v>1249</v>
      </c>
      <c r="G237" s="2" t="s">
        <v>1235</v>
      </c>
      <c r="H237">
        <v>102879</v>
      </c>
      <c r="I237" s="2" t="s">
        <v>1245</v>
      </c>
      <c r="J237" s="2" t="s">
        <v>1231</v>
      </c>
      <c r="K237" s="1">
        <v>42866</v>
      </c>
      <c r="L237">
        <v>2017</v>
      </c>
      <c r="M237" s="2" t="s">
        <v>1757</v>
      </c>
    </row>
    <row r="238" spans="1:13" x14ac:dyDescent="0.25">
      <c r="A238" s="2" t="s">
        <v>1068</v>
      </c>
      <c r="B238" s="2" t="s">
        <v>1758</v>
      </c>
      <c r="C238" s="2" t="s">
        <v>1227</v>
      </c>
      <c r="D238">
        <v>41</v>
      </c>
      <c r="E238" s="2" t="s">
        <v>1220</v>
      </c>
      <c r="F238" s="2" t="s">
        <v>1243</v>
      </c>
      <c r="G238" s="2" t="s">
        <v>1222</v>
      </c>
      <c r="H238">
        <v>189899</v>
      </c>
      <c r="I238" s="2" t="s">
        <v>1223</v>
      </c>
      <c r="J238" s="2" t="s">
        <v>1231</v>
      </c>
      <c r="K238" s="1">
        <v>45579</v>
      </c>
      <c r="L238">
        <v>2024</v>
      </c>
      <c r="M238" s="2" t="s">
        <v>1759</v>
      </c>
    </row>
    <row r="239" spans="1:13" x14ac:dyDescent="0.25">
      <c r="A239" s="2" t="s">
        <v>562</v>
      </c>
      <c r="B239" s="2" t="s">
        <v>1760</v>
      </c>
      <c r="C239" s="2" t="s">
        <v>1227</v>
      </c>
      <c r="D239">
        <v>52</v>
      </c>
      <c r="E239" s="2" t="s">
        <v>1228</v>
      </c>
      <c r="F239" s="2" t="s">
        <v>1249</v>
      </c>
      <c r="G239" s="2" t="s">
        <v>1253</v>
      </c>
      <c r="H239">
        <v>156727</v>
      </c>
      <c r="I239" s="2" t="s">
        <v>1223</v>
      </c>
      <c r="J239" s="2" t="s">
        <v>1224</v>
      </c>
      <c r="K239" s="1">
        <v>44108</v>
      </c>
      <c r="L239">
        <v>2020</v>
      </c>
      <c r="M239" s="2" t="s">
        <v>1761</v>
      </c>
    </row>
    <row r="240" spans="1:13" x14ac:dyDescent="0.25">
      <c r="A240" s="2" t="s">
        <v>1177</v>
      </c>
      <c r="B240" s="2" t="s">
        <v>1762</v>
      </c>
      <c r="C240" s="2" t="s">
        <v>1219</v>
      </c>
      <c r="D240">
        <v>66</v>
      </c>
      <c r="E240" s="2" t="s">
        <v>1263</v>
      </c>
      <c r="F240" s="2" t="s">
        <v>1243</v>
      </c>
      <c r="G240" s="2" t="s">
        <v>1244</v>
      </c>
      <c r="H240">
        <v>64859</v>
      </c>
      <c r="I240" s="2" t="s">
        <v>1250</v>
      </c>
      <c r="J240" s="2" t="s">
        <v>1224</v>
      </c>
      <c r="K240" s="1">
        <v>45601</v>
      </c>
      <c r="L240">
        <v>2024</v>
      </c>
      <c r="M240" s="2" t="s">
        <v>1763</v>
      </c>
    </row>
    <row r="241" spans="1:13" x14ac:dyDescent="0.25">
      <c r="A241" s="2" t="s">
        <v>94</v>
      </c>
      <c r="B241" s="2" t="s">
        <v>1764</v>
      </c>
      <c r="C241" s="2" t="s">
        <v>1227</v>
      </c>
      <c r="D241">
        <v>52</v>
      </c>
      <c r="E241" s="2" t="s">
        <v>1228</v>
      </c>
      <c r="F241" s="2" t="s">
        <v>1249</v>
      </c>
      <c r="G241" s="2" t="s">
        <v>1253</v>
      </c>
      <c r="H241">
        <v>72098</v>
      </c>
      <c r="I241" s="2" t="s">
        <v>1250</v>
      </c>
      <c r="J241" s="2" t="s">
        <v>1224</v>
      </c>
      <c r="K241" s="1">
        <v>44544</v>
      </c>
      <c r="L241">
        <v>2021</v>
      </c>
      <c r="M241" s="2" t="s">
        <v>1765</v>
      </c>
    </row>
    <row r="242" spans="1:13" x14ac:dyDescent="0.25">
      <c r="A242" s="2" t="s">
        <v>1060</v>
      </c>
      <c r="B242" s="2" t="s">
        <v>1766</v>
      </c>
      <c r="C242" s="2" t="s">
        <v>1227</v>
      </c>
      <c r="D242">
        <v>65</v>
      </c>
      <c r="E242" s="2" t="s">
        <v>1263</v>
      </c>
      <c r="F242" s="2" t="s">
        <v>1229</v>
      </c>
      <c r="G242" s="2" t="s">
        <v>1235</v>
      </c>
      <c r="H242">
        <v>166323</v>
      </c>
      <c r="I242" s="2" t="s">
        <v>1223</v>
      </c>
      <c r="J242" s="2" t="s">
        <v>1224</v>
      </c>
      <c r="K242" s="1">
        <v>45420</v>
      </c>
      <c r="L242">
        <v>2024</v>
      </c>
      <c r="M242" s="2" t="s">
        <v>1767</v>
      </c>
    </row>
    <row r="243" spans="1:13" x14ac:dyDescent="0.25">
      <c r="A243" s="2" t="s">
        <v>1768</v>
      </c>
      <c r="B243" s="2" t="s">
        <v>1769</v>
      </c>
      <c r="C243" s="2" t="s">
        <v>1219</v>
      </c>
      <c r="D243">
        <v>53</v>
      </c>
      <c r="E243" s="2" t="s">
        <v>1228</v>
      </c>
      <c r="F243" s="2" t="s">
        <v>1243</v>
      </c>
      <c r="G243" s="2" t="s">
        <v>1239</v>
      </c>
      <c r="H243">
        <v>142413</v>
      </c>
      <c r="I243" s="2" t="s">
        <v>1223</v>
      </c>
      <c r="J243" s="2" t="s">
        <v>1231</v>
      </c>
      <c r="K243" s="1">
        <v>44622</v>
      </c>
      <c r="L243">
        <v>2022</v>
      </c>
      <c r="M243" s="2" t="s">
        <v>1770</v>
      </c>
    </row>
    <row r="244" spans="1:13" x14ac:dyDescent="0.25">
      <c r="A244" s="2" t="s">
        <v>449</v>
      </c>
      <c r="B244" s="2" t="s">
        <v>1771</v>
      </c>
      <c r="C244" s="2" t="s">
        <v>1227</v>
      </c>
      <c r="D244">
        <v>35</v>
      </c>
      <c r="E244" s="2" t="s">
        <v>1220</v>
      </c>
      <c r="F244" s="2" t="s">
        <v>1229</v>
      </c>
      <c r="G244" s="2" t="s">
        <v>1253</v>
      </c>
      <c r="H244">
        <v>20526</v>
      </c>
      <c r="I244" s="2" t="s">
        <v>1250</v>
      </c>
      <c r="J244" s="2" t="s">
        <v>1224</v>
      </c>
      <c r="K244" s="1">
        <v>43688</v>
      </c>
      <c r="L244">
        <v>2019</v>
      </c>
      <c r="M244" s="2" t="s">
        <v>1772</v>
      </c>
    </row>
    <row r="245" spans="1:13" x14ac:dyDescent="0.25">
      <c r="A245" s="2" t="s">
        <v>1773</v>
      </c>
      <c r="B245" s="2" t="s">
        <v>1774</v>
      </c>
      <c r="C245" s="2" t="s">
        <v>1219</v>
      </c>
      <c r="D245">
        <v>66</v>
      </c>
      <c r="E245" s="2" t="s">
        <v>1263</v>
      </c>
      <c r="F245" s="2" t="s">
        <v>1221</v>
      </c>
      <c r="G245" s="2" t="s">
        <v>1259</v>
      </c>
      <c r="H245">
        <v>88760</v>
      </c>
      <c r="I245" s="2" t="s">
        <v>1245</v>
      </c>
      <c r="J245" s="2" t="s">
        <v>1236</v>
      </c>
      <c r="K245" s="1">
        <v>44922</v>
      </c>
      <c r="L245">
        <v>2022</v>
      </c>
      <c r="M245" s="2" t="s">
        <v>1775</v>
      </c>
    </row>
    <row r="246" spans="1:13" x14ac:dyDescent="0.25">
      <c r="A246" s="2" t="s">
        <v>148</v>
      </c>
      <c r="B246" s="2" t="s">
        <v>1776</v>
      </c>
      <c r="C246" s="2" t="s">
        <v>1219</v>
      </c>
      <c r="D246">
        <v>56</v>
      </c>
      <c r="E246" s="2" t="s">
        <v>1228</v>
      </c>
      <c r="F246" s="2" t="s">
        <v>1249</v>
      </c>
      <c r="G246" s="2" t="s">
        <v>1253</v>
      </c>
      <c r="H246">
        <v>67837</v>
      </c>
      <c r="I246" s="2" t="s">
        <v>1250</v>
      </c>
      <c r="J246" s="2" t="s">
        <v>1231</v>
      </c>
      <c r="K246" s="1">
        <v>43395</v>
      </c>
      <c r="L246">
        <v>2018</v>
      </c>
      <c r="M246" s="2" t="s">
        <v>1777</v>
      </c>
    </row>
    <row r="247" spans="1:13" x14ac:dyDescent="0.25">
      <c r="A247" s="2" t="s">
        <v>608</v>
      </c>
      <c r="B247" s="2" t="s">
        <v>1778</v>
      </c>
      <c r="C247" s="2" t="s">
        <v>1227</v>
      </c>
      <c r="D247">
        <v>49</v>
      </c>
      <c r="E247" s="2" t="s">
        <v>1228</v>
      </c>
      <c r="F247" s="2" t="s">
        <v>1221</v>
      </c>
      <c r="G247" s="2" t="s">
        <v>1244</v>
      </c>
      <c r="H247">
        <v>31536</v>
      </c>
      <c r="I247" s="2" t="s">
        <v>1250</v>
      </c>
      <c r="J247" s="2" t="s">
        <v>1231</v>
      </c>
      <c r="K247" s="1">
        <v>43113</v>
      </c>
      <c r="L247">
        <v>2018</v>
      </c>
      <c r="M247" s="2" t="s">
        <v>1779</v>
      </c>
    </row>
    <row r="248" spans="1:13" x14ac:dyDescent="0.25">
      <c r="A248" s="2" t="s">
        <v>643</v>
      </c>
      <c r="B248" s="2" t="s">
        <v>1780</v>
      </c>
      <c r="C248" s="2" t="s">
        <v>1219</v>
      </c>
      <c r="D248">
        <v>41</v>
      </c>
      <c r="E248" s="2" t="s">
        <v>1220</v>
      </c>
      <c r="F248" s="2" t="s">
        <v>1221</v>
      </c>
      <c r="G248" s="2" t="s">
        <v>1244</v>
      </c>
      <c r="H248">
        <v>48541</v>
      </c>
      <c r="I248" s="2" t="s">
        <v>1250</v>
      </c>
      <c r="J248" s="2" t="s">
        <v>1224</v>
      </c>
      <c r="K248" s="1">
        <v>44257</v>
      </c>
      <c r="L248">
        <v>2021</v>
      </c>
      <c r="M248" s="2" t="s">
        <v>1597</v>
      </c>
    </row>
    <row r="249" spans="1:13" x14ac:dyDescent="0.25">
      <c r="A249" s="2" t="s">
        <v>304</v>
      </c>
      <c r="B249" s="2" t="s">
        <v>1781</v>
      </c>
      <c r="C249" s="2" t="s">
        <v>1219</v>
      </c>
      <c r="D249">
        <v>40</v>
      </c>
      <c r="E249" s="2" t="s">
        <v>1220</v>
      </c>
      <c r="F249" s="2" t="s">
        <v>1221</v>
      </c>
      <c r="G249" s="2" t="s">
        <v>1222</v>
      </c>
      <c r="H249">
        <v>99083</v>
      </c>
      <c r="I249" s="2" t="s">
        <v>1245</v>
      </c>
      <c r="J249" s="2" t="s">
        <v>1231</v>
      </c>
      <c r="K249" s="1">
        <v>45179</v>
      </c>
      <c r="L249">
        <v>2023</v>
      </c>
      <c r="M249" s="2" t="s">
        <v>1782</v>
      </c>
    </row>
    <row r="250" spans="1:13" x14ac:dyDescent="0.25">
      <c r="A250" s="2" t="s">
        <v>1783</v>
      </c>
      <c r="B250" s="2" t="s">
        <v>1784</v>
      </c>
      <c r="C250" s="2" t="s">
        <v>1219</v>
      </c>
      <c r="D250">
        <v>49</v>
      </c>
      <c r="E250" s="2" t="s">
        <v>1228</v>
      </c>
      <c r="F250" s="2" t="s">
        <v>1221</v>
      </c>
      <c r="G250" s="2" t="s">
        <v>1244</v>
      </c>
      <c r="H250">
        <v>54531</v>
      </c>
      <c r="I250" s="2" t="s">
        <v>1250</v>
      </c>
      <c r="J250" s="2" t="s">
        <v>1236</v>
      </c>
      <c r="K250" s="1">
        <v>44203</v>
      </c>
      <c r="L250">
        <v>2021</v>
      </c>
      <c r="M250" s="2" t="s">
        <v>1785</v>
      </c>
    </row>
    <row r="251" spans="1:13" x14ac:dyDescent="0.25">
      <c r="A251" s="2" t="s">
        <v>279</v>
      </c>
      <c r="B251" s="2" t="s">
        <v>1786</v>
      </c>
      <c r="C251" s="2" t="s">
        <v>1219</v>
      </c>
      <c r="D251">
        <v>54</v>
      </c>
      <c r="E251" s="2" t="s">
        <v>1228</v>
      </c>
      <c r="F251" s="2" t="s">
        <v>1249</v>
      </c>
      <c r="G251" s="2" t="s">
        <v>1230</v>
      </c>
      <c r="H251">
        <v>28712</v>
      </c>
      <c r="I251" s="2" t="s">
        <v>1250</v>
      </c>
      <c r="J251" s="2" t="s">
        <v>1224</v>
      </c>
      <c r="K251" s="1">
        <v>43294</v>
      </c>
      <c r="L251">
        <v>2018</v>
      </c>
      <c r="M251" s="2" t="s">
        <v>1787</v>
      </c>
    </row>
    <row r="252" spans="1:13" x14ac:dyDescent="0.25">
      <c r="A252" s="2" t="s">
        <v>69</v>
      </c>
      <c r="B252" s="2" t="s">
        <v>1788</v>
      </c>
      <c r="C252" s="2" t="s">
        <v>1227</v>
      </c>
      <c r="D252">
        <v>29</v>
      </c>
      <c r="E252" s="2" t="s">
        <v>1220</v>
      </c>
      <c r="F252" s="2" t="s">
        <v>1221</v>
      </c>
      <c r="G252" s="2" t="s">
        <v>1235</v>
      </c>
      <c r="H252">
        <v>124101</v>
      </c>
      <c r="I252" s="2" t="s">
        <v>1245</v>
      </c>
      <c r="J252" s="2" t="s">
        <v>1231</v>
      </c>
      <c r="K252" s="1">
        <v>45422</v>
      </c>
      <c r="L252">
        <v>2024</v>
      </c>
      <c r="M252" s="2" t="s">
        <v>1643</v>
      </c>
    </row>
    <row r="253" spans="1:13" x14ac:dyDescent="0.25">
      <c r="A253" s="2" t="s">
        <v>811</v>
      </c>
      <c r="B253" s="2" t="s">
        <v>1789</v>
      </c>
      <c r="C253" s="2" t="s">
        <v>1219</v>
      </c>
      <c r="D253">
        <v>66</v>
      </c>
      <c r="E253" s="2" t="s">
        <v>1263</v>
      </c>
      <c r="F253" s="2" t="s">
        <v>1249</v>
      </c>
      <c r="G253" s="2" t="s">
        <v>1235</v>
      </c>
      <c r="H253">
        <v>85455</v>
      </c>
      <c r="I253" s="2" t="s">
        <v>1245</v>
      </c>
      <c r="J253" s="2" t="s">
        <v>1231</v>
      </c>
      <c r="K253" s="1">
        <v>45078</v>
      </c>
      <c r="L253">
        <v>2023</v>
      </c>
      <c r="M253" s="2" t="s">
        <v>1790</v>
      </c>
    </row>
    <row r="254" spans="1:13" x14ac:dyDescent="0.25">
      <c r="A254" s="2" t="s">
        <v>1791</v>
      </c>
      <c r="B254" s="2" t="s">
        <v>1792</v>
      </c>
      <c r="C254" s="2" t="s">
        <v>1227</v>
      </c>
      <c r="D254">
        <v>72</v>
      </c>
      <c r="E254" s="2" t="s">
        <v>1263</v>
      </c>
      <c r="F254" s="2" t="s">
        <v>1249</v>
      </c>
      <c r="G254" s="2" t="s">
        <v>1239</v>
      </c>
      <c r="H254">
        <v>94744</v>
      </c>
      <c r="I254" s="2" t="s">
        <v>1245</v>
      </c>
      <c r="J254" s="2" t="s">
        <v>1224</v>
      </c>
      <c r="K254" s="1">
        <v>43323</v>
      </c>
      <c r="L254">
        <v>2018</v>
      </c>
      <c r="M254" s="2" t="s">
        <v>1793</v>
      </c>
    </row>
    <row r="255" spans="1:13" x14ac:dyDescent="0.25">
      <c r="A255" s="2" t="s">
        <v>136</v>
      </c>
      <c r="B255" s="2" t="s">
        <v>1794</v>
      </c>
      <c r="C255" s="2" t="s">
        <v>1219</v>
      </c>
      <c r="D255">
        <v>30</v>
      </c>
      <c r="E255" s="2" t="s">
        <v>1220</v>
      </c>
      <c r="F255" s="2" t="s">
        <v>1229</v>
      </c>
      <c r="G255" s="2" t="s">
        <v>1239</v>
      </c>
      <c r="H255">
        <v>149749</v>
      </c>
      <c r="I255" s="2" t="s">
        <v>1223</v>
      </c>
      <c r="J255" s="2" t="s">
        <v>1224</v>
      </c>
      <c r="K255" s="1">
        <v>42930</v>
      </c>
      <c r="L255">
        <v>2017</v>
      </c>
      <c r="M255" s="2" t="s">
        <v>1795</v>
      </c>
    </row>
    <row r="256" spans="1:13" x14ac:dyDescent="0.25">
      <c r="A256" s="2" t="s">
        <v>932</v>
      </c>
      <c r="B256" s="2" t="s">
        <v>1796</v>
      </c>
      <c r="C256" s="2" t="s">
        <v>1219</v>
      </c>
      <c r="D256">
        <v>40</v>
      </c>
      <c r="E256" s="2" t="s">
        <v>1220</v>
      </c>
      <c r="F256" s="2" t="s">
        <v>1243</v>
      </c>
      <c r="G256" s="2" t="s">
        <v>1235</v>
      </c>
      <c r="H256">
        <v>25109</v>
      </c>
      <c r="I256" s="2" t="s">
        <v>1250</v>
      </c>
      <c r="J256" s="2" t="s">
        <v>1224</v>
      </c>
      <c r="K256" s="1">
        <v>42673</v>
      </c>
      <c r="L256">
        <v>2016</v>
      </c>
      <c r="M256" s="2" t="s">
        <v>1797</v>
      </c>
    </row>
    <row r="257" spans="1:13" x14ac:dyDescent="0.25">
      <c r="A257" s="2" t="s">
        <v>1798</v>
      </c>
      <c r="B257" s="2" t="s">
        <v>1799</v>
      </c>
      <c r="C257" s="2" t="s">
        <v>1219</v>
      </c>
      <c r="D257">
        <v>42</v>
      </c>
      <c r="E257" s="2" t="s">
        <v>1220</v>
      </c>
      <c r="F257" s="2" t="s">
        <v>1243</v>
      </c>
      <c r="G257" s="2" t="s">
        <v>1259</v>
      </c>
      <c r="H257">
        <v>69268</v>
      </c>
      <c r="I257" s="2" t="s">
        <v>1250</v>
      </c>
      <c r="J257" s="2" t="s">
        <v>1224</v>
      </c>
      <c r="K257" s="1">
        <v>44081</v>
      </c>
      <c r="L257">
        <v>2020</v>
      </c>
      <c r="M257" s="2" t="s">
        <v>1800</v>
      </c>
    </row>
    <row r="258" spans="1:13" x14ac:dyDescent="0.25">
      <c r="A258" s="2" t="s">
        <v>1032</v>
      </c>
      <c r="B258" s="2" t="s">
        <v>1801</v>
      </c>
      <c r="C258" s="2" t="s">
        <v>1219</v>
      </c>
      <c r="D258">
        <v>52</v>
      </c>
      <c r="E258" s="2" t="s">
        <v>1228</v>
      </c>
      <c r="F258" s="2" t="s">
        <v>1249</v>
      </c>
      <c r="G258" s="2" t="s">
        <v>1239</v>
      </c>
      <c r="H258">
        <v>74615</v>
      </c>
      <c r="I258" s="2" t="s">
        <v>1250</v>
      </c>
      <c r="J258" s="2" t="s">
        <v>1224</v>
      </c>
      <c r="K258" s="1">
        <v>42953</v>
      </c>
      <c r="L258">
        <v>2017</v>
      </c>
      <c r="M258" s="2" t="s">
        <v>1802</v>
      </c>
    </row>
    <row r="259" spans="1:13" x14ac:dyDescent="0.25">
      <c r="A259" s="2" t="s">
        <v>1191</v>
      </c>
      <c r="B259" s="2" t="s">
        <v>1803</v>
      </c>
      <c r="C259" s="2" t="s">
        <v>1227</v>
      </c>
      <c r="D259">
        <v>58</v>
      </c>
      <c r="E259" s="2" t="s">
        <v>1228</v>
      </c>
      <c r="F259" s="2" t="s">
        <v>1229</v>
      </c>
      <c r="G259" s="2" t="s">
        <v>1222</v>
      </c>
      <c r="H259">
        <v>102503</v>
      </c>
      <c r="I259" s="2" t="s">
        <v>1245</v>
      </c>
      <c r="J259" s="2" t="s">
        <v>1224</v>
      </c>
      <c r="K259" s="1">
        <v>45819</v>
      </c>
      <c r="L259">
        <v>2025</v>
      </c>
      <c r="M259" s="2" t="s">
        <v>1804</v>
      </c>
    </row>
    <row r="260" spans="1:13" x14ac:dyDescent="0.25">
      <c r="A260" s="2" t="s">
        <v>128</v>
      </c>
      <c r="B260" s="2" t="s">
        <v>1805</v>
      </c>
      <c r="C260" s="2" t="s">
        <v>1227</v>
      </c>
      <c r="D260">
        <v>47</v>
      </c>
      <c r="E260" s="2" t="s">
        <v>1228</v>
      </c>
      <c r="F260" s="2" t="s">
        <v>1249</v>
      </c>
      <c r="G260" s="2" t="s">
        <v>1244</v>
      </c>
      <c r="H260">
        <v>180831</v>
      </c>
      <c r="I260" s="2" t="s">
        <v>1223</v>
      </c>
      <c r="J260" s="2" t="s">
        <v>1224</v>
      </c>
      <c r="K260" s="1">
        <v>44115</v>
      </c>
      <c r="L260">
        <v>2020</v>
      </c>
      <c r="M260" s="2" t="s">
        <v>1806</v>
      </c>
    </row>
    <row r="261" spans="1:13" x14ac:dyDescent="0.25">
      <c r="A261" s="2" t="s">
        <v>90</v>
      </c>
      <c r="B261" s="2" t="s">
        <v>1807</v>
      </c>
      <c r="C261" s="2" t="s">
        <v>1219</v>
      </c>
      <c r="D261">
        <v>34</v>
      </c>
      <c r="E261" s="2" t="s">
        <v>1220</v>
      </c>
      <c r="F261" s="2" t="s">
        <v>1249</v>
      </c>
      <c r="G261" s="2" t="s">
        <v>1235</v>
      </c>
      <c r="H261">
        <v>105708</v>
      </c>
      <c r="I261" s="2" t="s">
        <v>1245</v>
      </c>
      <c r="J261" s="2" t="s">
        <v>1224</v>
      </c>
      <c r="K261" s="1">
        <v>44588</v>
      </c>
      <c r="L261">
        <v>2022</v>
      </c>
      <c r="M261" s="2" t="s">
        <v>1808</v>
      </c>
    </row>
    <row r="262" spans="1:13" x14ac:dyDescent="0.25">
      <c r="A262" s="2" t="s">
        <v>179</v>
      </c>
      <c r="B262" s="2" t="s">
        <v>1809</v>
      </c>
      <c r="C262" s="2" t="s">
        <v>1219</v>
      </c>
      <c r="D262">
        <v>66</v>
      </c>
      <c r="E262" s="2" t="s">
        <v>1263</v>
      </c>
      <c r="F262" s="2" t="s">
        <v>1249</v>
      </c>
      <c r="G262" s="2" t="s">
        <v>1239</v>
      </c>
      <c r="H262">
        <v>122471</v>
      </c>
      <c r="I262" s="2" t="s">
        <v>1245</v>
      </c>
      <c r="J262" s="2" t="s">
        <v>1236</v>
      </c>
      <c r="K262" s="1">
        <v>43744</v>
      </c>
      <c r="L262">
        <v>2019</v>
      </c>
      <c r="M262" s="2" t="s">
        <v>1436</v>
      </c>
    </row>
    <row r="263" spans="1:13" x14ac:dyDescent="0.25">
      <c r="A263" s="2" t="s">
        <v>518</v>
      </c>
      <c r="B263" s="2" t="s">
        <v>1810</v>
      </c>
      <c r="C263" s="2" t="s">
        <v>1227</v>
      </c>
      <c r="D263">
        <v>37</v>
      </c>
      <c r="E263" s="2" t="s">
        <v>1220</v>
      </c>
      <c r="F263" s="2" t="s">
        <v>1229</v>
      </c>
      <c r="G263" s="2" t="s">
        <v>1235</v>
      </c>
      <c r="H263">
        <v>177661</v>
      </c>
      <c r="I263" s="2" t="s">
        <v>1223</v>
      </c>
      <c r="J263" s="2" t="s">
        <v>1224</v>
      </c>
      <c r="K263" s="1">
        <v>45516</v>
      </c>
      <c r="L263">
        <v>2024</v>
      </c>
      <c r="M263" s="2" t="s">
        <v>1811</v>
      </c>
    </row>
    <row r="264" spans="1:13" x14ac:dyDescent="0.25">
      <c r="A264" s="2" t="s">
        <v>575</v>
      </c>
      <c r="B264" s="2" t="s">
        <v>1812</v>
      </c>
      <c r="C264" s="2" t="s">
        <v>1219</v>
      </c>
      <c r="D264">
        <v>65</v>
      </c>
      <c r="E264" s="2" t="s">
        <v>1263</v>
      </c>
      <c r="F264" s="2" t="s">
        <v>1243</v>
      </c>
      <c r="G264" s="2" t="s">
        <v>1230</v>
      </c>
      <c r="H264">
        <v>181087</v>
      </c>
      <c r="I264" s="2" t="s">
        <v>1223</v>
      </c>
      <c r="J264" s="2" t="s">
        <v>1236</v>
      </c>
      <c r="K264" s="1">
        <v>43829</v>
      </c>
      <c r="L264">
        <v>2019</v>
      </c>
      <c r="M264" s="2" t="s">
        <v>1813</v>
      </c>
    </row>
    <row r="265" spans="1:13" x14ac:dyDescent="0.25">
      <c r="A265" s="2" t="s">
        <v>921</v>
      </c>
      <c r="B265" s="2" t="s">
        <v>1814</v>
      </c>
      <c r="C265" s="2" t="s">
        <v>1219</v>
      </c>
      <c r="D265">
        <v>42</v>
      </c>
      <c r="E265" s="2" t="s">
        <v>1220</v>
      </c>
      <c r="F265" s="2" t="s">
        <v>1229</v>
      </c>
      <c r="G265" s="2" t="s">
        <v>1253</v>
      </c>
      <c r="H265">
        <v>180081</v>
      </c>
      <c r="I265" s="2" t="s">
        <v>1223</v>
      </c>
      <c r="J265" s="2" t="s">
        <v>1224</v>
      </c>
      <c r="K265" s="1">
        <v>42297</v>
      </c>
      <c r="L265">
        <v>2015</v>
      </c>
      <c r="M265" s="2" t="s">
        <v>1815</v>
      </c>
    </row>
    <row r="266" spans="1:13" x14ac:dyDescent="0.25">
      <c r="A266" s="2" t="s">
        <v>672</v>
      </c>
      <c r="B266" s="2" t="s">
        <v>1816</v>
      </c>
      <c r="C266" s="2" t="s">
        <v>1219</v>
      </c>
      <c r="D266">
        <v>39</v>
      </c>
      <c r="E266" s="2" t="s">
        <v>1220</v>
      </c>
      <c r="F266" s="2" t="s">
        <v>1221</v>
      </c>
      <c r="G266" s="2" t="s">
        <v>1244</v>
      </c>
      <c r="H266">
        <v>103309</v>
      </c>
      <c r="I266" s="2" t="s">
        <v>1245</v>
      </c>
      <c r="J266" s="2" t="s">
        <v>1224</v>
      </c>
      <c r="K266" s="1">
        <v>44102</v>
      </c>
      <c r="L266">
        <v>2020</v>
      </c>
      <c r="M266" s="2" t="s">
        <v>1817</v>
      </c>
    </row>
    <row r="267" spans="1:13" x14ac:dyDescent="0.25">
      <c r="A267" s="2" t="s">
        <v>1205</v>
      </c>
      <c r="B267" s="2" t="s">
        <v>1818</v>
      </c>
      <c r="C267" s="2" t="s">
        <v>1227</v>
      </c>
      <c r="D267">
        <v>30</v>
      </c>
      <c r="E267" s="2" t="s">
        <v>1220</v>
      </c>
      <c r="F267" s="2" t="s">
        <v>1229</v>
      </c>
      <c r="G267" s="2" t="s">
        <v>1235</v>
      </c>
      <c r="H267">
        <v>146446</v>
      </c>
      <c r="I267" s="2" t="s">
        <v>1223</v>
      </c>
      <c r="J267" s="2" t="s">
        <v>1224</v>
      </c>
      <c r="K267" s="1">
        <v>42770</v>
      </c>
      <c r="L267">
        <v>2017</v>
      </c>
      <c r="M267" s="2" t="s">
        <v>1819</v>
      </c>
    </row>
    <row r="268" spans="1:13" x14ac:dyDescent="0.25">
      <c r="A268" s="2" t="s">
        <v>537</v>
      </c>
      <c r="B268" s="2" t="s">
        <v>1820</v>
      </c>
      <c r="C268" s="2" t="s">
        <v>1227</v>
      </c>
      <c r="D268">
        <v>36</v>
      </c>
      <c r="E268" s="2" t="s">
        <v>1220</v>
      </c>
      <c r="F268" s="2" t="s">
        <v>1229</v>
      </c>
      <c r="G268" s="2" t="s">
        <v>1253</v>
      </c>
      <c r="H268">
        <v>126661</v>
      </c>
      <c r="I268" s="2" t="s">
        <v>1245</v>
      </c>
      <c r="J268" s="2" t="s">
        <v>1224</v>
      </c>
      <c r="K268" s="1">
        <v>44437</v>
      </c>
      <c r="L268">
        <v>2021</v>
      </c>
      <c r="M268" s="2" t="s">
        <v>1821</v>
      </c>
    </row>
    <row r="269" spans="1:13" x14ac:dyDescent="0.25">
      <c r="A269" s="2" t="s">
        <v>539</v>
      </c>
      <c r="B269" s="2" t="s">
        <v>1822</v>
      </c>
      <c r="C269" s="2" t="s">
        <v>1227</v>
      </c>
      <c r="D269">
        <v>66</v>
      </c>
      <c r="E269" s="2" t="s">
        <v>1263</v>
      </c>
      <c r="F269" s="2" t="s">
        <v>1229</v>
      </c>
      <c r="G269" s="2" t="s">
        <v>1239</v>
      </c>
      <c r="H269">
        <v>177215</v>
      </c>
      <c r="I269" s="2" t="s">
        <v>1223</v>
      </c>
      <c r="J269" s="2" t="s">
        <v>1224</v>
      </c>
      <c r="K269" s="1">
        <v>43819</v>
      </c>
      <c r="L269">
        <v>2019</v>
      </c>
      <c r="M269" s="2" t="s">
        <v>1823</v>
      </c>
    </row>
    <row r="270" spans="1:13" x14ac:dyDescent="0.25">
      <c r="A270" s="2" t="s">
        <v>631</v>
      </c>
      <c r="B270" s="2" t="s">
        <v>1824</v>
      </c>
      <c r="C270" s="2" t="s">
        <v>1219</v>
      </c>
      <c r="D270">
        <v>53</v>
      </c>
      <c r="E270" s="2" t="s">
        <v>1228</v>
      </c>
      <c r="F270" s="2" t="s">
        <v>1229</v>
      </c>
      <c r="G270" s="2" t="s">
        <v>1253</v>
      </c>
      <c r="H270">
        <v>26154</v>
      </c>
      <c r="I270" s="2" t="s">
        <v>1250</v>
      </c>
      <c r="J270" s="2" t="s">
        <v>1231</v>
      </c>
      <c r="K270" s="1">
        <v>43150</v>
      </c>
      <c r="L270">
        <v>2018</v>
      </c>
      <c r="M270" s="2" t="s">
        <v>1825</v>
      </c>
    </row>
    <row r="271" spans="1:13" x14ac:dyDescent="0.25">
      <c r="A271" s="2" t="s">
        <v>249</v>
      </c>
      <c r="B271" s="2" t="s">
        <v>1826</v>
      </c>
      <c r="C271" s="2" t="s">
        <v>1219</v>
      </c>
      <c r="D271">
        <v>29</v>
      </c>
      <c r="E271" s="2" t="s">
        <v>1220</v>
      </c>
      <c r="F271" s="2" t="s">
        <v>1243</v>
      </c>
      <c r="G271" s="2" t="s">
        <v>1244</v>
      </c>
      <c r="H271">
        <v>172876</v>
      </c>
      <c r="I271" s="2" t="s">
        <v>1223</v>
      </c>
      <c r="J271" s="2" t="s">
        <v>1224</v>
      </c>
      <c r="K271" s="1">
        <v>42737</v>
      </c>
      <c r="L271">
        <v>2017</v>
      </c>
      <c r="M271" s="2" t="s">
        <v>1827</v>
      </c>
    </row>
    <row r="272" spans="1:13" x14ac:dyDescent="0.25">
      <c r="A272" s="2" t="s">
        <v>748</v>
      </c>
      <c r="B272" s="2" t="s">
        <v>1828</v>
      </c>
      <c r="C272" s="2" t="s">
        <v>1227</v>
      </c>
      <c r="D272">
        <v>58</v>
      </c>
      <c r="E272" s="2" t="s">
        <v>1228</v>
      </c>
      <c r="F272" s="2" t="s">
        <v>1221</v>
      </c>
      <c r="G272" s="2" t="s">
        <v>1235</v>
      </c>
      <c r="H272">
        <v>192760</v>
      </c>
      <c r="I272" s="2" t="s">
        <v>1223</v>
      </c>
      <c r="J272" s="2" t="s">
        <v>1231</v>
      </c>
      <c r="K272" s="1">
        <v>45051</v>
      </c>
      <c r="L272">
        <v>2023</v>
      </c>
      <c r="M272" s="2" t="s">
        <v>1829</v>
      </c>
    </row>
    <row r="273" spans="1:13" x14ac:dyDescent="0.25">
      <c r="A273" s="2" t="s">
        <v>757</v>
      </c>
      <c r="B273" s="2" t="s">
        <v>1830</v>
      </c>
      <c r="C273" s="2" t="s">
        <v>1227</v>
      </c>
      <c r="D273">
        <v>36</v>
      </c>
      <c r="E273" s="2" t="s">
        <v>1220</v>
      </c>
      <c r="F273" s="2" t="s">
        <v>1243</v>
      </c>
      <c r="G273" s="2" t="s">
        <v>1230</v>
      </c>
      <c r="H273">
        <v>84288</v>
      </c>
      <c r="I273" s="2" t="s">
        <v>1245</v>
      </c>
      <c r="J273" s="2" t="s">
        <v>1231</v>
      </c>
      <c r="K273" s="1">
        <v>43890</v>
      </c>
      <c r="L273">
        <v>2020</v>
      </c>
      <c r="M273" s="2" t="s">
        <v>1831</v>
      </c>
    </row>
    <row r="274" spans="1:13" x14ac:dyDescent="0.25">
      <c r="A274" s="2" t="s">
        <v>740</v>
      </c>
      <c r="B274" s="2" t="s">
        <v>1832</v>
      </c>
      <c r="C274" s="2" t="s">
        <v>1227</v>
      </c>
      <c r="D274">
        <v>29</v>
      </c>
      <c r="E274" s="2" t="s">
        <v>1220</v>
      </c>
      <c r="F274" s="2" t="s">
        <v>1243</v>
      </c>
      <c r="G274" s="2" t="s">
        <v>1259</v>
      </c>
      <c r="H274">
        <v>71195</v>
      </c>
      <c r="I274" s="2" t="s">
        <v>1250</v>
      </c>
      <c r="J274" s="2" t="s">
        <v>1224</v>
      </c>
      <c r="K274" s="1">
        <v>44008</v>
      </c>
      <c r="L274">
        <v>2020</v>
      </c>
      <c r="M274" s="2" t="s">
        <v>1833</v>
      </c>
    </row>
    <row r="275" spans="1:13" x14ac:dyDescent="0.25">
      <c r="A275" s="2" t="s">
        <v>1834</v>
      </c>
      <c r="B275" s="2" t="s">
        <v>1835</v>
      </c>
      <c r="C275" s="2" t="s">
        <v>1227</v>
      </c>
      <c r="D275">
        <v>26</v>
      </c>
      <c r="E275" s="2" t="s">
        <v>1242</v>
      </c>
      <c r="F275" s="2" t="s">
        <v>1229</v>
      </c>
      <c r="G275" s="2" t="s">
        <v>1239</v>
      </c>
      <c r="H275">
        <v>40581</v>
      </c>
      <c r="I275" s="2" t="s">
        <v>1250</v>
      </c>
      <c r="J275" s="2" t="s">
        <v>1224</v>
      </c>
      <c r="K275" s="1">
        <v>45559</v>
      </c>
      <c r="L275">
        <v>2024</v>
      </c>
      <c r="M275" s="2" t="s">
        <v>1836</v>
      </c>
    </row>
    <row r="276" spans="1:13" x14ac:dyDescent="0.25">
      <c r="A276" s="2" t="s">
        <v>610</v>
      </c>
      <c r="B276" s="2" t="s">
        <v>1837</v>
      </c>
      <c r="C276" s="2" t="s">
        <v>1219</v>
      </c>
      <c r="D276">
        <v>24</v>
      </c>
      <c r="E276" s="2" t="s">
        <v>1242</v>
      </c>
      <c r="F276" s="2" t="s">
        <v>1249</v>
      </c>
      <c r="G276" s="2" t="s">
        <v>1235</v>
      </c>
      <c r="H276">
        <v>50087</v>
      </c>
      <c r="I276" s="2" t="s">
        <v>1250</v>
      </c>
      <c r="J276" s="2" t="s">
        <v>1231</v>
      </c>
      <c r="K276" s="1">
        <v>43775</v>
      </c>
      <c r="L276">
        <v>2019</v>
      </c>
      <c r="M276" s="2" t="s">
        <v>1838</v>
      </c>
    </row>
    <row r="277" spans="1:13" x14ac:dyDescent="0.25">
      <c r="A277" s="2" t="s">
        <v>956</v>
      </c>
      <c r="B277" s="2" t="s">
        <v>1839</v>
      </c>
      <c r="C277" s="2" t="s">
        <v>1227</v>
      </c>
      <c r="D277">
        <v>45</v>
      </c>
      <c r="E277" s="2" t="s">
        <v>1228</v>
      </c>
      <c r="F277" s="2" t="s">
        <v>1249</v>
      </c>
      <c r="G277" s="2" t="s">
        <v>1244</v>
      </c>
      <c r="H277">
        <v>184053</v>
      </c>
      <c r="I277" s="2" t="s">
        <v>1223</v>
      </c>
      <c r="J277" s="2" t="s">
        <v>1224</v>
      </c>
      <c r="K277" s="1">
        <v>44122</v>
      </c>
      <c r="L277">
        <v>2020</v>
      </c>
      <c r="M277" s="2" t="s">
        <v>1840</v>
      </c>
    </row>
    <row r="278" spans="1:13" x14ac:dyDescent="0.25">
      <c r="A278" s="2" t="s">
        <v>458</v>
      </c>
      <c r="B278" s="2" t="s">
        <v>1841</v>
      </c>
      <c r="C278" s="2" t="s">
        <v>1219</v>
      </c>
      <c r="D278">
        <v>31</v>
      </c>
      <c r="E278" s="2" t="s">
        <v>1220</v>
      </c>
      <c r="F278" s="2" t="s">
        <v>1243</v>
      </c>
      <c r="G278" s="2" t="s">
        <v>1239</v>
      </c>
      <c r="H278">
        <v>89298</v>
      </c>
      <c r="I278" s="2" t="s">
        <v>1245</v>
      </c>
      <c r="J278" s="2" t="s">
        <v>1224</v>
      </c>
      <c r="K278" s="1">
        <v>43083</v>
      </c>
      <c r="L278">
        <v>2017</v>
      </c>
      <c r="M278" s="2" t="s">
        <v>1842</v>
      </c>
    </row>
    <row r="279" spans="1:13" x14ac:dyDescent="0.25">
      <c r="A279" s="2" t="s">
        <v>1843</v>
      </c>
      <c r="B279" s="2" t="s">
        <v>1844</v>
      </c>
      <c r="C279" s="2" t="s">
        <v>1227</v>
      </c>
      <c r="D279">
        <v>48</v>
      </c>
      <c r="E279" s="2" t="s">
        <v>1228</v>
      </c>
      <c r="F279" s="2" t="s">
        <v>1243</v>
      </c>
      <c r="G279" s="2" t="s">
        <v>1222</v>
      </c>
      <c r="H279">
        <v>66167</v>
      </c>
      <c r="I279" s="2" t="s">
        <v>1250</v>
      </c>
      <c r="J279" s="2" t="s">
        <v>1236</v>
      </c>
      <c r="K279" s="1">
        <v>43497</v>
      </c>
      <c r="L279">
        <v>2019</v>
      </c>
      <c r="M279" s="2" t="s">
        <v>1845</v>
      </c>
    </row>
    <row r="280" spans="1:13" x14ac:dyDescent="0.25">
      <c r="A280" s="2" t="s">
        <v>523</v>
      </c>
      <c r="B280" s="2" t="s">
        <v>1846</v>
      </c>
      <c r="C280" s="2" t="s">
        <v>1219</v>
      </c>
      <c r="D280">
        <v>69</v>
      </c>
      <c r="E280" s="2" t="s">
        <v>1263</v>
      </c>
      <c r="F280" s="2" t="s">
        <v>1229</v>
      </c>
      <c r="G280" s="2" t="s">
        <v>1253</v>
      </c>
      <c r="H280">
        <v>194480</v>
      </c>
      <c r="I280" s="2" t="s">
        <v>1223</v>
      </c>
      <c r="J280" s="2" t="s">
        <v>1224</v>
      </c>
      <c r="K280" s="1">
        <v>43316</v>
      </c>
      <c r="L280">
        <v>2018</v>
      </c>
      <c r="M280" s="2" t="s">
        <v>1847</v>
      </c>
    </row>
    <row r="281" spans="1:13" x14ac:dyDescent="0.25">
      <c r="A281" s="2" t="s">
        <v>198</v>
      </c>
      <c r="B281" s="2" t="s">
        <v>1848</v>
      </c>
      <c r="C281" s="2" t="s">
        <v>1227</v>
      </c>
      <c r="D281">
        <v>36</v>
      </c>
      <c r="E281" s="2" t="s">
        <v>1220</v>
      </c>
      <c r="F281" s="2" t="s">
        <v>1243</v>
      </c>
      <c r="G281" s="2" t="s">
        <v>1259</v>
      </c>
      <c r="H281">
        <v>59499</v>
      </c>
      <c r="I281" s="2" t="s">
        <v>1250</v>
      </c>
      <c r="J281" s="2" t="s">
        <v>1231</v>
      </c>
      <c r="K281" s="1">
        <v>42882</v>
      </c>
      <c r="L281">
        <v>2017</v>
      </c>
      <c r="M281" s="2" t="s">
        <v>1849</v>
      </c>
    </row>
    <row r="282" spans="1:13" x14ac:dyDescent="0.25">
      <c r="A282" s="2" t="s">
        <v>655</v>
      </c>
      <c r="B282" s="2" t="s">
        <v>1850</v>
      </c>
      <c r="C282" s="2" t="s">
        <v>1227</v>
      </c>
      <c r="D282">
        <v>64</v>
      </c>
      <c r="E282" s="2" t="s">
        <v>1263</v>
      </c>
      <c r="F282" s="2" t="s">
        <v>1229</v>
      </c>
      <c r="G282" s="2" t="s">
        <v>1244</v>
      </c>
      <c r="H282">
        <v>145816</v>
      </c>
      <c r="I282" s="2" t="s">
        <v>1223</v>
      </c>
      <c r="J282" s="2" t="s">
        <v>1236</v>
      </c>
      <c r="K282" s="1">
        <v>44500</v>
      </c>
      <c r="L282">
        <v>2021</v>
      </c>
      <c r="M282" s="2" t="s">
        <v>1851</v>
      </c>
    </row>
    <row r="283" spans="1:13" x14ac:dyDescent="0.25">
      <c r="A283" s="2" t="s">
        <v>1852</v>
      </c>
      <c r="B283" s="2" t="s">
        <v>1853</v>
      </c>
      <c r="C283" s="2" t="s">
        <v>1227</v>
      </c>
      <c r="D283">
        <v>33</v>
      </c>
      <c r="E283" s="2" t="s">
        <v>1220</v>
      </c>
      <c r="F283" s="2" t="s">
        <v>1249</v>
      </c>
      <c r="G283" s="2" t="s">
        <v>1222</v>
      </c>
      <c r="H283">
        <v>189631</v>
      </c>
      <c r="I283" s="2" t="s">
        <v>1223</v>
      </c>
      <c r="J283" s="2" t="s">
        <v>1224</v>
      </c>
      <c r="K283" s="1">
        <v>42880</v>
      </c>
      <c r="L283">
        <v>2017</v>
      </c>
      <c r="M283" s="2" t="s">
        <v>1854</v>
      </c>
    </row>
    <row r="284" spans="1:13" x14ac:dyDescent="0.25">
      <c r="A284" s="2" t="s">
        <v>581</v>
      </c>
      <c r="B284" s="2" t="s">
        <v>1855</v>
      </c>
      <c r="C284" s="2" t="s">
        <v>1227</v>
      </c>
      <c r="D284">
        <v>70</v>
      </c>
      <c r="E284" s="2" t="s">
        <v>1263</v>
      </c>
      <c r="F284" s="2" t="s">
        <v>1249</v>
      </c>
      <c r="G284" s="2" t="s">
        <v>1235</v>
      </c>
      <c r="H284">
        <v>116347</v>
      </c>
      <c r="I284" s="2" t="s">
        <v>1245</v>
      </c>
      <c r="J284" s="2" t="s">
        <v>1224</v>
      </c>
      <c r="K284" s="1">
        <v>42754</v>
      </c>
      <c r="L284">
        <v>2017</v>
      </c>
      <c r="M284" s="2" t="s">
        <v>1514</v>
      </c>
    </row>
    <row r="285" spans="1:13" x14ac:dyDescent="0.25">
      <c r="A285" s="2" t="s">
        <v>493</v>
      </c>
      <c r="B285" s="2" t="s">
        <v>1856</v>
      </c>
      <c r="C285" s="2" t="s">
        <v>1219</v>
      </c>
      <c r="D285">
        <v>22</v>
      </c>
      <c r="E285" s="2" t="s">
        <v>1242</v>
      </c>
      <c r="F285" s="2" t="s">
        <v>1221</v>
      </c>
      <c r="G285" s="2" t="s">
        <v>1230</v>
      </c>
      <c r="H285">
        <v>68787</v>
      </c>
      <c r="I285" s="2" t="s">
        <v>1250</v>
      </c>
      <c r="J285" s="2" t="s">
        <v>1224</v>
      </c>
      <c r="K285" s="1">
        <v>42305</v>
      </c>
      <c r="L285">
        <v>2015</v>
      </c>
      <c r="M285" s="2" t="s">
        <v>1857</v>
      </c>
    </row>
    <row r="286" spans="1:13" x14ac:dyDescent="0.25">
      <c r="A286" s="2" t="s">
        <v>1194</v>
      </c>
      <c r="B286" s="2" t="s">
        <v>1858</v>
      </c>
      <c r="C286" s="2" t="s">
        <v>1227</v>
      </c>
      <c r="D286">
        <v>52</v>
      </c>
      <c r="E286" s="2" t="s">
        <v>1228</v>
      </c>
      <c r="F286" s="2" t="s">
        <v>1249</v>
      </c>
      <c r="G286" s="2" t="s">
        <v>1239</v>
      </c>
      <c r="H286">
        <v>55488</v>
      </c>
      <c r="I286" s="2" t="s">
        <v>1250</v>
      </c>
      <c r="J286" s="2" t="s">
        <v>1224</v>
      </c>
      <c r="K286" s="1">
        <v>44249</v>
      </c>
      <c r="L286">
        <v>2021</v>
      </c>
      <c r="M286" s="2" t="s">
        <v>1859</v>
      </c>
    </row>
    <row r="287" spans="1:13" x14ac:dyDescent="0.25">
      <c r="A287" s="2" t="s">
        <v>706</v>
      </c>
      <c r="B287" s="2" t="s">
        <v>1860</v>
      </c>
      <c r="C287" s="2" t="s">
        <v>1219</v>
      </c>
      <c r="D287">
        <v>29</v>
      </c>
      <c r="E287" s="2" t="s">
        <v>1220</v>
      </c>
      <c r="F287" s="2" t="s">
        <v>1243</v>
      </c>
      <c r="G287" s="2" t="s">
        <v>1253</v>
      </c>
      <c r="H287">
        <v>94441</v>
      </c>
      <c r="I287" s="2" t="s">
        <v>1245</v>
      </c>
      <c r="J287" s="2" t="s">
        <v>1224</v>
      </c>
      <c r="K287" s="1">
        <v>43856</v>
      </c>
      <c r="L287">
        <v>2020</v>
      </c>
      <c r="M287" s="2" t="s">
        <v>1861</v>
      </c>
    </row>
    <row r="288" spans="1:13" x14ac:dyDescent="0.25">
      <c r="A288" s="2" t="s">
        <v>1862</v>
      </c>
      <c r="B288" s="2" t="s">
        <v>1863</v>
      </c>
      <c r="C288" s="2" t="s">
        <v>1219</v>
      </c>
      <c r="D288">
        <v>42</v>
      </c>
      <c r="E288" s="2" t="s">
        <v>1220</v>
      </c>
      <c r="F288" s="2" t="s">
        <v>1249</v>
      </c>
      <c r="G288" s="2" t="s">
        <v>1239</v>
      </c>
      <c r="H288">
        <v>42431</v>
      </c>
      <c r="I288" s="2" t="s">
        <v>1250</v>
      </c>
      <c r="J288" s="2" t="s">
        <v>1231</v>
      </c>
      <c r="K288" s="1">
        <v>45769</v>
      </c>
      <c r="L288">
        <v>2025</v>
      </c>
      <c r="M288" s="2" t="s">
        <v>1864</v>
      </c>
    </row>
    <row r="289" spans="1:13" x14ac:dyDescent="0.25">
      <c r="A289" s="2" t="s">
        <v>1865</v>
      </c>
      <c r="B289" s="2" t="s">
        <v>1866</v>
      </c>
      <c r="C289" s="2" t="s">
        <v>1219</v>
      </c>
      <c r="D289">
        <v>69</v>
      </c>
      <c r="E289" s="2" t="s">
        <v>1263</v>
      </c>
      <c r="F289" s="2" t="s">
        <v>1229</v>
      </c>
      <c r="G289" s="2" t="s">
        <v>1259</v>
      </c>
      <c r="H289">
        <v>81681</v>
      </c>
      <c r="I289" s="2" t="s">
        <v>1245</v>
      </c>
      <c r="J289" s="2" t="s">
        <v>1224</v>
      </c>
      <c r="K289" s="1">
        <v>44856</v>
      </c>
      <c r="L289">
        <v>2022</v>
      </c>
      <c r="M289" s="2" t="s">
        <v>1867</v>
      </c>
    </row>
    <row r="290" spans="1:13" x14ac:dyDescent="0.25">
      <c r="A290" s="2" t="s">
        <v>371</v>
      </c>
      <c r="B290" s="2" t="s">
        <v>1868</v>
      </c>
      <c r="C290" s="2" t="s">
        <v>1219</v>
      </c>
      <c r="D290">
        <v>38</v>
      </c>
      <c r="E290" s="2" t="s">
        <v>1220</v>
      </c>
      <c r="F290" s="2" t="s">
        <v>1249</v>
      </c>
      <c r="G290" s="2" t="s">
        <v>1235</v>
      </c>
      <c r="H290">
        <v>142720</v>
      </c>
      <c r="I290" s="2" t="s">
        <v>1223</v>
      </c>
      <c r="J290" s="2" t="s">
        <v>1224</v>
      </c>
      <c r="K290" s="1">
        <v>44265</v>
      </c>
      <c r="L290">
        <v>2021</v>
      </c>
      <c r="M290" s="2" t="s">
        <v>1869</v>
      </c>
    </row>
    <row r="291" spans="1:13" x14ac:dyDescent="0.25">
      <c r="A291" s="2" t="s">
        <v>1870</v>
      </c>
      <c r="B291" s="2" t="s">
        <v>1871</v>
      </c>
      <c r="C291" s="2" t="s">
        <v>1227</v>
      </c>
      <c r="D291">
        <v>53</v>
      </c>
      <c r="E291" s="2" t="s">
        <v>1228</v>
      </c>
      <c r="F291" s="2" t="s">
        <v>1221</v>
      </c>
      <c r="G291" s="2" t="s">
        <v>1239</v>
      </c>
      <c r="H291">
        <v>69153</v>
      </c>
      <c r="I291" s="2" t="s">
        <v>1250</v>
      </c>
      <c r="J291" s="2" t="s">
        <v>1236</v>
      </c>
      <c r="K291" s="1">
        <v>42617</v>
      </c>
      <c r="L291">
        <v>2016</v>
      </c>
      <c r="M291" s="2" t="s">
        <v>1872</v>
      </c>
    </row>
    <row r="292" spans="1:13" x14ac:dyDescent="0.25">
      <c r="A292" s="2" t="s">
        <v>1065</v>
      </c>
      <c r="B292" s="2" t="s">
        <v>1873</v>
      </c>
      <c r="C292" s="2" t="s">
        <v>1219</v>
      </c>
      <c r="D292">
        <v>70</v>
      </c>
      <c r="E292" s="2" t="s">
        <v>1263</v>
      </c>
      <c r="F292" s="2" t="s">
        <v>1249</v>
      </c>
      <c r="G292" s="2" t="s">
        <v>1253</v>
      </c>
      <c r="H292">
        <v>26368</v>
      </c>
      <c r="I292" s="2" t="s">
        <v>1250</v>
      </c>
      <c r="J292" s="2" t="s">
        <v>1231</v>
      </c>
      <c r="K292" s="1">
        <v>43499</v>
      </c>
      <c r="L292">
        <v>2019</v>
      </c>
      <c r="M292" s="2" t="s">
        <v>1874</v>
      </c>
    </row>
    <row r="293" spans="1:13" x14ac:dyDescent="0.25">
      <c r="A293" s="2" t="s">
        <v>1875</v>
      </c>
      <c r="B293" s="2" t="s">
        <v>1876</v>
      </c>
      <c r="C293" s="2" t="s">
        <v>1219</v>
      </c>
      <c r="D293">
        <v>40</v>
      </c>
      <c r="E293" s="2" t="s">
        <v>1220</v>
      </c>
      <c r="F293" s="2" t="s">
        <v>1229</v>
      </c>
      <c r="G293" s="2" t="s">
        <v>1235</v>
      </c>
      <c r="H293">
        <v>178496</v>
      </c>
      <c r="I293" s="2" t="s">
        <v>1223</v>
      </c>
      <c r="J293" s="2" t="s">
        <v>1231</v>
      </c>
      <c r="K293" s="1">
        <v>44893</v>
      </c>
      <c r="L293">
        <v>2022</v>
      </c>
      <c r="M293" s="2" t="s">
        <v>1565</v>
      </c>
    </row>
    <row r="294" spans="1:13" x14ac:dyDescent="0.25">
      <c r="A294" s="2" t="s">
        <v>1877</v>
      </c>
      <c r="B294" s="2" t="s">
        <v>1878</v>
      </c>
      <c r="C294" s="2" t="s">
        <v>1219</v>
      </c>
      <c r="D294">
        <v>33</v>
      </c>
      <c r="E294" s="2" t="s">
        <v>1220</v>
      </c>
      <c r="F294" s="2" t="s">
        <v>1229</v>
      </c>
      <c r="G294" s="2" t="s">
        <v>1239</v>
      </c>
      <c r="H294">
        <v>132360</v>
      </c>
      <c r="I294" s="2" t="s">
        <v>1245</v>
      </c>
      <c r="J294" s="2" t="s">
        <v>1224</v>
      </c>
      <c r="K294" s="1">
        <v>42674</v>
      </c>
      <c r="L294">
        <v>2016</v>
      </c>
      <c r="M294" s="2" t="s">
        <v>1879</v>
      </c>
    </row>
    <row r="295" spans="1:13" x14ac:dyDescent="0.25">
      <c r="A295" s="2" t="s">
        <v>439</v>
      </c>
      <c r="B295" s="2" t="s">
        <v>1880</v>
      </c>
      <c r="C295" s="2" t="s">
        <v>1227</v>
      </c>
      <c r="D295">
        <v>74</v>
      </c>
      <c r="E295" s="2" t="s">
        <v>1263</v>
      </c>
      <c r="F295" s="2" t="s">
        <v>1243</v>
      </c>
      <c r="G295" s="2" t="s">
        <v>1230</v>
      </c>
      <c r="H295">
        <v>196076</v>
      </c>
      <c r="I295" s="2" t="s">
        <v>1223</v>
      </c>
      <c r="J295" s="2" t="s">
        <v>1231</v>
      </c>
      <c r="K295" s="1">
        <v>43335</v>
      </c>
      <c r="L295">
        <v>2018</v>
      </c>
      <c r="M295" s="2" t="s">
        <v>1747</v>
      </c>
    </row>
    <row r="296" spans="1:13" x14ac:dyDescent="0.25">
      <c r="A296" s="2" t="s">
        <v>190</v>
      </c>
      <c r="B296" s="2" t="s">
        <v>1881</v>
      </c>
      <c r="C296" s="2" t="s">
        <v>1227</v>
      </c>
      <c r="D296">
        <v>56</v>
      </c>
      <c r="E296" s="2" t="s">
        <v>1228</v>
      </c>
      <c r="F296" s="2" t="s">
        <v>1249</v>
      </c>
      <c r="G296" s="2" t="s">
        <v>1244</v>
      </c>
      <c r="H296">
        <v>132755</v>
      </c>
      <c r="I296" s="2" t="s">
        <v>1245</v>
      </c>
      <c r="J296" s="2" t="s">
        <v>1224</v>
      </c>
      <c r="K296" s="1">
        <v>42510</v>
      </c>
      <c r="L296">
        <v>2016</v>
      </c>
      <c r="M296" s="2" t="s">
        <v>1882</v>
      </c>
    </row>
    <row r="297" spans="1:13" x14ac:dyDescent="0.25">
      <c r="A297" s="2" t="s">
        <v>1883</v>
      </c>
      <c r="B297" s="2" t="s">
        <v>1884</v>
      </c>
      <c r="C297" s="2" t="s">
        <v>1227</v>
      </c>
      <c r="D297">
        <v>62</v>
      </c>
      <c r="E297" s="2" t="s">
        <v>1263</v>
      </c>
      <c r="F297" s="2" t="s">
        <v>1229</v>
      </c>
      <c r="G297" s="2" t="s">
        <v>1235</v>
      </c>
      <c r="H297">
        <v>76985</v>
      </c>
      <c r="I297" s="2" t="s">
        <v>1245</v>
      </c>
      <c r="J297" s="2" t="s">
        <v>1224</v>
      </c>
      <c r="K297" s="1">
        <v>44646</v>
      </c>
      <c r="L297">
        <v>2022</v>
      </c>
      <c r="M297" s="2" t="s">
        <v>1885</v>
      </c>
    </row>
    <row r="298" spans="1:13" x14ac:dyDescent="0.25">
      <c r="A298" s="2" t="s">
        <v>205</v>
      </c>
      <c r="B298" s="2" t="s">
        <v>1886</v>
      </c>
      <c r="C298" s="2" t="s">
        <v>1227</v>
      </c>
      <c r="D298">
        <v>70</v>
      </c>
      <c r="E298" s="2" t="s">
        <v>1263</v>
      </c>
      <c r="F298" s="2" t="s">
        <v>1221</v>
      </c>
      <c r="G298" s="2" t="s">
        <v>1244</v>
      </c>
      <c r="H298">
        <v>70069</v>
      </c>
      <c r="I298" s="2" t="s">
        <v>1250</v>
      </c>
      <c r="J298" s="2" t="s">
        <v>1224</v>
      </c>
      <c r="K298" s="1">
        <v>44862</v>
      </c>
      <c r="L298">
        <v>2022</v>
      </c>
      <c r="M298" s="2" t="s">
        <v>1887</v>
      </c>
    </row>
    <row r="299" spans="1:13" x14ac:dyDescent="0.25">
      <c r="A299" s="2" t="s">
        <v>1888</v>
      </c>
      <c r="B299" s="2" t="s">
        <v>1889</v>
      </c>
      <c r="C299" s="2" t="s">
        <v>1219</v>
      </c>
      <c r="D299">
        <v>59</v>
      </c>
      <c r="E299" s="2" t="s">
        <v>1228</v>
      </c>
      <c r="F299" s="2" t="s">
        <v>1243</v>
      </c>
      <c r="G299" s="2" t="s">
        <v>1235</v>
      </c>
      <c r="H299">
        <v>72326</v>
      </c>
      <c r="I299" s="2" t="s">
        <v>1250</v>
      </c>
      <c r="J299" s="2" t="s">
        <v>1231</v>
      </c>
      <c r="K299" s="1">
        <v>42922</v>
      </c>
      <c r="L299">
        <v>2017</v>
      </c>
      <c r="M299" s="2" t="s">
        <v>1326</v>
      </c>
    </row>
    <row r="300" spans="1:13" x14ac:dyDescent="0.25">
      <c r="A300" s="2" t="s">
        <v>1890</v>
      </c>
      <c r="B300" s="2" t="s">
        <v>1891</v>
      </c>
      <c r="C300" s="2" t="s">
        <v>1219</v>
      </c>
      <c r="D300">
        <v>56</v>
      </c>
      <c r="E300" s="2" t="s">
        <v>1228</v>
      </c>
      <c r="F300" s="2" t="s">
        <v>1221</v>
      </c>
      <c r="G300" s="2" t="s">
        <v>1230</v>
      </c>
      <c r="H300">
        <v>128737</v>
      </c>
      <c r="I300" s="2" t="s">
        <v>1245</v>
      </c>
      <c r="J300" s="2" t="s">
        <v>1224</v>
      </c>
      <c r="K300" s="1">
        <v>45200</v>
      </c>
      <c r="L300">
        <v>2023</v>
      </c>
      <c r="M300" s="2" t="s">
        <v>1892</v>
      </c>
    </row>
    <row r="301" spans="1:13" x14ac:dyDescent="0.25">
      <c r="A301" s="2" t="s">
        <v>1893</v>
      </c>
      <c r="B301" s="2" t="s">
        <v>1894</v>
      </c>
      <c r="C301" s="2" t="s">
        <v>1227</v>
      </c>
      <c r="D301">
        <v>31</v>
      </c>
      <c r="E301" s="2" t="s">
        <v>1220</v>
      </c>
      <c r="F301" s="2" t="s">
        <v>1249</v>
      </c>
      <c r="G301" s="2" t="s">
        <v>1244</v>
      </c>
      <c r="H301">
        <v>174470</v>
      </c>
      <c r="I301" s="2" t="s">
        <v>1223</v>
      </c>
      <c r="J301" s="2" t="s">
        <v>1224</v>
      </c>
      <c r="K301" s="1">
        <v>45402</v>
      </c>
      <c r="L301">
        <v>2024</v>
      </c>
      <c r="M301" s="2" t="s">
        <v>1895</v>
      </c>
    </row>
    <row r="302" spans="1:13" x14ac:dyDescent="0.25">
      <c r="A302" s="2" t="s">
        <v>82</v>
      </c>
      <c r="B302" s="2" t="s">
        <v>1896</v>
      </c>
      <c r="C302" s="2" t="s">
        <v>1219</v>
      </c>
      <c r="D302">
        <v>48</v>
      </c>
      <c r="E302" s="2" t="s">
        <v>1228</v>
      </c>
      <c r="F302" s="2" t="s">
        <v>1249</v>
      </c>
      <c r="G302" s="2" t="s">
        <v>1222</v>
      </c>
      <c r="H302">
        <v>70861</v>
      </c>
      <c r="I302" s="2" t="s">
        <v>1250</v>
      </c>
      <c r="J302" s="2" t="s">
        <v>1224</v>
      </c>
      <c r="K302" s="1">
        <v>45334</v>
      </c>
      <c r="L302">
        <v>2024</v>
      </c>
      <c r="M302" s="2" t="s">
        <v>1897</v>
      </c>
    </row>
    <row r="303" spans="1:13" x14ac:dyDescent="0.25">
      <c r="A303" s="2" t="s">
        <v>156</v>
      </c>
      <c r="B303" s="2" t="s">
        <v>1898</v>
      </c>
      <c r="C303" s="2" t="s">
        <v>1219</v>
      </c>
      <c r="D303">
        <v>22</v>
      </c>
      <c r="E303" s="2" t="s">
        <v>1242</v>
      </c>
      <c r="F303" s="2" t="s">
        <v>1249</v>
      </c>
      <c r="G303" s="2" t="s">
        <v>1253</v>
      </c>
      <c r="H303">
        <v>95897</v>
      </c>
      <c r="I303" s="2" t="s">
        <v>1245</v>
      </c>
      <c r="J303" s="2" t="s">
        <v>1224</v>
      </c>
      <c r="K303" s="1">
        <v>44473</v>
      </c>
      <c r="L303">
        <v>2021</v>
      </c>
      <c r="M303" s="2" t="s">
        <v>1899</v>
      </c>
    </row>
    <row r="304" spans="1:13" x14ac:dyDescent="0.25">
      <c r="A304" s="2" t="s">
        <v>74</v>
      </c>
      <c r="B304" s="2" t="s">
        <v>1900</v>
      </c>
      <c r="C304" s="2" t="s">
        <v>1219</v>
      </c>
      <c r="D304">
        <v>52</v>
      </c>
      <c r="E304" s="2" t="s">
        <v>1228</v>
      </c>
      <c r="F304" s="2" t="s">
        <v>1243</v>
      </c>
      <c r="G304" s="2" t="s">
        <v>1222</v>
      </c>
      <c r="H304">
        <v>147118</v>
      </c>
      <c r="I304" s="2" t="s">
        <v>1223</v>
      </c>
      <c r="J304" s="2" t="s">
        <v>1231</v>
      </c>
      <c r="K304" s="1">
        <v>44957</v>
      </c>
      <c r="L304">
        <v>2023</v>
      </c>
      <c r="M304" s="2" t="s">
        <v>1901</v>
      </c>
    </row>
    <row r="305" spans="1:13" x14ac:dyDescent="0.25">
      <c r="A305" s="2" t="s">
        <v>954</v>
      </c>
      <c r="B305" s="2" t="s">
        <v>1902</v>
      </c>
      <c r="C305" s="2" t="s">
        <v>1227</v>
      </c>
      <c r="D305">
        <v>40</v>
      </c>
      <c r="E305" s="2" t="s">
        <v>1220</v>
      </c>
      <c r="F305" s="2" t="s">
        <v>1229</v>
      </c>
      <c r="G305" s="2" t="s">
        <v>1239</v>
      </c>
      <c r="H305">
        <v>88577</v>
      </c>
      <c r="I305" s="2" t="s">
        <v>1245</v>
      </c>
      <c r="J305" s="2" t="s">
        <v>1231</v>
      </c>
      <c r="K305" s="1">
        <v>43251</v>
      </c>
      <c r="L305">
        <v>2018</v>
      </c>
      <c r="M305" s="2" t="s">
        <v>1903</v>
      </c>
    </row>
    <row r="306" spans="1:13" x14ac:dyDescent="0.25">
      <c r="A306" s="2" t="s">
        <v>9</v>
      </c>
      <c r="B306" s="2" t="s">
        <v>1904</v>
      </c>
      <c r="C306" s="2" t="s">
        <v>1227</v>
      </c>
      <c r="D306">
        <v>46</v>
      </c>
      <c r="E306" s="2" t="s">
        <v>1228</v>
      </c>
      <c r="F306" s="2" t="s">
        <v>1243</v>
      </c>
      <c r="G306" s="2" t="s">
        <v>1230</v>
      </c>
      <c r="H306">
        <v>29078</v>
      </c>
      <c r="I306" s="2" t="s">
        <v>1250</v>
      </c>
      <c r="J306" s="2" t="s">
        <v>1231</v>
      </c>
      <c r="K306" s="1">
        <v>43041</v>
      </c>
      <c r="L306">
        <v>2017</v>
      </c>
      <c r="M306" s="2" t="s">
        <v>1905</v>
      </c>
    </row>
    <row r="307" spans="1:13" x14ac:dyDescent="0.25">
      <c r="A307" s="2" t="s">
        <v>1906</v>
      </c>
      <c r="B307" s="2" t="s">
        <v>1907</v>
      </c>
      <c r="C307" s="2" t="s">
        <v>1219</v>
      </c>
      <c r="D307">
        <v>60</v>
      </c>
      <c r="E307" s="2" t="s">
        <v>1228</v>
      </c>
      <c r="F307" s="2" t="s">
        <v>1221</v>
      </c>
      <c r="G307" s="2" t="s">
        <v>1222</v>
      </c>
      <c r="H307">
        <v>176075</v>
      </c>
      <c r="I307" s="2" t="s">
        <v>1223</v>
      </c>
      <c r="J307" s="2" t="s">
        <v>1224</v>
      </c>
      <c r="K307" s="1">
        <v>43261</v>
      </c>
      <c r="L307">
        <v>2018</v>
      </c>
      <c r="M307" s="2" t="s">
        <v>1908</v>
      </c>
    </row>
    <row r="308" spans="1:13" x14ac:dyDescent="0.25">
      <c r="A308" s="2" t="s">
        <v>535</v>
      </c>
      <c r="B308" s="2" t="s">
        <v>1909</v>
      </c>
      <c r="C308" s="2" t="s">
        <v>1227</v>
      </c>
      <c r="D308">
        <v>28</v>
      </c>
      <c r="E308" s="2" t="s">
        <v>1242</v>
      </c>
      <c r="F308" s="2" t="s">
        <v>1243</v>
      </c>
      <c r="G308" s="2" t="s">
        <v>1235</v>
      </c>
      <c r="H308">
        <v>82768</v>
      </c>
      <c r="I308" s="2" t="s">
        <v>1245</v>
      </c>
      <c r="J308" s="2" t="s">
        <v>1224</v>
      </c>
      <c r="K308" s="1">
        <v>42293</v>
      </c>
      <c r="L308">
        <v>2015</v>
      </c>
      <c r="M308" s="2" t="s">
        <v>1910</v>
      </c>
    </row>
    <row r="309" spans="1:13" x14ac:dyDescent="0.25">
      <c r="A309" s="2" t="s">
        <v>904</v>
      </c>
      <c r="B309" s="2" t="s">
        <v>1911</v>
      </c>
      <c r="C309" s="2" t="s">
        <v>1227</v>
      </c>
      <c r="D309">
        <v>35</v>
      </c>
      <c r="E309" s="2" t="s">
        <v>1220</v>
      </c>
      <c r="F309" s="2" t="s">
        <v>1221</v>
      </c>
      <c r="G309" s="2" t="s">
        <v>1239</v>
      </c>
      <c r="H309">
        <v>71047</v>
      </c>
      <c r="I309" s="2" t="s">
        <v>1250</v>
      </c>
      <c r="J309" s="2" t="s">
        <v>1224</v>
      </c>
      <c r="K309" s="1">
        <v>42239</v>
      </c>
      <c r="L309">
        <v>2015</v>
      </c>
      <c r="M309" s="2" t="s">
        <v>1440</v>
      </c>
    </row>
    <row r="310" spans="1:13" x14ac:dyDescent="0.25">
      <c r="A310" s="2" t="s">
        <v>909</v>
      </c>
      <c r="B310" s="2" t="s">
        <v>1912</v>
      </c>
      <c r="C310" s="2" t="s">
        <v>1227</v>
      </c>
      <c r="D310">
        <v>64</v>
      </c>
      <c r="E310" s="2" t="s">
        <v>1263</v>
      </c>
      <c r="F310" s="2" t="s">
        <v>1243</v>
      </c>
      <c r="G310" s="2" t="s">
        <v>1239</v>
      </c>
      <c r="H310">
        <v>91626</v>
      </c>
      <c r="I310" s="2" t="s">
        <v>1245</v>
      </c>
      <c r="J310" s="2" t="s">
        <v>1224</v>
      </c>
      <c r="K310" s="1">
        <v>42506</v>
      </c>
      <c r="L310">
        <v>2016</v>
      </c>
      <c r="M310" s="2" t="s">
        <v>1913</v>
      </c>
    </row>
    <row r="311" spans="1:13" x14ac:dyDescent="0.25">
      <c r="A311" s="2" t="s">
        <v>1099</v>
      </c>
      <c r="B311" s="2" t="s">
        <v>1914</v>
      </c>
      <c r="C311" s="2" t="s">
        <v>1227</v>
      </c>
      <c r="D311">
        <v>29</v>
      </c>
      <c r="E311" s="2" t="s">
        <v>1220</v>
      </c>
      <c r="F311" s="2" t="s">
        <v>1229</v>
      </c>
      <c r="G311" s="2" t="s">
        <v>1222</v>
      </c>
      <c r="H311">
        <v>77660</v>
      </c>
      <c r="I311" s="2" t="s">
        <v>1245</v>
      </c>
      <c r="J311" s="2" t="s">
        <v>1224</v>
      </c>
      <c r="K311" s="1">
        <v>42720</v>
      </c>
      <c r="L311">
        <v>2016</v>
      </c>
      <c r="M311" s="2" t="s">
        <v>1915</v>
      </c>
    </row>
    <row r="312" spans="1:13" x14ac:dyDescent="0.25">
      <c r="A312" s="2" t="s">
        <v>1010</v>
      </c>
      <c r="B312" s="2" t="s">
        <v>1916</v>
      </c>
      <c r="C312" s="2" t="s">
        <v>1227</v>
      </c>
      <c r="D312">
        <v>26</v>
      </c>
      <c r="E312" s="2" t="s">
        <v>1242</v>
      </c>
      <c r="F312" s="2" t="s">
        <v>1221</v>
      </c>
      <c r="G312" s="2" t="s">
        <v>1222</v>
      </c>
      <c r="H312">
        <v>152997</v>
      </c>
      <c r="I312" s="2" t="s">
        <v>1223</v>
      </c>
      <c r="J312" s="2" t="s">
        <v>1231</v>
      </c>
      <c r="K312" s="1">
        <v>42861</v>
      </c>
      <c r="L312">
        <v>2017</v>
      </c>
      <c r="M312" s="2" t="s">
        <v>1917</v>
      </c>
    </row>
    <row r="313" spans="1:13" x14ac:dyDescent="0.25">
      <c r="A313" s="2" t="s">
        <v>1072</v>
      </c>
      <c r="B313" s="2" t="s">
        <v>1918</v>
      </c>
      <c r="C313" s="2" t="s">
        <v>1219</v>
      </c>
      <c r="D313">
        <v>27</v>
      </c>
      <c r="E313" s="2" t="s">
        <v>1242</v>
      </c>
      <c r="F313" s="2" t="s">
        <v>1249</v>
      </c>
      <c r="G313" s="2" t="s">
        <v>1230</v>
      </c>
      <c r="H313">
        <v>137832</v>
      </c>
      <c r="I313" s="2" t="s">
        <v>1245</v>
      </c>
      <c r="J313" s="2" t="s">
        <v>1224</v>
      </c>
      <c r="K313" s="1">
        <v>43767</v>
      </c>
      <c r="L313">
        <v>2019</v>
      </c>
      <c r="M313" s="2" t="s">
        <v>1620</v>
      </c>
    </row>
    <row r="314" spans="1:13" x14ac:dyDescent="0.25">
      <c r="A314" s="2" t="s">
        <v>78</v>
      </c>
      <c r="B314" s="2" t="s">
        <v>1919</v>
      </c>
      <c r="C314" s="2" t="s">
        <v>1227</v>
      </c>
      <c r="D314">
        <v>61</v>
      </c>
      <c r="E314" s="2" t="s">
        <v>1263</v>
      </c>
      <c r="F314" s="2" t="s">
        <v>1249</v>
      </c>
      <c r="G314" s="2" t="s">
        <v>1253</v>
      </c>
      <c r="H314">
        <v>150406</v>
      </c>
      <c r="I314" s="2" t="s">
        <v>1223</v>
      </c>
      <c r="J314" s="2" t="s">
        <v>1224</v>
      </c>
      <c r="K314" s="1">
        <v>43566</v>
      </c>
      <c r="L314">
        <v>2019</v>
      </c>
      <c r="M314" s="2" t="s">
        <v>1920</v>
      </c>
    </row>
    <row r="315" spans="1:13" x14ac:dyDescent="0.25">
      <c r="A315" s="2" t="s">
        <v>31</v>
      </c>
      <c r="B315" s="2" t="s">
        <v>1921</v>
      </c>
      <c r="C315" s="2" t="s">
        <v>1219</v>
      </c>
      <c r="D315">
        <v>34</v>
      </c>
      <c r="E315" s="2" t="s">
        <v>1220</v>
      </c>
      <c r="F315" s="2" t="s">
        <v>1243</v>
      </c>
      <c r="G315" s="2" t="s">
        <v>1222</v>
      </c>
      <c r="H315">
        <v>145150</v>
      </c>
      <c r="I315" s="2" t="s">
        <v>1223</v>
      </c>
      <c r="J315" s="2" t="s">
        <v>1224</v>
      </c>
      <c r="K315" s="1">
        <v>44714</v>
      </c>
      <c r="L315">
        <v>2022</v>
      </c>
      <c r="M315" s="2" t="s">
        <v>1922</v>
      </c>
    </row>
    <row r="316" spans="1:13" x14ac:dyDescent="0.25">
      <c r="A316" s="2" t="s">
        <v>1923</v>
      </c>
      <c r="B316" s="2" t="s">
        <v>1924</v>
      </c>
      <c r="C316" s="2" t="s">
        <v>1219</v>
      </c>
      <c r="D316">
        <v>55</v>
      </c>
      <c r="E316" s="2" t="s">
        <v>1228</v>
      </c>
      <c r="F316" s="2" t="s">
        <v>1249</v>
      </c>
      <c r="G316" s="2" t="s">
        <v>1259</v>
      </c>
      <c r="H316">
        <v>177087</v>
      </c>
      <c r="I316" s="2" t="s">
        <v>1223</v>
      </c>
      <c r="J316" s="2" t="s">
        <v>1224</v>
      </c>
      <c r="K316" s="1">
        <v>45794</v>
      </c>
      <c r="L316">
        <v>2025</v>
      </c>
      <c r="M316" s="2" t="s">
        <v>1925</v>
      </c>
    </row>
    <row r="317" spans="1:13" x14ac:dyDescent="0.25">
      <c r="A317" s="2" t="s">
        <v>211</v>
      </c>
      <c r="B317" s="2" t="s">
        <v>1926</v>
      </c>
      <c r="C317" s="2" t="s">
        <v>1227</v>
      </c>
      <c r="D317">
        <v>24</v>
      </c>
      <c r="E317" s="2" t="s">
        <v>1242</v>
      </c>
      <c r="F317" s="2" t="s">
        <v>1221</v>
      </c>
      <c r="G317" s="2" t="s">
        <v>1222</v>
      </c>
      <c r="H317">
        <v>53320</v>
      </c>
      <c r="I317" s="2" t="s">
        <v>1250</v>
      </c>
      <c r="J317" s="2" t="s">
        <v>1224</v>
      </c>
      <c r="K317" s="1">
        <v>45058</v>
      </c>
      <c r="L317">
        <v>2023</v>
      </c>
      <c r="M317" s="2" t="s">
        <v>1288</v>
      </c>
    </row>
    <row r="318" spans="1:13" x14ac:dyDescent="0.25">
      <c r="A318" s="2" t="s">
        <v>893</v>
      </c>
      <c r="B318" s="2" t="s">
        <v>1927</v>
      </c>
      <c r="C318" s="2" t="s">
        <v>1219</v>
      </c>
      <c r="D318">
        <v>63</v>
      </c>
      <c r="E318" s="2" t="s">
        <v>1263</v>
      </c>
      <c r="F318" s="2" t="s">
        <v>1249</v>
      </c>
      <c r="G318" s="2" t="s">
        <v>1244</v>
      </c>
      <c r="H318">
        <v>84881</v>
      </c>
      <c r="I318" s="2" t="s">
        <v>1245</v>
      </c>
      <c r="J318" s="2" t="s">
        <v>1236</v>
      </c>
      <c r="K318" s="1">
        <v>44650</v>
      </c>
      <c r="L318">
        <v>2022</v>
      </c>
      <c r="M318" s="2" t="s">
        <v>1928</v>
      </c>
    </row>
    <row r="319" spans="1:13" x14ac:dyDescent="0.25">
      <c r="A319" s="2" t="s">
        <v>1095</v>
      </c>
      <c r="B319" s="2" t="s">
        <v>1929</v>
      </c>
      <c r="C319" s="2" t="s">
        <v>1219</v>
      </c>
      <c r="D319">
        <v>30</v>
      </c>
      <c r="E319" s="2" t="s">
        <v>1220</v>
      </c>
      <c r="F319" s="2" t="s">
        <v>1229</v>
      </c>
      <c r="G319" s="2" t="s">
        <v>1235</v>
      </c>
      <c r="H319">
        <v>110827</v>
      </c>
      <c r="I319" s="2" t="s">
        <v>1245</v>
      </c>
      <c r="J319" s="2" t="s">
        <v>1231</v>
      </c>
      <c r="K319" s="1">
        <v>42381</v>
      </c>
      <c r="L319">
        <v>2016</v>
      </c>
      <c r="M319" s="2" t="s">
        <v>1930</v>
      </c>
    </row>
    <row r="320" spans="1:13" x14ac:dyDescent="0.25">
      <c r="A320" s="2" t="s">
        <v>12</v>
      </c>
      <c r="B320" s="2" t="s">
        <v>1931</v>
      </c>
      <c r="C320" s="2" t="s">
        <v>1219</v>
      </c>
      <c r="D320">
        <v>57</v>
      </c>
      <c r="E320" s="2" t="s">
        <v>1228</v>
      </c>
      <c r="F320" s="2" t="s">
        <v>1229</v>
      </c>
      <c r="G320" s="2" t="s">
        <v>1259</v>
      </c>
      <c r="H320">
        <v>122215</v>
      </c>
      <c r="I320" s="2" t="s">
        <v>1245</v>
      </c>
      <c r="J320" s="2" t="s">
        <v>1236</v>
      </c>
      <c r="K320" s="1">
        <v>43637</v>
      </c>
      <c r="L320">
        <v>2019</v>
      </c>
      <c r="M320" s="2" t="s">
        <v>1932</v>
      </c>
    </row>
    <row r="321" spans="1:13" x14ac:dyDescent="0.25">
      <c r="A321" s="2" t="s">
        <v>166</v>
      </c>
      <c r="B321" s="2" t="s">
        <v>1933</v>
      </c>
      <c r="C321" s="2" t="s">
        <v>1227</v>
      </c>
      <c r="D321">
        <v>59</v>
      </c>
      <c r="E321" s="2" t="s">
        <v>1228</v>
      </c>
      <c r="F321" s="2" t="s">
        <v>1243</v>
      </c>
      <c r="G321" s="2" t="s">
        <v>1259</v>
      </c>
      <c r="H321">
        <v>177361</v>
      </c>
      <c r="I321" s="2" t="s">
        <v>1223</v>
      </c>
      <c r="J321" s="2" t="s">
        <v>1224</v>
      </c>
      <c r="K321" s="1">
        <v>45185</v>
      </c>
      <c r="L321">
        <v>2023</v>
      </c>
      <c r="M321" s="2" t="s">
        <v>1934</v>
      </c>
    </row>
    <row r="322" spans="1:13" x14ac:dyDescent="0.25">
      <c r="A322" s="2" t="s">
        <v>1935</v>
      </c>
      <c r="B322" s="2" t="s">
        <v>1936</v>
      </c>
      <c r="C322" s="2" t="s">
        <v>1227</v>
      </c>
      <c r="D322">
        <v>26</v>
      </c>
      <c r="E322" s="2" t="s">
        <v>1242</v>
      </c>
      <c r="F322" s="2" t="s">
        <v>1221</v>
      </c>
      <c r="G322" s="2" t="s">
        <v>1244</v>
      </c>
      <c r="H322">
        <v>154461</v>
      </c>
      <c r="I322" s="2" t="s">
        <v>1223</v>
      </c>
      <c r="J322" s="2" t="s">
        <v>1224</v>
      </c>
      <c r="K322" s="1">
        <v>44900</v>
      </c>
      <c r="L322">
        <v>2022</v>
      </c>
      <c r="M322" s="2" t="s">
        <v>1937</v>
      </c>
    </row>
    <row r="323" spans="1:13" x14ac:dyDescent="0.25">
      <c r="A323" s="2" t="s">
        <v>1938</v>
      </c>
      <c r="B323" s="2" t="s">
        <v>1939</v>
      </c>
      <c r="C323" s="2" t="s">
        <v>1219</v>
      </c>
      <c r="D323">
        <v>67</v>
      </c>
      <c r="E323" s="2" t="s">
        <v>1263</v>
      </c>
      <c r="F323" s="2" t="s">
        <v>1229</v>
      </c>
      <c r="G323" s="2" t="s">
        <v>1244</v>
      </c>
      <c r="H323">
        <v>176755</v>
      </c>
      <c r="I323" s="2" t="s">
        <v>1223</v>
      </c>
      <c r="J323" s="2" t="s">
        <v>1224</v>
      </c>
      <c r="K323" s="1">
        <v>43613</v>
      </c>
      <c r="L323">
        <v>2019</v>
      </c>
      <c r="M323" s="2" t="s">
        <v>1940</v>
      </c>
    </row>
    <row r="324" spans="1:13" x14ac:dyDescent="0.25">
      <c r="A324" s="2" t="s">
        <v>1941</v>
      </c>
      <c r="B324" s="2" t="s">
        <v>1942</v>
      </c>
      <c r="C324" s="2" t="s">
        <v>1227</v>
      </c>
      <c r="D324">
        <v>44</v>
      </c>
      <c r="E324" s="2" t="s">
        <v>1220</v>
      </c>
      <c r="F324" s="2" t="s">
        <v>1229</v>
      </c>
      <c r="G324" s="2" t="s">
        <v>1239</v>
      </c>
      <c r="H324">
        <v>164701</v>
      </c>
      <c r="I324" s="2" t="s">
        <v>1223</v>
      </c>
      <c r="J324" s="2" t="s">
        <v>1224</v>
      </c>
      <c r="K324" s="1">
        <v>43365</v>
      </c>
      <c r="L324">
        <v>2018</v>
      </c>
      <c r="M324" s="2" t="s">
        <v>1943</v>
      </c>
    </row>
    <row r="325" spans="1:13" x14ac:dyDescent="0.25">
      <c r="A325" s="2" t="s">
        <v>968</v>
      </c>
      <c r="B325" s="2" t="s">
        <v>1944</v>
      </c>
      <c r="C325" s="2" t="s">
        <v>1227</v>
      </c>
      <c r="D325">
        <v>19</v>
      </c>
      <c r="E325" s="2" t="s">
        <v>1242</v>
      </c>
      <c r="F325" s="2" t="s">
        <v>1221</v>
      </c>
      <c r="G325" s="2" t="s">
        <v>1253</v>
      </c>
      <c r="H325">
        <v>81550</v>
      </c>
      <c r="I325" s="2" t="s">
        <v>1245</v>
      </c>
      <c r="J325" s="2" t="s">
        <v>1231</v>
      </c>
      <c r="K325" s="1">
        <v>42817</v>
      </c>
      <c r="L325">
        <v>2017</v>
      </c>
      <c r="M325" s="2" t="s">
        <v>1541</v>
      </c>
    </row>
    <row r="326" spans="1:13" x14ac:dyDescent="0.25">
      <c r="A326" s="2" t="s">
        <v>118</v>
      </c>
      <c r="B326" s="2" t="s">
        <v>1945</v>
      </c>
      <c r="C326" s="2" t="s">
        <v>1227</v>
      </c>
      <c r="D326">
        <v>22</v>
      </c>
      <c r="E326" s="2" t="s">
        <v>1242</v>
      </c>
      <c r="F326" s="2" t="s">
        <v>1249</v>
      </c>
      <c r="G326" s="2" t="s">
        <v>1235</v>
      </c>
      <c r="H326">
        <v>44826</v>
      </c>
      <c r="I326" s="2" t="s">
        <v>1250</v>
      </c>
      <c r="J326" s="2" t="s">
        <v>1224</v>
      </c>
      <c r="K326" s="1">
        <v>44640</v>
      </c>
      <c r="L326">
        <v>2022</v>
      </c>
      <c r="M326" s="2" t="s">
        <v>1946</v>
      </c>
    </row>
    <row r="327" spans="1:13" x14ac:dyDescent="0.25">
      <c r="A327" s="2" t="s">
        <v>203</v>
      </c>
      <c r="B327" s="2" t="s">
        <v>1947</v>
      </c>
      <c r="C327" s="2" t="s">
        <v>1227</v>
      </c>
      <c r="D327">
        <v>46</v>
      </c>
      <c r="E327" s="2" t="s">
        <v>1228</v>
      </c>
      <c r="F327" s="2" t="s">
        <v>1249</v>
      </c>
      <c r="G327" s="2" t="s">
        <v>1230</v>
      </c>
      <c r="H327">
        <v>120734</v>
      </c>
      <c r="I327" s="2" t="s">
        <v>1245</v>
      </c>
      <c r="J327" s="2" t="s">
        <v>1224</v>
      </c>
      <c r="K327" s="1">
        <v>43847</v>
      </c>
      <c r="L327">
        <v>2020</v>
      </c>
      <c r="M327" s="2" t="s">
        <v>1948</v>
      </c>
    </row>
    <row r="328" spans="1:13" x14ac:dyDescent="0.25">
      <c r="A328" s="2" t="s">
        <v>367</v>
      </c>
      <c r="B328" s="2" t="s">
        <v>1949</v>
      </c>
      <c r="C328" s="2" t="s">
        <v>1219</v>
      </c>
      <c r="D328">
        <v>54</v>
      </c>
      <c r="E328" s="2" t="s">
        <v>1228</v>
      </c>
      <c r="F328" s="2" t="s">
        <v>1243</v>
      </c>
      <c r="G328" s="2" t="s">
        <v>1259</v>
      </c>
      <c r="H328">
        <v>177702</v>
      </c>
      <c r="I328" s="2" t="s">
        <v>1223</v>
      </c>
      <c r="J328" s="2" t="s">
        <v>1224</v>
      </c>
      <c r="K328" s="1">
        <v>45127</v>
      </c>
      <c r="L328">
        <v>2023</v>
      </c>
      <c r="M328" s="2" t="s">
        <v>1950</v>
      </c>
    </row>
    <row r="329" spans="1:13" x14ac:dyDescent="0.25">
      <c r="A329" s="2" t="s">
        <v>840</v>
      </c>
      <c r="B329" s="2" t="s">
        <v>1951</v>
      </c>
      <c r="C329" s="2" t="s">
        <v>1219</v>
      </c>
      <c r="D329">
        <v>55</v>
      </c>
      <c r="E329" s="2" t="s">
        <v>1228</v>
      </c>
      <c r="F329" s="2" t="s">
        <v>1249</v>
      </c>
      <c r="G329" s="2" t="s">
        <v>1230</v>
      </c>
      <c r="H329">
        <v>197235</v>
      </c>
      <c r="I329" s="2" t="s">
        <v>1223</v>
      </c>
      <c r="J329" s="2" t="s">
        <v>1224</v>
      </c>
      <c r="K329" s="1">
        <v>44461</v>
      </c>
      <c r="L329">
        <v>2021</v>
      </c>
      <c r="M329" s="2" t="s">
        <v>1952</v>
      </c>
    </row>
    <row r="330" spans="1:13" x14ac:dyDescent="0.25">
      <c r="A330" s="2" t="s">
        <v>269</v>
      </c>
      <c r="B330" s="2" t="s">
        <v>1953</v>
      </c>
      <c r="C330" s="2" t="s">
        <v>1227</v>
      </c>
      <c r="D330">
        <v>36</v>
      </c>
      <c r="E330" s="2" t="s">
        <v>1220</v>
      </c>
      <c r="F330" s="2" t="s">
        <v>1221</v>
      </c>
      <c r="G330" s="2" t="s">
        <v>1222</v>
      </c>
      <c r="H330">
        <v>118511</v>
      </c>
      <c r="I330" s="2" t="s">
        <v>1245</v>
      </c>
      <c r="J330" s="2" t="s">
        <v>1231</v>
      </c>
      <c r="K330" s="1">
        <v>44791</v>
      </c>
      <c r="L330">
        <v>2022</v>
      </c>
      <c r="M330" s="2" t="s">
        <v>1954</v>
      </c>
    </row>
    <row r="331" spans="1:13" x14ac:dyDescent="0.25">
      <c r="A331" s="2" t="s">
        <v>405</v>
      </c>
      <c r="B331" s="2" t="s">
        <v>1955</v>
      </c>
      <c r="C331" s="2" t="s">
        <v>1227</v>
      </c>
      <c r="D331">
        <v>25</v>
      </c>
      <c r="E331" s="2" t="s">
        <v>1242</v>
      </c>
      <c r="F331" s="2" t="s">
        <v>1229</v>
      </c>
      <c r="G331" s="2" t="s">
        <v>1222</v>
      </c>
      <c r="H331">
        <v>31653</v>
      </c>
      <c r="I331" s="2" t="s">
        <v>1250</v>
      </c>
      <c r="J331" s="2" t="s">
        <v>1224</v>
      </c>
      <c r="K331" s="1">
        <v>42830</v>
      </c>
      <c r="L331">
        <v>2017</v>
      </c>
      <c r="M331" s="2" t="s">
        <v>1956</v>
      </c>
    </row>
    <row r="332" spans="1:13" x14ac:dyDescent="0.25">
      <c r="A332" s="2" t="s">
        <v>1202</v>
      </c>
      <c r="B332" s="2" t="s">
        <v>1957</v>
      </c>
      <c r="C332" s="2" t="s">
        <v>1219</v>
      </c>
      <c r="D332">
        <v>65</v>
      </c>
      <c r="E332" s="2" t="s">
        <v>1263</v>
      </c>
      <c r="F332" s="2" t="s">
        <v>1249</v>
      </c>
      <c r="G332" s="2" t="s">
        <v>1230</v>
      </c>
      <c r="H332">
        <v>179033</v>
      </c>
      <c r="I332" s="2" t="s">
        <v>1223</v>
      </c>
      <c r="J332" s="2" t="s">
        <v>1224</v>
      </c>
      <c r="K332" s="1">
        <v>43776</v>
      </c>
      <c r="L332">
        <v>2019</v>
      </c>
      <c r="M332" s="2" t="s">
        <v>1958</v>
      </c>
    </row>
    <row r="333" spans="1:13" x14ac:dyDescent="0.25">
      <c r="A333" s="2" t="s">
        <v>983</v>
      </c>
      <c r="B333" s="2" t="s">
        <v>1959</v>
      </c>
      <c r="C333" s="2" t="s">
        <v>1219</v>
      </c>
      <c r="D333">
        <v>62</v>
      </c>
      <c r="E333" s="2" t="s">
        <v>1263</v>
      </c>
      <c r="F333" s="2" t="s">
        <v>1243</v>
      </c>
      <c r="G333" s="2" t="s">
        <v>1222</v>
      </c>
      <c r="H333">
        <v>101941</v>
      </c>
      <c r="I333" s="2" t="s">
        <v>1245</v>
      </c>
      <c r="J333" s="2" t="s">
        <v>1224</v>
      </c>
      <c r="K333" s="1">
        <v>44448</v>
      </c>
      <c r="L333">
        <v>2021</v>
      </c>
      <c r="M333" s="2" t="s">
        <v>1960</v>
      </c>
    </row>
    <row r="334" spans="1:13" x14ac:dyDescent="0.25">
      <c r="A334" s="2" t="s">
        <v>813</v>
      </c>
      <c r="B334" s="2" t="s">
        <v>1961</v>
      </c>
      <c r="C334" s="2" t="s">
        <v>1227</v>
      </c>
      <c r="D334">
        <v>18</v>
      </c>
      <c r="E334" s="2" t="s">
        <v>1242</v>
      </c>
      <c r="F334" s="2" t="s">
        <v>1249</v>
      </c>
      <c r="G334" s="2" t="s">
        <v>1253</v>
      </c>
      <c r="H334">
        <v>53662</v>
      </c>
      <c r="I334" s="2" t="s">
        <v>1250</v>
      </c>
      <c r="J334" s="2" t="s">
        <v>1224</v>
      </c>
      <c r="K334" s="1">
        <v>42347</v>
      </c>
      <c r="L334">
        <v>2015</v>
      </c>
      <c r="M334" s="2" t="s">
        <v>1962</v>
      </c>
    </row>
    <row r="335" spans="1:13" x14ac:dyDescent="0.25">
      <c r="A335" s="2" t="s">
        <v>847</v>
      </c>
      <c r="B335" s="2" t="s">
        <v>1963</v>
      </c>
      <c r="C335" s="2" t="s">
        <v>1219</v>
      </c>
      <c r="D335">
        <v>39</v>
      </c>
      <c r="E335" s="2" t="s">
        <v>1220</v>
      </c>
      <c r="F335" s="2" t="s">
        <v>1221</v>
      </c>
      <c r="G335" s="2" t="s">
        <v>1244</v>
      </c>
      <c r="H335">
        <v>118818</v>
      </c>
      <c r="I335" s="2" t="s">
        <v>1245</v>
      </c>
      <c r="J335" s="2" t="s">
        <v>1231</v>
      </c>
      <c r="K335" s="1">
        <v>43494</v>
      </c>
      <c r="L335">
        <v>2019</v>
      </c>
      <c r="M335" s="2" t="s">
        <v>1964</v>
      </c>
    </row>
    <row r="336" spans="1:13" x14ac:dyDescent="0.25">
      <c r="A336" s="2" t="s">
        <v>1965</v>
      </c>
      <c r="B336" s="2" t="s">
        <v>1966</v>
      </c>
      <c r="C336" s="2" t="s">
        <v>1227</v>
      </c>
      <c r="D336">
        <v>69</v>
      </c>
      <c r="E336" s="2" t="s">
        <v>1263</v>
      </c>
      <c r="F336" s="2" t="s">
        <v>1243</v>
      </c>
      <c r="G336" s="2" t="s">
        <v>1222</v>
      </c>
      <c r="H336">
        <v>172360</v>
      </c>
      <c r="I336" s="2" t="s">
        <v>1223</v>
      </c>
      <c r="J336" s="2" t="s">
        <v>1231</v>
      </c>
      <c r="K336" s="1">
        <v>44573</v>
      </c>
      <c r="L336">
        <v>2022</v>
      </c>
      <c r="M336" s="2" t="s">
        <v>1967</v>
      </c>
    </row>
    <row r="337" spans="1:13" x14ac:dyDescent="0.25">
      <c r="A337" s="2" t="s">
        <v>255</v>
      </c>
      <c r="B337" s="2" t="s">
        <v>1968</v>
      </c>
      <c r="C337" s="2" t="s">
        <v>1227</v>
      </c>
      <c r="D337">
        <v>34</v>
      </c>
      <c r="E337" s="2" t="s">
        <v>1220</v>
      </c>
      <c r="F337" s="2" t="s">
        <v>1249</v>
      </c>
      <c r="G337" s="2" t="s">
        <v>1239</v>
      </c>
      <c r="H337">
        <v>115081</v>
      </c>
      <c r="I337" s="2" t="s">
        <v>1245</v>
      </c>
      <c r="J337" s="2" t="s">
        <v>1236</v>
      </c>
      <c r="K337" s="1">
        <v>42817</v>
      </c>
      <c r="L337">
        <v>2017</v>
      </c>
      <c r="M337" s="2" t="s">
        <v>1541</v>
      </c>
    </row>
    <row r="338" spans="1:13" x14ac:dyDescent="0.25">
      <c r="A338" s="2" t="s">
        <v>142</v>
      </c>
      <c r="B338" s="2" t="s">
        <v>1969</v>
      </c>
      <c r="C338" s="2" t="s">
        <v>1219</v>
      </c>
      <c r="D338">
        <v>24</v>
      </c>
      <c r="E338" s="2" t="s">
        <v>1242</v>
      </c>
      <c r="F338" s="2" t="s">
        <v>1243</v>
      </c>
      <c r="G338" s="2" t="s">
        <v>1222</v>
      </c>
      <c r="H338">
        <v>56877</v>
      </c>
      <c r="I338" s="2" t="s">
        <v>1250</v>
      </c>
      <c r="J338" s="2" t="s">
        <v>1231</v>
      </c>
      <c r="K338" s="1">
        <v>45877</v>
      </c>
      <c r="L338">
        <v>2025</v>
      </c>
      <c r="M338" s="2" t="s">
        <v>1970</v>
      </c>
    </row>
    <row r="339" spans="1:13" x14ac:dyDescent="0.25">
      <c r="A339" s="2" t="s">
        <v>277</v>
      </c>
      <c r="B339" s="2" t="s">
        <v>1971</v>
      </c>
      <c r="C339" s="2" t="s">
        <v>1219</v>
      </c>
      <c r="D339">
        <v>42</v>
      </c>
      <c r="E339" s="2" t="s">
        <v>1220</v>
      </c>
      <c r="F339" s="2" t="s">
        <v>1221</v>
      </c>
      <c r="G339" s="2" t="s">
        <v>1235</v>
      </c>
      <c r="H339">
        <v>131562</v>
      </c>
      <c r="I339" s="2" t="s">
        <v>1245</v>
      </c>
      <c r="J339" s="2" t="s">
        <v>1224</v>
      </c>
      <c r="K339" s="1">
        <v>44868</v>
      </c>
      <c r="L339">
        <v>2022</v>
      </c>
      <c r="M339" s="2" t="s">
        <v>1972</v>
      </c>
    </row>
    <row r="340" spans="1:13" x14ac:dyDescent="0.25">
      <c r="A340" s="2" t="s">
        <v>1973</v>
      </c>
      <c r="B340" s="2" t="s">
        <v>1974</v>
      </c>
      <c r="C340" s="2" t="s">
        <v>1227</v>
      </c>
      <c r="D340">
        <v>62</v>
      </c>
      <c r="E340" s="2" t="s">
        <v>1263</v>
      </c>
      <c r="F340" s="2" t="s">
        <v>1229</v>
      </c>
      <c r="G340" s="2" t="s">
        <v>1253</v>
      </c>
      <c r="H340">
        <v>166385</v>
      </c>
      <c r="I340" s="2" t="s">
        <v>1223</v>
      </c>
      <c r="J340" s="2" t="s">
        <v>1231</v>
      </c>
      <c r="K340" s="1">
        <v>43280</v>
      </c>
      <c r="L340">
        <v>2018</v>
      </c>
      <c r="M340" s="2" t="s">
        <v>1975</v>
      </c>
    </row>
    <row r="341" spans="1:13" x14ac:dyDescent="0.25">
      <c r="A341" s="2" t="s">
        <v>1070</v>
      </c>
      <c r="B341" s="2" t="s">
        <v>1976</v>
      </c>
      <c r="C341" s="2" t="s">
        <v>1227</v>
      </c>
      <c r="D341">
        <v>21</v>
      </c>
      <c r="E341" s="2" t="s">
        <v>1242</v>
      </c>
      <c r="F341" s="2" t="s">
        <v>1221</v>
      </c>
      <c r="G341" s="2" t="s">
        <v>1235</v>
      </c>
      <c r="H341">
        <v>92715</v>
      </c>
      <c r="I341" s="2" t="s">
        <v>1245</v>
      </c>
      <c r="J341" s="2" t="s">
        <v>1224</v>
      </c>
      <c r="K341" s="1">
        <v>42927</v>
      </c>
      <c r="L341">
        <v>2017</v>
      </c>
      <c r="M341" s="2" t="s">
        <v>1977</v>
      </c>
    </row>
    <row r="342" spans="1:13" x14ac:dyDescent="0.25">
      <c r="A342" s="2" t="s">
        <v>350</v>
      </c>
      <c r="B342" s="2" t="s">
        <v>1978</v>
      </c>
      <c r="C342" s="2" t="s">
        <v>1219</v>
      </c>
      <c r="D342">
        <v>53</v>
      </c>
      <c r="E342" s="2" t="s">
        <v>1228</v>
      </c>
      <c r="F342" s="2" t="s">
        <v>1221</v>
      </c>
      <c r="G342" s="2" t="s">
        <v>1235</v>
      </c>
      <c r="H342">
        <v>161398</v>
      </c>
      <c r="I342" s="2" t="s">
        <v>1223</v>
      </c>
      <c r="J342" s="2" t="s">
        <v>1224</v>
      </c>
      <c r="K342" s="1">
        <v>43009</v>
      </c>
      <c r="L342">
        <v>2017</v>
      </c>
      <c r="M342" s="2" t="s">
        <v>1979</v>
      </c>
    </row>
    <row r="343" spans="1:13" x14ac:dyDescent="0.25">
      <c r="A343" s="2" t="s">
        <v>238</v>
      </c>
      <c r="B343" s="2" t="s">
        <v>1980</v>
      </c>
      <c r="C343" s="2" t="s">
        <v>1227</v>
      </c>
      <c r="D343">
        <v>23</v>
      </c>
      <c r="E343" s="2" t="s">
        <v>1242</v>
      </c>
      <c r="F343" s="2" t="s">
        <v>1221</v>
      </c>
      <c r="G343" s="2" t="s">
        <v>1239</v>
      </c>
      <c r="H343">
        <v>130091</v>
      </c>
      <c r="I343" s="2" t="s">
        <v>1245</v>
      </c>
      <c r="J343" s="2" t="s">
        <v>1231</v>
      </c>
      <c r="K343" s="1">
        <v>45017</v>
      </c>
      <c r="L343">
        <v>2023</v>
      </c>
      <c r="M343" s="2" t="s">
        <v>1981</v>
      </c>
    </row>
    <row r="344" spans="1:13" x14ac:dyDescent="0.25">
      <c r="A344" s="2" t="s">
        <v>777</v>
      </c>
      <c r="B344" s="2" t="s">
        <v>1982</v>
      </c>
      <c r="C344" s="2" t="s">
        <v>1219</v>
      </c>
      <c r="D344">
        <v>48</v>
      </c>
      <c r="E344" s="2" t="s">
        <v>1228</v>
      </c>
      <c r="F344" s="2" t="s">
        <v>1221</v>
      </c>
      <c r="G344" s="2" t="s">
        <v>1253</v>
      </c>
      <c r="H344">
        <v>152632</v>
      </c>
      <c r="I344" s="2" t="s">
        <v>1223</v>
      </c>
      <c r="J344" s="2" t="s">
        <v>1224</v>
      </c>
      <c r="K344" s="1">
        <v>43154</v>
      </c>
      <c r="L344">
        <v>2018</v>
      </c>
      <c r="M344" s="2" t="s">
        <v>1983</v>
      </c>
    </row>
    <row r="345" spans="1:13" x14ac:dyDescent="0.25">
      <c r="A345" s="2" t="s">
        <v>433</v>
      </c>
      <c r="B345" s="2" t="s">
        <v>1984</v>
      </c>
      <c r="C345" s="2" t="s">
        <v>1227</v>
      </c>
      <c r="D345">
        <v>36</v>
      </c>
      <c r="E345" s="2" t="s">
        <v>1220</v>
      </c>
      <c r="F345" s="2" t="s">
        <v>1229</v>
      </c>
      <c r="G345" s="2" t="s">
        <v>1253</v>
      </c>
      <c r="H345">
        <v>99148</v>
      </c>
      <c r="I345" s="2" t="s">
        <v>1245</v>
      </c>
      <c r="J345" s="2" t="s">
        <v>1236</v>
      </c>
      <c r="K345" s="1">
        <v>43052</v>
      </c>
      <c r="L345">
        <v>2017</v>
      </c>
      <c r="M345" s="2" t="s">
        <v>1985</v>
      </c>
    </row>
    <row r="346" spans="1:13" x14ac:dyDescent="0.25">
      <c r="A346" s="2" t="s">
        <v>348</v>
      </c>
      <c r="B346" s="2" t="s">
        <v>1986</v>
      </c>
      <c r="C346" s="2" t="s">
        <v>1219</v>
      </c>
      <c r="D346">
        <v>61</v>
      </c>
      <c r="E346" s="2" t="s">
        <v>1263</v>
      </c>
      <c r="F346" s="2" t="s">
        <v>1229</v>
      </c>
      <c r="G346" s="2" t="s">
        <v>1253</v>
      </c>
      <c r="H346">
        <v>103186</v>
      </c>
      <c r="I346" s="2" t="s">
        <v>1245</v>
      </c>
      <c r="J346" s="2" t="s">
        <v>1224</v>
      </c>
      <c r="K346" s="1">
        <v>43704</v>
      </c>
      <c r="L346">
        <v>2019</v>
      </c>
      <c r="M346" s="2" t="s">
        <v>1987</v>
      </c>
    </row>
    <row r="347" spans="1:13" x14ac:dyDescent="0.25">
      <c r="A347" s="2" t="s">
        <v>1988</v>
      </c>
      <c r="B347" s="2" t="s">
        <v>1989</v>
      </c>
      <c r="C347" s="2" t="s">
        <v>1219</v>
      </c>
      <c r="D347">
        <v>71</v>
      </c>
      <c r="E347" s="2" t="s">
        <v>1263</v>
      </c>
      <c r="F347" s="2" t="s">
        <v>1243</v>
      </c>
      <c r="G347" s="2" t="s">
        <v>1253</v>
      </c>
      <c r="H347">
        <v>177817</v>
      </c>
      <c r="I347" s="2" t="s">
        <v>1223</v>
      </c>
      <c r="J347" s="2" t="s">
        <v>1231</v>
      </c>
      <c r="K347" s="1">
        <v>44709</v>
      </c>
      <c r="L347">
        <v>2022</v>
      </c>
      <c r="M347" s="2" t="s">
        <v>1990</v>
      </c>
    </row>
    <row r="348" spans="1:13" x14ac:dyDescent="0.25">
      <c r="A348" s="2" t="s">
        <v>750</v>
      </c>
      <c r="B348" s="2" t="s">
        <v>1991</v>
      </c>
      <c r="C348" s="2" t="s">
        <v>1219</v>
      </c>
      <c r="D348">
        <v>56</v>
      </c>
      <c r="E348" s="2" t="s">
        <v>1228</v>
      </c>
      <c r="F348" s="2" t="s">
        <v>1249</v>
      </c>
      <c r="G348" s="2" t="s">
        <v>1253</v>
      </c>
      <c r="H348">
        <v>182962</v>
      </c>
      <c r="I348" s="2" t="s">
        <v>1223</v>
      </c>
      <c r="J348" s="2" t="s">
        <v>1231</v>
      </c>
      <c r="K348" s="1">
        <v>45560</v>
      </c>
      <c r="L348">
        <v>2024</v>
      </c>
      <c r="M348" s="2" t="s">
        <v>1550</v>
      </c>
    </row>
    <row r="349" spans="1:13" x14ac:dyDescent="0.25">
      <c r="A349" s="2" t="s">
        <v>1014</v>
      </c>
      <c r="B349" s="2" t="s">
        <v>1992</v>
      </c>
      <c r="C349" s="2" t="s">
        <v>1227</v>
      </c>
      <c r="D349">
        <v>44</v>
      </c>
      <c r="E349" s="2" t="s">
        <v>1220</v>
      </c>
      <c r="F349" s="2" t="s">
        <v>1229</v>
      </c>
      <c r="G349" s="2" t="s">
        <v>1239</v>
      </c>
      <c r="H349">
        <v>171094</v>
      </c>
      <c r="I349" s="2" t="s">
        <v>1223</v>
      </c>
      <c r="J349" s="2" t="s">
        <v>1231</v>
      </c>
      <c r="K349" s="1">
        <v>43485</v>
      </c>
      <c r="L349">
        <v>2019</v>
      </c>
      <c r="M349" s="2" t="s">
        <v>1993</v>
      </c>
    </row>
    <row r="350" spans="1:13" x14ac:dyDescent="0.25">
      <c r="A350" s="2" t="s">
        <v>164</v>
      </c>
      <c r="B350" s="2" t="s">
        <v>1994</v>
      </c>
      <c r="C350" s="2" t="s">
        <v>1227</v>
      </c>
      <c r="D350">
        <v>27</v>
      </c>
      <c r="E350" s="2" t="s">
        <v>1242</v>
      </c>
      <c r="F350" s="2" t="s">
        <v>1229</v>
      </c>
      <c r="G350" s="2" t="s">
        <v>1222</v>
      </c>
      <c r="H350">
        <v>143629</v>
      </c>
      <c r="I350" s="2" t="s">
        <v>1223</v>
      </c>
      <c r="J350" s="2" t="s">
        <v>1231</v>
      </c>
      <c r="K350" s="1">
        <v>45888</v>
      </c>
      <c r="L350">
        <v>2025</v>
      </c>
      <c r="M350" s="2" t="s">
        <v>1995</v>
      </c>
    </row>
    <row r="351" spans="1:13" x14ac:dyDescent="0.25">
      <c r="A351" s="2" t="s">
        <v>53</v>
      </c>
      <c r="B351" s="2" t="s">
        <v>1996</v>
      </c>
      <c r="C351" s="2" t="s">
        <v>1219</v>
      </c>
      <c r="D351">
        <v>43</v>
      </c>
      <c r="E351" s="2" t="s">
        <v>1220</v>
      </c>
      <c r="F351" s="2" t="s">
        <v>1249</v>
      </c>
      <c r="G351" s="2" t="s">
        <v>1235</v>
      </c>
      <c r="H351">
        <v>90316</v>
      </c>
      <c r="I351" s="2" t="s">
        <v>1245</v>
      </c>
      <c r="J351" s="2" t="s">
        <v>1231</v>
      </c>
      <c r="K351" s="1">
        <v>44926</v>
      </c>
      <c r="L351">
        <v>2022</v>
      </c>
      <c r="M351" s="2" t="s">
        <v>1997</v>
      </c>
    </row>
    <row r="352" spans="1:13" x14ac:dyDescent="0.25">
      <c r="A352" s="2" t="s">
        <v>1998</v>
      </c>
      <c r="B352" s="2" t="s">
        <v>1999</v>
      </c>
      <c r="C352" s="2" t="s">
        <v>1227</v>
      </c>
      <c r="D352">
        <v>36</v>
      </c>
      <c r="E352" s="2" t="s">
        <v>1220</v>
      </c>
      <c r="F352" s="2" t="s">
        <v>1229</v>
      </c>
      <c r="G352" s="2" t="s">
        <v>1253</v>
      </c>
      <c r="H352">
        <v>48380</v>
      </c>
      <c r="I352" s="2" t="s">
        <v>1250</v>
      </c>
      <c r="J352" s="2" t="s">
        <v>1224</v>
      </c>
      <c r="K352" s="1">
        <v>44241</v>
      </c>
      <c r="L352">
        <v>2021</v>
      </c>
      <c r="M352" s="2" t="s">
        <v>2000</v>
      </c>
    </row>
    <row r="353" spans="1:13" x14ac:dyDescent="0.25">
      <c r="A353" s="2" t="s">
        <v>2001</v>
      </c>
      <c r="B353" s="2" t="s">
        <v>2002</v>
      </c>
      <c r="C353" s="2" t="s">
        <v>1219</v>
      </c>
      <c r="D353">
        <v>56</v>
      </c>
      <c r="E353" s="2" t="s">
        <v>1228</v>
      </c>
      <c r="F353" s="2" t="s">
        <v>1221</v>
      </c>
      <c r="G353" s="2" t="s">
        <v>1259</v>
      </c>
      <c r="H353">
        <v>130198</v>
      </c>
      <c r="I353" s="2" t="s">
        <v>1245</v>
      </c>
      <c r="J353" s="2" t="s">
        <v>1224</v>
      </c>
      <c r="K353" s="1">
        <v>43973</v>
      </c>
      <c r="L353">
        <v>2020</v>
      </c>
      <c r="M353" s="2" t="s">
        <v>2003</v>
      </c>
    </row>
    <row r="354" spans="1:13" x14ac:dyDescent="0.25">
      <c r="A354" s="2" t="s">
        <v>652</v>
      </c>
      <c r="B354" s="2" t="s">
        <v>2004</v>
      </c>
      <c r="C354" s="2" t="s">
        <v>1219</v>
      </c>
      <c r="D354">
        <v>20</v>
      </c>
      <c r="E354" s="2" t="s">
        <v>1242</v>
      </c>
      <c r="F354" s="2" t="s">
        <v>1221</v>
      </c>
      <c r="G354" s="2" t="s">
        <v>1222</v>
      </c>
      <c r="H354">
        <v>22356</v>
      </c>
      <c r="I354" s="2" t="s">
        <v>1250</v>
      </c>
      <c r="J354" s="2" t="s">
        <v>1224</v>
      </c>
      <c r="K354" s="1">
        <v>43727</v>
      </c>
      <c r="L354">
        <v>2019</v>
      </c>
      <c r="M354" s="2" t="s">
        <v>2005</v>
      </c>
    </row>
    <row r="355" spans="1:13" x14ac:dyDescent="0.25">
      <c r="A355" s="2" t="s">
        <v>378</v>
      </c>
      <c r="B355" s="2" t="s">
        <v>2006</v>
      </c>
      <c r="C355" s="2" t="s">
        <v>1227</v>
      </c>
      <c r="D355">
        <v>62</v>
      </c>
      <c r="E355" s="2" t="s">
        <v>1263</v>
      </c>
      <c r="F355" s="2" t="s">
        <v>1249</v>
      </c>
      <c r="G355" s="2" t="s">
        <v>1222</v>
      </c>
      <c r="H355">
        <v>90326</v>
      </c>
      <c r="I355" s="2" t="s">
        <v>1245</v>
      </c>
      <c r="J355" s="2" t="s">
        <v>1231</v>
      </c>
      <c r="K355" s="1">
        <v>43758</v>
      </c>
      <c r="L355">
        <v>2019</v>
      </c>
      <c r="M355" s="2" t="s">
        <v>2007</v>
      </c>
    </row>
    <row r="356" spans="1:13" x14ac:dyDescent="0.25">
      <c r="A356" s="2" t="s">
        <v>809</v>
      </c>
      <c r="B356" s="2" t="s">
        <v>2008</v>
      </c>
      <c r="C356" s="2" t="s">
        <v>1227</v>
      </c>
      <c r="D356">
        <v>30</v>
      </c>
      <c r="E356" s="2" t="s">
        <v>1220</v>
      </c>
      <c r="F356" s="2" t="s">
        <v>1243</v>
      </c>
      <c r="G356" s="2" t="s">
        <v>1235</v>
      </c>
      <c r="H356">
        <v>112447</v>
      </c>
      <c r="I356" s="2" t="s">
        <v>1245</v>
      </c>
      <c r="J356" s="2" t="s">
        <v>1224</v>
      </c>
      <c r="K356" s="1">
        <v>43847</v>
      </c>
      <c r="L356">
        <v>2020</v>
      </c>
      <c r="M356" s="2" t="s">
        <v>1948</v>
      </c>
    </row>
    <row r="357" spans="1:13" x14ac:dyDescent="0.25">
      <c r="A357" s="2" t="s">
        <v>41</v>
      </c>
      <c r="B357" s="2" t="s">
        <v>2009</v>
      </c>
      <c r="C357" s="2" t="s">
        <v>1219</v>
      </c>
      <c r="D357">
        <v>67</v>
      </c>
      <c r="E357" s="2" t="s">
        <v>1263</v>
      </c>
      <c r="F357" s="2" t="s">
        <v>1243</v>
      </c>
      <c r="G357" s="2" t="s">
        <v>1239</v>
      </c>
      <c r="H357">
        <v>134994</v>
      </c>
      <c r="I357" s="2" t="s">
        <v>1245</v>
      </c>
      <c r="J357" s="2" t="s">
        <v>1231</v>
      </c>
      <c r="K357" s="1">
        <v>43374</v>
      </c>
      <c r="L357">
        <v>2018</v>
      </c>
      <c r="M357" s="2" t="s">
        <v>2010</v>
      </c>
    </row>
    <row r="358" spans="1:13" x14ac:dyDescent="0.25">
      <c r="A358" s="2" t="s">
        <v>958</v>
      </c>
      <c r="B358" s="2" t="s">
        <v>2011</v>
      </c>
      <c r="C358" s="2" t="s">
        <v>1227</v>
      </c>
      <c r="D358">
        <v>45</v>
      </c>
      <c r="E358" s="2" t="s">
        <v>1228</v>
      </c>
      <c r="F358" s="2" t="s">
        <v>1249</v>
      </c>
      <c r="G358" s="2" t="s">
        <v>1230</v>
      </c>
      <c r="H358">
        <v>40049</v>
      </c>
      <c r="I358" s="2" t="s">
        <v>1250</v>
      </c>
      <c r="J358" s="2" t="s">
        <v>1224</v>
      </c>
      <c r="K358" s="1">
        <v>44190</v>
      </c>
      <c r="L358">
        <v>2020</v>
      </c>
      <c r="M358" s="2" t="s">
        <v>2012</v>
      </c>
    </row>
    <row r="359" spans="1:13" x14ac:dyDescent="0.25">
      <c r="A359" s="2" t="s">
        <v>2013</v>
      </c>
      <c r="B359" s="2" t="s">
        <v>2014</v>
      </c>
      <c r="C359" s="2" t="s">
        <v>1227</v>
      </c>
      <c r="D359">
        <v>37</v>
      </c>
      <c r="E359" s="2" t="s">
        <v>1220</v>
      </c>
      <c r="F359" s="2" t="s">
        <v>1249</v>
      </c>
      <c r="G359" s="2" t="s">
        <v>1230</v>
      </c>
      <c r="H359">
        <v>125361</v>
      </c>
      <c r="I359" s="2" t="s">
        <v>1245</v>
      </c>
      <c r="J359" s="2" t="s">
        <v>1224</v>
      </c>
      <c r="K359" s="1">
        <v>44342</v>
      </c>
      <c r="L359">
        <v>2021</v>
      </c>
      <c r="M359" s="2" t="s">
        <v>2015</v>
      </c>
    </row>
    <row r="360" spans="1:13" x14ac:dyDescent="0.25">
      <c r="A360" s="2" t="s">
        <v>110</v>
      </c>
      <c r="B360" s="2" t="s">
        <v>2016</v>
      </c>
      <c r="C360" s="2" t="s">
        <v>1219</v>
      </c>
      <c r="D360">
        <v>45</v>
      </c>
      <c r="E360" s="2" t="s">
        <v>1228</v>
      </c>
      <c r="F360" s="2" t="s">
        <v>1221</v>
      </c>
      <c r="G360" s="2" t="s">
        <v>1222</v>
      </c>
      <c r="H360">
        <v>36082</v>
      </c>
      <c r="I360" s="2" t="s">
        <v>1250</v>
      </c>
      <c r="J360" s="2" t="s">
        <v>1231</v>
      </c>
      <c r="K360" s="1">
        <v>44954</v>
      </c>
      <c r="L360">
        <v>2023</v>
      </c>
      <c r="M360" s="2" t="s">
        <v>2017</v>
      </c>
    </row>
    <row r="361" spans="1:13" x14ac:dyDescent="0.25">
      <c r="A361" s="2" t="s">
        <v>2018</v>
      </c>
      <c r="B361" s="2" t="s">
        <v>2019</v>
      </c>
      <c r="C361" s="2" t="s">
        <v>1219</v>
      </c>
      <c r="D361">
        <v>25</v>
      </c>
      <c r="E361" s="2" t="s">
        <v>1242</v>
      </c>
      <c r="F361" s="2" t="s">
        <v>1243</v>
      </c>
      <c r="G361" s="2" t="s">
        <v>1244</v>
      </c>
      <c r="H361">
        <v>20661</v>
      </c>
      <c r="I361" s="2" t="s">
        <v>1250</v>
      </c>
      <c r="J361" s="2" t="s">
        <v>1224</v>
      </c>
      <c r="K361" s="1">
        <v>44819</v>
      </c>
      <c r="L361">
        <v>2022</v>
      </c>
      <c r="M361" s="2" t="s">
        <v>2020</v>
      </c>
    </row>
    <row r="362" spans="1:13" x14ac:dyDescent="0.25">
      <c r="A362" s="2" t="s">
        <v>924</v>
      </c>
      <c r="B362" s="2" t="s">
        <v>2021</v>
      </c>
      <c r="C362" s="2" t="s">
        <v>1227</v>
      </c>
      <c r="D362">
        <v>58</v>
      </c>
      <c r="E362" s="2" t="s">
        <v>1228</v>
      </c>
      <c r="F362" s="2" t="s">
        <v>1229</v>
      </c>
      <c r="G362" s="2" t="s">
        <v>1244</v>
      </c>
      <c r="H362">
        <v>188484</v>
      </c>
      <c r="I362" s="2" t="s">
        <v>1223</v>
      </c>
      <c r="J362" s="2" t="s">
        <v>1224</v>
      </c>
      <c r="K362" s="1">
        <v>45392</v>
      </c>
      <c r="L362">
        <v>2024</v>
      </c>
      <c r="M362" s="2" t="s">
        <v>2022</v>
      </c>
    </row>
    <row r="363" spans="1:13" x14ac:dyDescent="0.25">
      <c r="A363" s="2" t="s">
        <v>1053</v>
      </c>
      <c r="B363" s="2" t="s">
        <v>2023</v>
      </c>
      <c r="C363" s="2" t="s">
        <v>1219</v>
      </c>
      <c r="D363">
        <v>56</v>
      </c>
      <c r="E363" s="2" t="s">
        <v>1228</v>
      </c>
      <c r="F363" s="2" t="s">
        <v>1221</v>
      </c>
      <c r="G363" s="2" t="s">
        <v>1235</v>
      </c>
      <c r="H363">
        <v>22920</v>
      </c>
      <c r="I363" s="2" t="s">
        <v>1250</v>
      </c>
      <c r="J363" s="2" t="s">
        <v>1224</v>
      </c>
      <c r="K363" s="1">
        <v>42295</v>
      </c>
      <c r="L363">
        <v>2015</v>
      </c>
      <c r="M363" s="2" t="s">
        <v>2024</v>
      </c>
    </row>
    <row r="364" spans="1:13" x14ac:dyDescent="0.25">
      <c r="A364" s="2" t="s">
        <v>281</v>
      </c>
      <c r="B364" s="2" t="s">
        <v>2025</v>
      </c>
      <c r="C364" s="2" t="s">
        <v>1219</v>
      </c>
      <c r="D364">
        <v>18</v>
      </c>
      <c r="E364" s="2" t="s">
        <v>1242</v>
      </c>
      <c r="F364" s="2" t="s">
        <v>1249</v>
      </c>
      <c r="G364" s="2" t="s">
        <v>1230</v>
      </c>
      <c r="H364">
        <v>99561</v>
      </c>
      <c r="I364" s="2" t="s">
        <v>1245</v>
      </c>
      <c r="J364" s="2" t="s">
        <v>1236</v>
      </c>
      <c r="K364" s="1">
        <v>42581</v>
      </c>
      <c r="L364">
        <v>2016</v>
      </c>
      <c r="M364" s="2" t="s">
        <v>2026</v>
      </c>
    </row>
    <row r="365" spans="1:13" x14ac:dyDescent="0.25">
      <c r="A365" s="2" t="s">
        <v>213</v>
      </c>
      <c r="B365" s="2" t="s">
        <v>2027</v>
      </c>
      <c r="C365" s="2" t="s">
        <v>1227</v>
      </c>
      <c r="D365">
        <v>20</v>
      </c>
      <c r="E365" s="2" t="s">
        <v>1242</v>
      </c>
      <c r="F365" s="2" t="s">
        <v>1243</v>
      </c>
      <c r="G365" s="2" t="s">
        <v>1222</v>
      </c>
      <c r="H365">
        <v>28946</v>
      </c>
      <c r="I365" s="2" t="s">
        <v>1250</v>
      </c>
      <c r="J365" s="2" t="s">
        <v>1231</v>
      </c>
      <c r="K365" s="1">
        <v>42442</v>
      </c>
      <c r="L365">
        <v>2016</v>
      </c>
      <c r="M365" s="2" t="s">
        <v>2028</v>
      </c>
    </row>
    <row r="366" spans="1:13" x14ac:dyDescent="0.25">
      <c r="A366" s="2" t="s">
        <v>144</v>
      </c>
      <c r="B366" s="2" t="s">
        <v>2029</v>
      </c>
      <c r="C366" s="2" t="s">
        <v>1219</v>
      </c>
      <c r="D366">
        <v>30</v>
      </c>
      <c r="E366" s="2" t="s">
        <v>1220</v>
      </c>
      <c r="F366" s="2" t="s">
        <v>1229</v>
      </c>
      <c r="G366" s="2" t="s">
        <v>1239</v>
      </c>
      <c r="H366">
        <v>196572</v>
      </c>
      <c r="I366" s="2" t="s">
        <v>1223</v>
      </c>
      <c r="J366" s="2" t="s">
        <v>1224</v>
      </c>
      <c r="K366" s="1">
        <v>45607</v>
      </c>
      <c r="L366">
        <v>2024</v>
      </c>
      <c r="M366" s="2" t="s">
        <v>2030</v>
      </c>
    </row>
    <row r="367" spans="1:13" x14ac:dyDescent="0.25">
      <c r="A367" s="2" t="s">
        <v>15</v>
      </c>
      <c r="B367" s="2" t="s">
        <v>2031</v>
      </c>
      <c r="C367" s="2" t="s">
        <v>1219</v>
      </c>
      <c r="D367">
        <v>45</v>
      </c>
      <c r="E367" s="2" t="s">
        <v>1228</v>
      </c>
      <c r="F367" s="2" t="s">
        <v>1229</v>
      </c>
      <c r="G367" s="2" t="s">
        <v>1230</v>
      </c>
      <c r="H367">
        <v>36309</v>
      </c>
      <c r="I367" s="2" t="s">
        <v>1250</v>
      </c>
      <c r="J367" s="2" t="s">
        <v>1224</v>
      </c>
      <c r="K367" s="1">
        <v>43773</v>
      </c>
      <c r="L367">
        <v>2019</v>
      </c>
      <c r="M367" s="2" t="s">
        <v>2032</v>
      </c>
    </row>
    <row r="368" spans="1:13" x14ac:dyDescent="0.25">
      <c r="A368" s="2" t="s">
        <v>2033</v>
      </c>
      <c r="B368" s="2" t="s">
        <v>2034</v>
      </c>
      <c r="C368" s="2" t="s">
        <v>1227</v>
      </c>
      <c r="D368">
        <v>74</v>
      </c>
      <c r="E368" s="2" t="s">
        <v>1263</v>
      </c>
      <c r="F368" s="2" t="s">
        <v>1221</v>
      </c>
      <c r="G368" s="2" t="s">
        <v>1222</v>
      </c>
      <c r="H368">
        <v>75230</v>
      </c>
      <c r="I368" s="2" t="s">
        <v>1245</v>
      </c>
      <c r="J368" s="2" t="s">
        <v>1224</v>
      </c>
      <c r="K368" s="1">
        <v>43795</v>
      </c>
      <c r="L368">
        <v>2019</v>
      </c>
      <c r="M368" s="2" t="s">
        <v>2035</v>
      </c>
    </row>
    <row r="369" spans="1:13" x14ac:dyDescent="0.25">
      <c r="A369" s="2" t="s">
        <v>423</v>
      </c>
      <c r="B369" s="2" t="s">
        <v>2036</v>
      </c>
      <c r="C369" s="2" t="s">
        <v>1227</v>
      </c>
      <c r="D369">
        <v>66</v>
      </c>
      <c r="E369" s="2" t="s">
        <v>1263</v>
      </c>
      <c r="F369" s="2" t="s">
        <v>1243</v>
      </c>
      <c r="G369" s="2" t="s">
        <v>1222</v>
      </c>
      <c r="H369">
        <v>131822</v>
      </c>
      <c r="I369" s="2" t="s">
        <v>1245</v>
      </c>
      <c r="J369" s="2" t="s">
        <v>1231</v>
      </c>
      <c r="K369" s="1">
        <v>43811</v>
      </c>
      <c r="L369">
        <v>2019</v>
      </c>
      <c r="M369" s="2" t="s">
        <v>2037</v>
      </c>
    </row>
    <row r="370" spans="1:13" x14ac:dyDescent="0.25">
      <c r="A370" s="2" t="s">
        <v>497</v>
      </c>
      <c r="B370" s="2" t="s">
        <v>2038</v>
      </c>
      <c r="C370" s="2" t="s">
        <v>1219</v>
      </c>
      <c r="D370">
        <v>42</v>
      </c>
      <c r="E370" s="2" t="s">
        <v>1220</v>
      </c>
      <c r="F370" s="2" t="s">
        <v>1243</v>
      </c>
      <c r="G370" s="2" t="s">
        <v>1253</v>
      </c>
      <c r="H370">
        <v>181099</v>
      </c>
      <c r="I370" s="2" t="s">
        <v>1223</v>
      </c>
      <c r="J370" s="2" t="s">
        <v>1231</v>
      </c>
      <c r="K370" s="1">
        <v>44954</v>
      </c>
      <c r="L370">
        <v>2023</v>
      </c>
      <c r="M370" s="2" t="s">
        <v>2017</v>
      </c>
    </row>
    <row r="371" spans="1:13" x14ac:dyDescent="0.25">
      <c r="A371" s="2" t="s">
        <v>2039</v>
      </c>
      <c r="B371" s="2" t="s">
        <v>2040</v>
      </c>
      <c r="C371" s="2" t="s">
        <v>1219</v>
      </c>
      <c r="D371">
        <v>73</v>
      </c>
      <c r="E371" s="2" t="s">
        <v>1263</v>
      </c>
      <c r="F371" s="2" t="s">
        <v>1249</v>
      </c>
      <c r="G371" s="2" t="s">
        <v>1239</v>
      </c>
      <c r="H371">
        <v>132340</v>
      </c>
      <c r="I371" s="2" t="s">
        <v>1245</v>
      </c>
      <c r="J371" s="2" t="s">
        <v>1224</v>
      </c>
      <c r="K371" s="1">
        <v>42545</v>
      </c>
      <c r="L371">
        <v>2016</v>
      </c>
      <c r="M371" s="2" t="s">
        <v>2041</v>
      </c>
    </row>
    <row r="372" spans="1:13" x14ac:dyDescent="0.25">
      <c r="A372" s="2" t="s">
        <v>346</v>
      </c>
      <c r="B372" s="2" t="s">
        <v>2042</v>
      </c>
      <c r="C372" s="2" t="s">
        <v>1227</v>
      </c>
      <c r="D372">
        <v>50</v>
      </c>
      <c r="E372" s="2" t="s">
        <v>1228</v>
      </c>
      <c r="F372" s="2" t="s">
        <v>1243</v>
      </c>
      <c r="G372" s="2" t="s">
        <v>1253</v>
      </c>
      <c r="H372">
        <v>79321</v>
      </c>
      <c r="I372" s="2" t="s">
        <v>1245</v>
      </c>
      <c r="J372" s="2" t="s">
        <v>1224</v>
      </c>
      <c r="K372" s="1">
        <v>43047</v>
      </c>
      <c r="L372">
        <v>2017</v>
      </c>
      <c r="M372" s="2" t="s">
        <v>2043</v>
      </c>
    </row>
    <row r="373" spans="1:13" x14ac:dyDescent="0.25">
      <c r="A373" s="2" t="s">
        <v>467</v>
      </c>
      <c r="B373" s="2" t="s">
        <v>2044</v>
      </c>
      <c r="C373" s="2" t="s">
        <v>1227</v>
      </c>
      <c r="D373">
        <v>55</v>
      </c>
      <c r="E373" s="2" t="s">
        <v>1228</v>
      </c>
      <c r="F373" s="2" t="s">
        <v>1243</v>
      </c>
      <c r="G373" s="2" t="s">
        <v>1235</v>
      </c>
      <c r="H373">
        <v>152028</v>
      </c>
      <c r="I373" s="2" t="s">
        <v>1223</v>
      </c>
      <c r="J373" s="2" t="s">
        <v>1224</v>
      </c>
      <c r="K373" s="1">
        <v>44745</v>
      </c>
      <c r="L373">
        <v>2022</v>
      </c>
      <c r="M373" s="2" t="s">
        <v>1295</v>
      </c>
    </row>
    <row r="374" spans="1:13" x14ac:dyDescent="0.25">
      <c r="A374" s="2" t="s">
        <v>2045</v>
      </c>
      <c r="B374" s="2" t="s">
        <v>2046</v>
      </c>
      <c r="C374" s="2" t="s">
        <v>1227</v>
      </c>
      <c r="D374">
        <v>70</v>
      </c>
      <c r="E374" s="2" t="s">
        <v>1263</v>
      </c>
      <c r="F374" s="2" t="s">
        <v>1221</v>
      </c>
      <c r="G374" s="2" t="s">
        <v>1253</v>
      </c>
      <c r="H374">
        <v>94131</v>
      </c>
      <c r="I374" s="2" t="s">
        <v>1245</v>
      </c>
      <c r="J374" s="2" t="s">
        <v>1231</v>
      </c>
      <c r="K374" s="1">
        <v>45501</v>
      </c>
      <c r="L374">
        <v>2024</v>
      </c>
      <c r="M374" s="2" t="s">
        <v>2047</v>
      </c>
    </row>
    <row r="375" spans="1:13" x14ac:dyDescent="0.25">
      <c r="A375" s="2" t="s">
        <v>2048</v>
      </c>
      <c r="B375" s="2" t="s">
        <v>2049</v>
      </c>
      <c r="C375" s="2" t="s">
        <v>1227</v>
      </c>
      <c r="D375">
        <v>23</v>
      </c>
      <c r="E375" s="2" t="s">
        <v>1242</v>
      </c>
      <c r="F375" s="2" t="s">
        <v>1243</v>
      </c>
      <c r="G375" s="2" t="s">
        <v>1259</v>
      </c>
      <c r="H375">
        <v>198980</v>
      </c>
      <c r="I375" s="2" t="s">
        <v>1223</v>
      </c>
      <c r="J375" s="2" t="s">
        <v>1231</v>
      </c>
      <c r="K375" s="1">
        <v>43750</v>
      </c>
      <c r="L375">
        <v>2019</v>
      </c>
      <c r="M375" s="2" t="s">
        <v>2050</v>
      </c>
    </row>
    <row r="376" spans="1:13" x14ac:dyDescent="0.25">
      <c r="A376" s="2" t="s">
        <v>619</v>
      </c>
      <c r="B376" s="2" t="s">
        <v>2051</v>
      </c>
      <c r="C376" s="2" t="s">
        <v>1219</v>
      </c>
      <c r="D376">
        <v>61</v>
      </c>
      <c r="E376" s="2" t="s">
        <v>1263</v>
      </c>
      <c r="F376" s="2" t="s">
        <v>1229</v>
      </c>
      <c r="G376" s="2" t="s">
        <v>1253</v>
      </c>
      <c r="H376">
        <v>45963</v>
      </c>
      <c r="I376" s="2" t="s">
        <v>1250</v>
      </c>
      <c r="J376" s="2" t="s">
        <v>1224</v>
      </c>
      <c r="K376" s="1">
        <v>44798</v>
      </c>
      <c r="L376">
        <v>2022</v>
      </c>
      <c r="M376" s="2" t="s">
        <v>2052</v>
      </c>
    </row>
    <row r="377" spans="1:13" x14ac:dyDescent="0.25">
      <c r="A377" s="2" t="s">
        <v>322</v>
      </c>
      <c r="B377" s="2" t="s">
        <v>2053</v>
      </c>
      <c r="C377" s="2" t="s">
        <v>1227</v>
      </c>
      <c r="D377">
        <v>62</v>
      </c>
      <c r="E377" s="2" t="s">
        <v>1263</v>
      </c>
      <c r="F377" s="2" t="s">
        <v>1221</v>
      </c>
      <c r="G377" s="2" t="s">
        <v>1259</v>
      </c>
      <c r="H377">
        <v>121757</v>
      </c>
      <c r="I377" s="2" t="s">
        <v>1245</v>
      </c>
      <c r="J377" s="2" t="s">
        <v>1224</v>
      </c>
      <c r="K377" s="1">
        <v>42284</v>
      </c>
      <c r="L377">
        <v>2015</v>
      </c>
      <c r="M377" s="2" t="s">
        <v>2054</v>
      </c>
    </row>
    <row r="378" spans="1:13" x14ac:dyDescent="0.25">
      <c r="A378" s="2" t="s">
        <v>685</v>
      </c>
      <c r="B378" s="2" t="s">
        <v>2055</v>
      </c>
      <c r="C378" s="2" t="s">
        <v>1227</v>
      </c>
      <c r="D378">
        <v>49</v>
      </c>
      <c r="E378" s="2" t="s">
        <v>1228</v>
      </c>
      <c r="F378" s="2" t="s">
        <v>1221</v>
      </c>
      <c r="G378" s="2" t="s">
        <v>1230</v>
      </c>
      <c r="H378">
        <v>190515</v>
      </c>
      <c r="I378" s="2" t="s">
        <v>1223</v>
      </c>
      <c r="J378" s="2" t="s">
        <v>1224</v>
      </c>
      <c r="K378" s="1">
        <v>44918</v>
      </c>
      <c r="L378">
        <v>2022</v>
      </c>
      <c r="M378" s="2" t="s">
        <v>2056</v>
      </c>
    </row>
    <row r="379" spans="1:13" x14ac:dyDescent="0.25">
      <c r="A379" s="2" t="s">
        <v>1185</v>
      </c>
      <c r="B379" s="2" t="s">
        <v>2057</v>
      </c>
      <c r="C379" s="2" t="s">
        <v>1219</v>
      </c>
      <c r="D379">
        <v>62</v>
      </c>
      <c r="E379" s="2" t="s">
        <v>1263</v>
      </c>
      <c r="F379" s="2" t="s">
        <v>1249</v>
      </c>
      <c r="G379" s="2" t="s">
        <v>1244</v>
      </c>
      <c r="H379">
        <v>119259</v>
      </c>
      <c r="I379" s="2" t="s">
        <v>1245</v>
      </c>
      <c r="J379" s="2" t="s">
        <v>1236</v>
      </c>
      <c r="K379" s="1">
        <v>42731</v>
      </c>
      <c r="L379">
        <v>2016</v>
      </c>
      <c r="M379" s="2" t="s">
        <v>2058</v>
      </c>
    </row>
    <row r="380" spans="1:13" x14ac:dyDescent="0.25">
      <c r="A380" s="2" t="s">
        <v>527</v>
      </c>
      <c r="B380" s="2" t="s">
        <v>2059</v>
      </c>
      <c r="C380" s="2" t="s">
        <v>1227</v>
      </c>
      <c r="D380">
        <v>64</v>
      </c>
      <c r="E380" s="2" t="s">
        <v>1263</v>
      </c>
      <c r="F380" s="2" t="s">
        <v>1243</v>
      </c>
      <c r="G380" s="2" t="s">
        <v>1222</v>
      </c>
      <c r="H380">
        <v>59063</v>
      </c>
      <c r="I380" s="2" t="s">
        <v>1250</v>
      </c>
      <c r="J380" s="2" t="s">
        <v>1224</v>
      </c>
      <c r="K380" s="1">
        <v>44972</v>
      </c>
      <c r="L380">
        <v>2023</v>
      </c>
      <c r="M380" s="2" t="s">
        <v>2060</v>
      </c>
    </row>
    <row r="381" spans="1:13" x14ac:dyDescent="0.25">
      <c r="A381" s="2" t="s">
        <v>597</v>
      </c>
      <c r="B381" s="2" t="s">
        <v>2061</v>
      </c>
      <c r="C381" s="2" t="s">
        <v>1219</v>
      </c>
      <c r="D381">
        <v>38</v>
      </c>
      <c r="E381" s="2" t="s">
        <v>1220</v>
      </c>
      <c r="F381" s="2" t="s">
        <v>1249</v>
      </c>
      <c r="G381" s="2" t="s">
        <v>1259</v>
      </c>
      <c r="H381">
        <v>134225</v>
      </c>
      <c r="I381" s="2" t="s">
        <v>1245</v>
      </c>
      <c r="J381" s="2" t="s">
        <v>1231</v>
      </c>
      <c r="K381" s="1">
        <v>44538</v>
      </c>
      <c r="L381">
        <v>2021</v>
      </c>
      <c r="M381" s="2" t="s">
        <v>2062</v>
      </c>
    </row>
    <row r="382" spans="1:13" x14ac:dyDescent="0.25">
      <c r="A382" s="2" t="s">
        <v>485</v>
      </c>
      <c r="B382" s="2" t="s">
        <v>2063</v>
      </c>
      <c r="C382" s="2" t="s">
        <v>1227</v>
      </c>
      <c r="D382">
        <v>33</v>
      </c>
      <c r="E382" s="2" t="s">
        <v>1220</v>
      </c>
      <c r="F382" s="2" t="s">
        <v>1229</v>
      </c>
      <c r="G382" s="2" t="s">
        <v>1239</v>
      </c>
      <c r="H382">
        <v>136400</v>
      </c>
      <c r="I382" s="2" t="s">
        <v>1245</v>
      </c>
      <c r="J382" s="2" t="s">
        <v>1231</v>
      </c>
      <c r="K382" s="1">
        <v>43463</v>
      </c>
      <c r="L382">
        <v>2018</v>
      </c>
      <c r="M382" s="2" t="s">
        <v>2064</v>
      </c>
    </row>
    <row r="383" spans="1:13" x14ac:dyDescent="0.25">
      <c r="A383" s="2" t="s">
        <v>662</v>
      </c>
      <c r="B383" s="2" t="s">
        <v>2065</v>
      </c>
      <c r="C383" s="2" t="s">
        <v>1227</v>
      </c>
      <c r="D383">
        <v>71</v>
      </c>
      <c r="E383" s="2" t="s">
        <v>1263</v>
      </c>
      <c r="F383" s="2" t="s">
        <v>1221</v>
      </c>
      <c r="G383" s="2" t="s">
        <v>1253</v>
      </c>
      <c r="H383">
        <v>100818</v>
      </c>
      <c r="I383" s="2" t="s">
        <v>1245</v>
      </c>
      <c r="J383" s="2" t="s">
        <v>1224</v>
      </c>
      <c r="K383" s="1">
        <v>43995</v>
      </c>
      <c r="L383">
        <v>2020</v>
      </c>
      <c r="M383" s="2" t="s">
        <v>2066</v>
      </c>
    </row>
    <row r="384" spans="1:13" x14ac:dyDescent="0.25">
      <c r="A384" s="2" t="s">
        <v>363</v>
      </c>
      <c r="B384" s="2" t="s">
        <v>2067</v>
      </c>
      <c r="C384" s="2" t="s">
        <v>1227</v>
      </c>
      <c r="D384">
        <v>38</v>
      </c>
      <c r="E384" s="2" t="s">
        <v>1220</v>
      </c>
      <c r="F384" s="2" t="s">
        <v>1221</v>
      </c>
      <c r="G384" s="2" t="s">
        <v>1259</v>
      </c>
      <c r="H384">
        <v>24703</v>
      </c>
      <c r="I384" s="2" t="s">
        <v>1250</v>
      </c>
      <c r="J384" s="2" t="s">
        <v>1224</v>
      </c>
      <c r="K384" s="1">
        <v>44896</v>
      </c>
      <c r="L384">
        <v>2022</v>
      </c>
      <c r="M384" s="2" t="s">
        <v>2068</v>
      </c>
    </row>
    <row r="385" spans="1:13" x14ac:dyDescent="0.25">
      <c r="A385" s="2" t="s">
        <v>324</v>
      </c>
      <c r="B385" s="2" t="s">
        <v>2069</v>
      </c>
      <c r="C385" s="2" t="s">
        <v>1219</v>
      </c>
      <c r="D385">
        <v>28</v>
      </c>
      <c r="E385" s="2" t="s">
        <v>1242</v>
      </c>
      <c r="F385" s="2" t="s">
        <v>1221</v>
      </c>
      <c r="G385" s="2" t="s">
        <v>1239</v>
      </c>
      <c r="H385">
        <v>92099</v>
      </c>
      <c r="I385" s="2" t="s">
        <v>1245</v>
      </c>
      <c r="J385" s="2" t="s">
        <v>1224</v>
      </c>
      <c r="K385" s="1">
        <v>44410</v>
      </c>
      <c r="L385">
        <v>2021</v>
      </c>
      <c r="M385" s="2" t="s">
        <v>2070</v>
      </c>
    </row>
    <row r="386" spans="1:13" x14ac:dyDescent="0.25">
      <c r="A386" s="2" t="s">
        <v>2071</v>
      </c>
      <c r="B386" s="2" t="s">
        <v>2072</v>
      </c>
      <c r="C386" s="2" t="s">
        <v>1219</v>
      </c>
      <c r="D386">
        <v>54</v>
      </c>
      <c r="E386" s="2" t="s">
        <v>1228</v>
      </c>
      <c r="F386" s="2" t="s">
        <v>1229</v>
      </c>
      <c r="G386" s="2" t="s">
        <v>1244</v>
      </c>
      <c r="H386">
        <v>176921</v>
      </c>
      <c r="I386" s="2" t="s">
        <v>1223</v>
      </c>
      <c r="J386" s="2" t="s">
        <v>1231</v>
      </c>
      <c r="K386" s="1">
        <v>44889</v>
      </c>
      <c r="L386">
        <v>2022</v>
      </c>
      <c r="M386" s="2" t="s">
        <v>2073</v>
      </c>
    </row>
    <row r="387" spans="1:13" x14ac:dyDescent="0.25">
      <c r="A387" s="2" t="s">
        <v>573</v>
      </c>
      <c r="B387" s="2" t="s">
        <v>2074</v>
      </c>
      <c r="C387" s="2" t="s">
        <v>1227</v>
      </c>
      <c r="D387">
        <v>53</v>
      </c>
      <c r="E387" s="2" t="s">
        <v>1228</v>
      </c>
      <c r="F387" s="2" t="s">
        <v>1229</v>
      </c>
      <c r="G387" s="2" t="s">
        <v>1244</v>
      </c>
      <c r="H387">
        <v>182932</v>
      </c>
      <c r="I387" s="2" t="s">
        <v>1223</v>
      </c>
      <c r="J387" s="2" t="s">
        <v>1231</v>
      </c>
      <c r="K387" s="1">
        <v>45157</v>
      </c>
      <c r="L387">
        <v>2023</v>
      </c>
      <c r="M387" s="2" t="s">
        <v>2075</v>
      </c>
    </row>
    <row r="388" spans="1:13" x14ac:dyDescent="0.25">
      <c r="A388" s="2" t="s">
        <v>506</v>
      </c>
      <c r="B388" s="2" t="s">
        <v>2076</v>
      </c>
      <c r="C388" s="2" t="s">
        <v>1219</v>
      </c>
      <c r="D388">
        <v>52</v>
      </c>
      <c r="E388" s="2" t="s">
        <v>1228</v>
      </c>
      <c r="F388" s="2" t="s">
        <v>1249</v>
      </c>
      <c r="G388" s="2" t="s">
        <v>1253</v>
      </c>
      <c r="H388">
        <v>51585</v>
      </c>
      <c r="I388" s="2" t="s">
        <v>1250</v>
      </c>
      <c r="J388" s="2" t="s">
        <v>1231</v>
      </c>
      <c r="K388" s="1">
        <v>43577</v>
      </c>
      <c r="L388">
        <v>2019</v>
      </c>
      <c r="M388" s="2" t="s">
        <v>2077</v>
      </c>
    </row>
    <row r="389" spans="1:13" x14ac:dyDescent="0.25">
      <c r="A389" s="2" t="s">
        <v>2078</v>
      </c>
      <c r="B389" s="2" t="s">
        <v>2079</v>
      </c>
      <c r="C389" s="2" t="s">
        <v>1219</v>
      </c>
      <c r="D389">
        <v>36</v>
      </c>
      <c r="E389" s="2" t="s">
        <v>1220</v>
      </c>
      <c r="F389" s="2" t="s">
        <v>1249</v>
      </c>
      <c r="G389" s="2" t="s">
        <v>1235</v>
      </c>
      <c r="H389">
        <v>173087</v>
      </c>
      <c r="I389" s="2" t="s">
        <v>1223</v>
      </c>
      <c r="J389" s="2" t="s">
        <v>1224</v>
      </c>
      <c r="K389" s="1">
        <v>43947</v>
      </c>
      <c r="L389">
        <v>2020</v>
      </c>
      <c r="M389" s="2" t="s">
        <v>2080</v>
      </c>
    </row>
    <row r="390" spans="1:13" x14ac:dyDescent="0.25">
      <c r="A390" s="2" t="s">
        <v>2081</v>
      </c>
      <c r="B390" s="2" t="s">
        <v>2082</v>
      </c>
      <c r="C390" s="2" t="s">
        <v>1219</v>
      </c>
      <c r="D390">
        <v>37</v>
      </c>
      <c r="E390" s="2" t="s">
        <v>1220</v>
      </c>
      <c r="F390" s="2" t="s">
        <v>1249</v>
      </c>
      <c r="G390" s="2" t="s">
        <v>1253</v>
      </c>
      <c r="H390">
        <v>63585</v>
      </c>
      <c r="I390" s="2" t="s">
        <v>1250</v>
      </c>
      <c r="J390" s="2" t="s">
        <v>1224</v>
      </c>
      <c r="K390" s="1">
        <v>42757</v>
      </c>
      <c r="L390">
        <v>2017</v>
      </c>
      <c r="M390" s="2" t="s">
        <v>2083</v>
      </c>
    </row>
    <row r="391" spans="1:13" x14ac:dyDescent="0.25">
      <c r="A391" s="2" t="s">
        <v>2084</v>
      </c>
      <c r="B391" s="2" t="s">
        <v>2085</v>
      </c>
      <c r="C391" s="2" t="s">
        <v>1219</v>
      </c>
      <c r="D391">
        <v>74</v>
      </c>
      <c r="E391" s="2" t="s">
        <v>1263</v>
      </c>
      <c r="F391" s="2" t="s">
        <v>1243</v>
      </c>
      <c r="G391" s="2" t="s">
        <v>1230</v>
      </c>
      <c r="H391">
        <v>46958</v>
      </c>
      <c r="I391" s="2" t="s">
        <v>1250</v>
      </c>
      <c r="J391" s="2" t="s">
        <v>1236</v>
      </c>
      <c r="K391" s="1">
        <v>44220</v>
      </c>
      <c r="L391">
        <v>2021</v>
      </c>
      <c r="M391" s="2" t="s">
        <v>2086</v>
      </c>
    </row>
    <row r="392" spans="1:13" x14ac:dyDescent="0.25">
      <c r="A392" s="2" t="s">
        <v>242</v>
      </c>
      <c r="B392" s="2" t="s">
        <v>2087</v>
      </c>
      <c r="C392" s="2" t="s">
        <v>1219</v>
      </c>
      <c r="D392">
        <v>35</v>
      </c>
      <c r="E392" s="2" t="s">
        <v>1220</v>
      </c>
      <c r="F392" s="2" t="s">
        <v>1221</v>
      </c>
      <c r="G392" s="2" t="s">
        <v>1259</v>
      </c>
      <c r="H392">
        <v>46017</v>
      </c>
      <c r="I392" s="2" t="s">
        <v>1250</v>
      </c>
      <c r="J392" s="2" t="s">
        <v>1231</v>
      </c>
      <c r="K392" s="1">
        <v>42931</v>
      </c>
      <c r="L392">
        <v>2017</v>
      </c>
      <c r="M392" s="2" t="s">
        <v>2088</v>
      </c>
    </row>
    <row r="393" spans="1:13" x14ac:dyDescent="0.25">
      <c r="A393" s="2" t="s">
        <v>2089</v>
      </c>
      <c r="B393" s="2" t="s">
        <v>2090</v>
      </c>
      <c r="C393" s="2" t="s">
        <v>1219</v>
      </c>
      <c r="D393">
        <v>64</v>
      </c>
      <c r="E393" s="2" t="s">
        <v>1263</v>
      </c>
      <c r="F393" s="2" t="s">
        <v>1221</v>
      </c>
      <c r="G393" s="2" t="s">
        <v>1222</v>
      </c>
      <c r="H393">
        <v>144677</v>
      </c>
      <c r="I393" s="2" t="s">
        <v>1223</v>
      </c>
      <c r="J393" s="2" t="s">
        <v>1224</v>
      </c>
      <c r="K393" s="1">
        <v>43422</v>
      </c>
      <c r="L393">
        <v>2018</v>
      </c>
      <c r="M393" s="2" t="s">
        <v>2091</v>
      </c>
    </row>
    <row r="394" spans="1:13" x14ac:dyDescent="0.25">
      <c r="A394" s="2" t="s">
        <v>557</v>
      </c>
      <c r="B394" s="2" t="s">
        <v>2092</v>
      </c>
      <c r="C394" s="2" t="s">
        <v>1227</v>
      </c>
      <c r="D394">
        <v>58</v>
      </c>
      <c r="E394" s="2" t="s">
        <v>1228</v>
      </c>
      <c r="F394" s="2" t="s">
        <v>1249</v>
      </c>
      <c r="G394" s="2" t="s">
        <v>1235</v>
      </c>
      <c r="H394">
        <v>196422</v>
      </c>
      <c r="I394" s="2" t="s">
        <v>1223</v>
      </c>
      <c r="J394" s="2" t="s">
        <v>1236</v>
      </c>
      <c r="K394" s="1">
        <v>44545</v>
      </c>
      <c r="L394">
        <v>2021</v>
      </c>
      <c r="M394" s="2" t="s">
        <v>2093</v>
      </c>
    </row>
    <row r="395" spans="1:13" x14ac:dyDescent="0.25">
      <c r="A395" s="2" t="s">
        <v>253</v>
      </c>
      <c r="B395" s="2" t="s">
        <v>2094</v>
      </c>
      <c r="C395" s="2" t="s">
        <v>1227</v>
      </c>
      <c r="D395">
        <v>66</v>
      </c>
      <c r="E395" s="2" t="s">
        <v>1263</v>
      </c>
      <c r="F395" s="2" t="s">
        <v>1221</v>
      </c>
      <c r="G395" s="2" t="s">
        <v>1253</v>
      </c>
      <c r="H395">
        <v>163273</v>
      </c>
      <c r="I395" s="2" t="s">
        <v>1223</v>
      </c>
      <c r="J395" s="2" t="s">
        <v>1231</v>
      </c>
      <c r="K395" s="1">
        <v>42384</v>
      </c>
      <c r="L395">
        <v>2016</v>
      </c>
      <c r="M395" s="2" t="s">
        <v>2095</v>
      </c>
    </row>
    <row r="396" spans="1:13" x14ac:dyDescent="0.25">
      <c r="A396" s="2" t="s">
        <v>616</v>
      </c>
      <c r="B396" s="2" t="s">
        <v>2096</v>
      </c>
      <c r="C396" s="2" t="s">
        <v>1219</v>
      </c>
      <c r="D396">
        <v>31</v>
      </c>
      <c r="E396" s="2" t="s">
        <v>1220</v>
      </c>
      <c r="F396" s="2" t="s">
        <v>1249</v>
      </c>
      <c r="G396" s="2" t="s">
        <v>1239</v>
      </c>
      <c r="H396">
        <v>49426</v>
      </c>
      <c r="I396" s="2" t="s">
        <v>1250</v>
      </c>
      <c r="J396" s="2" t="s">
        <v>1224</v>
      </c>
      <c r="K396" s="1">
        <v>45372</v>
      </c>
      <c r="L396">
        <v>2024</v>
      </c>
      <c r="M396" s="2" t="s">
        <v>2097</v>
      </c>
    </row>
    <row r="397" spans="1:13" x14ac:dyDescent="0.25">
      <c r="A397" s="2" t="s">
        <v>353</v>
      </c>
      <c r="B397" s="2" t="s">
        <v>2098</v>
      </c>
      <c r="C397" s="2" t="s">
        <v>1227</v>
      </c>
      <c r="D397">
        <v>32</v>
      </c>
      <c r="E397" s="2" t="s">
        <v>1220</v>
      </c>
      <c r="F397" s="2" t="s">
        <v>1243</v>
      </c>
      <c r="G397" s="2" t="s">
        <v>1235</v>
      </c>
      <c r="H397">
        <v>37778</v>
      </c>
      <c r="I397" s="2" t="s">
        <v>1250</v>
      </c>
      <c r="J397" s="2" t="s">
        <v>1231</v>
      </c>
      <c r="K397" s="1">
        <v>44714</v>
      </c>
      <c r="L397">
        <v>2022</v>
      </c>
      <c r="M397" s="2" t="s">
        <v>1922</v>
      </c>
    </row>
    <row r="398" spans="1:13" x14ac:dyDescent="0.25">
      <c r="A398" s="2" t="s">
        <v>1119</v>
      </c>
      <c r="B398" s="2" t="s">
        <v>2099</v>
      </c>
      <c r="C398" s="2" t="s">
        <v>1227</v>
      </c>
      <c r="D398">
        <v>48</v>
      </c>
      <c r="E398" s="2" t="s">
        <v>1228</v>
      </c>
      <c r="F398" s="2" t="s">
        <v>1243</v>
      </c>
      <c r="G398" s="2" t="s">
        <v>1259</v>
      </c>
      <c r="H398">
        <v>196313</v>
      </c>
      <c r="I398" s="2" t="s">
        <v>1223</v>
      </c>
      <c r="J398" s="2" t="s">
        <v>1231</v>
      </c>
      <c r="K398" s="1">
        <v>44176</v>
      </c>
      <c r="L398">
        <v>2020</v>
      </c>
      <c r="M398" s="2" t="s">
        <v>2100</v>
      </c>
    </row>
    <row r="399" spans="1:13" x14ac:dyDescent="0.25">
      <c r="A399" s="2" t="s">
        <v>887</v>
      </c>
      <c r="B399" s="2" t="s">
        <v>2101</v>
      </c>
      <c r="C399" s="2" t="s">
        <v>1227</v>
      </c>
      <c r="D399">
        <v>18</v>
      </c>
      <c r="E399" s="2" t="s">
        <v>1242</v>
      </c>
      <c r="F399" s="2" t="s">
        <v>1229</v>
      </c>
      <c r="G399" s="2" t="s">
        <v>1235</v>
      </c>
      <c r="H399">
        <v>62229</v>
      </c>
      <c r="I399" s="2" t="s">
        <v>1250</v>
      </c>
      <c r="J399" s="2" t="s">
        <v>1231</v>
      </c>
      <c r="K399" s="1">
        <v>45160</v>
      </c>
      <c r="L399">
        <v>2023</v>
      </c>
      <c r="M399" s="2" t="s">
        <v>2102</v>
      </c>
    </row>
    <row r="400" spans="1:13" x14ac:dyDescent="0.25">
      <c r="A400" s="2" t="s">
        <v>100</v>
      </c>
      <c r="B400" s="2" t="s">
        <v>2103</v>
      </c>
      <c r="C400" s="2" t="s">
        <v>1227</v>
      </c>
      <c r="D400">
        <v>70</v>
      </c>
      <c r="E400" s="2" t="s">
        <v>1263</v>
      </c>
      <c r="F400" s="2" t="s">
        <v>1243</v>
      </c>
      <c r="G400" s="2" t="s">
        <v>1259</v>
      </c>
      <c r="H400">
        <v>106652</v>
      </c>
      <c r="I400" s="2" t="s">
        <v>1245</v>
      </c>
      <c r="J400" s="2" t="s">
        <v>1224</v>
      </c>
      <c r="K400" s="1">
        <v>45702</v>
      </c>
      <c r="L400">
        <v>2025</v>
      </c>
      <c r="M400" s="2" t="s">
        <v>2104</v>
      </c>
    </row>
    <row r="401" spans="1:13" x14ac:dyDescent="0.25">
      <c r="A401" s="2" t="s">
        <v>116</v>
      </c>
      <c r="B401" s="2" t="s">
        <v>2105</v>
      </c>
      <c r="C401" s="2" t="s">
        <v>1219</v>
      </c>
      <c r="D401">
        <v>71</v>
      </c>
      <c r="E401" s="2" t="s">
        <v>1263</v>
      </c>
      <c r="F401" s="2" t="s">
        <v>1249</v>
      </c>
      <c r="G401" s="2" t="s">
        <v>1253</v>
      </c>
      <c r="H401">
        <v>148267</v>
      </c>
      <c r="I401" s="2" t="s">
        <v>1223</v>
      </c>
      <c r="J401" s="2" t="s">
        <v>1224</v>
      </c>
      <c r="K401" s="1">
        <v>42789</v>
      </c>
      <c r="L401">
        <v>2017</v>
      </c>
      <c r="M401" s="2" t="s">
        <v>2106</v>
      </c>
    </row>
    <row r="402" spans="1:13" x14ac:dyDescent="0.25">
      <c r="A402" s="2" t="s">
        <v>86</v>
      </c>
      <c r="B402" s="2" t="s">
        <v>2107</v>
      </c>
      <c r="C402" s="2" t="s">
        <v>1227</v>
      </c>
      <c r="D402">
        <v>71</v>
      </c>
      <c r="E402" s="2" t="s">
        <v>1263</v>
      </c>
      <c r="F402" s="2" t="s">
        <v>1243</v>
      </c>
      <c r="G402" s="2" t="s">
        <v>1259</v>
      </c>
      <c r="H402">
        <v>199436</v>
      </c>
      <c r="I402" s="2" t="s">
        <v>1223</v>
      </c>
      <c r="J402" s="2" t="s">
        <v>1236</v>
      </c>
      <c r="K402" s="1">
        <v>44100</v>
      </c>
      <c r="L402">
        <v>2020</v>
      </c>
      <c r="M402" s="2" t="s">
        <v>2108</v>
      </c>
    </row>
    <row r="403" spans="1:13" x14ac:dyDescent="0.25">
      <c r="A403" s="2" t="s">
        <v>2109</v>
      </c>
      <c r="B403" s="2" t="s">
        <v>2110</v>
      </c>
      <c r="C403" s="2" t="s">
        <v>1227</v>
      </c>
      <c r="D403">
        <v>20</v>
      </c>
      <c r="E403" s="2" t="s">
        <v>1242</v>
      </c>
      <c r="F403" s="2" t="s">
        <v>1229</v>
      </c>
      <c r="G403" s="2" t="s">
        <v>1235</v>
      </c>
      <c r="H403">
        <v>146503</v>
      </c>
      <c r="I403" s="2" t="s">
        <v>1223</v>
      </c>
      <c r="J403" s="2" t="s">
        <v>1224</v>
      </c>
      <c r="K403" s="1">
        <v>44310</v>
      </c>
      <c r="L403">
        <v>2021</v>
      </c>
      <c r="M403" s="2" t="s">
        <v>2111</v>
      </c>
    </row>
    <row r="404" spans="1:13" x14ac:dyDescent="0.25">
      <c r="A404" s="2" t="s">
        <v>150</v>
      </c>
      <c r="B404" s="2" t="s">
        <v>2112</v>
      </c>
      <c r="C404" s="2" t="s">
        <v>1219</v>
      </c>
      <c r="D404">
        <v>33</v>
      </c>
      <c r="E404" s="2" t="s">
        <v>1220</v>
      </c>
      <c r="F404" s="2" t="s">
        <v>1221</v>
      </c>
      <c r="G404" s="2" t="s">
        <v>1239</v>
      </c>
      <c r="H404">
        <v>104878</v>
      </c>
      <c r="I404" s="2" t="s">
        <v>1245</v>
      </c>
      <c r="J404" s="2" t="s">
        <v>1224</v>
      </c>
      <c r="K404" s="1">
        <v>43523</v>
      </c>
      <c r="L404">
        <v>2019</v>
      </c>
      <c r="M404" s="2" t="s">
        <v>2113</v>
      </c>
    </row>
    <row r="405" spans="1:13" x14ac:dyDescent="0.25">
      <c r="A405" s="2" t="s">
        <v>657</v>
      </c>
      <c r="B405" s="2" t="s">
        <v>2114</v>
      </c>
      <c r="C405" s="2" t="s">
        <v>1219</v>
      </c>
      <c r="D405">
        <v>40</v>
      </c>
      <c r="E405" s="2" t="s">
        <v>1220</v>
      </c>
      <c r="F405" s="2" t="s">
        <v>1249</v>
      </c>
      <c r="G405" s="2" t="s">
        <v>1244</v>
      </c>
      <c r="H405">
        <v>77056</v>
      </c>
      <c r="I405" s="2" t="s">
        <v>1245</v>
      </c>
      <c r="J405" s="2" t="s">
        <v>1224</v>
      </c>
      <c r="K405" s="1">
        <v>44268</v>
      </c>
      <c r="L405">
        <v>2021</v>
      </c>
      <c r="M405" s="2" t="s">
        <v>2115</v>
      </c>
    </row>
    <row r="406" spans="1:13" x14ac:dyDescent="0.25">
      <c r="A406" s="2" t="s">
        <v>174</v>
      </c>
      <c r="B406" s="2" t="s">
        <v>2116</v>
      </c>
      <c r="C406" s="2" t="s">
        <v>1227</v>
      </c>
      <c r="D406">
        <v>74</v>
      </c>
      <c r="E406" s="2" t="s">
        <v>1263</v>
      </c>
      <c r="F406" s="2" t="s">
        <v>1221</v>
      </c>
      <c r="G406" s="2" t="s">
        <v>1235</v>
      </c>
      <c r="H406">
        <v>178562</v>
      </c>
      <c r="I406" s="2" t="s">
        <v>1223</v>
      </c>
      <c r="J406" s="2" t="s">
        <v>1224</v>
      </c>
      <c r="K406" s="1">
        <v>45246</v>
      </c>
      <c r="L406">
        <v>2023</v>
      </c>
      <c r="M406" s="2" t="s">
        <v>2117</v>
      </c>
    </row>
    <row r="407" spans="1:13" x14ac:dyDescent="0.25">
      <c r="A407" s="2" t="s">
        <v>20</v>
      </c>
      <c r="B407" s="2" t="s">
        <v>2118</v>
      </c>
      <c r="C407" s="2" t="s">
        <v>1227</v>
      </c>
      <c r="D407">
        <v>28</v>
      </c>
      <c r="E407" s="2" t="s">
        <v>1242</v>
      </c>
      <c r="F407" s="2" t="s">
        <v>1229</v>
      </c>
      <c r="G407" s="2" t="s">
        <v>1259</v>
      </c>
      <c r="H407">
        <v>39975</v>
      </c>
      <c r="I407" s="2" t="s">
        <v>1250</v>
      </c>
      <c r="J407" s="2" t="s">
        <v>1231</v>
      </c>
      <c r="K407" s="1">
        <v>44902</v>
      </c>
      <c r="L407">
        <v>2022</v>
      </c>
      <c r="M407" s="2" t="s">
        <v>2119</v>
      </c>
    </row>
    <row r="408" spans="1:13" x14ac:dyDescent="0.25">
      <c r="A408" s="2" t="s">
        <v>826</v>
      </c>
      <c r="B408" s="2" t="s">
        <v>2120</v>
      </c>
      <c r="C408" s="2" t="s">
        <v>1227</v>
      </c>
      <c r="D408">
        <v>29</v>
      </c>
      <c r="E408" s="2" t="s">
        <v>1220</v>
      </c>
      <c r="F408" s="2" t="s">
        <v>1229</v>
      </c>
      <c r="G408" s="2" t="s">
        <v>1244</v>
      </c>
      <c r="H408">
        <v>177795</v>
      </c>
      <c r="I408" s="2" t="s">
        <v>1223</v>
      </c>
      <c r="J408" s="2" t="s">
        <v>1236</v>
      </c>
      <c r="K408" s="1">
        <v>43097</v>
      </c>
      <c r="L408">
        <v>2017</v>
      </c>
      <c r="M408" s="2" t="s">
        <v>2121</v>
      </c>
    </row>
    <row r="409" spans="1:13" x14ac:dyDescent="0.25">
      <c r="A409" s="2" t="s">
        <v>232</v>
      </c>
      <c r="B409" s="2" t="s">
        <v>2122</v>
      </c>
      <c r="C409" s="2" t="s">
        <v>1227</v>
      </c>
      <c r="D409">
        <v>27</v>
      </c>
      <c r="E409" s="2" t="s">
        <v>1242</v>
      </c>
      <c r="F409" s="2" t="s">
        <v>1229</v>
      </c>
      <c r="G409" s="2" t="s">
        <v>1259</v>
      </c>
      <c r="H409">
        <v>174351</v>
      </c>
      <c r="I409" s="2" t="s">
        <v>1223</v>
      </c>
      <c r="J409" s="2" t="s">
        <v>1224</v>
      </c>
      <c r="K409" s="1">
        <v>42571</v>
      </c>
      <c r="L409">
        <v>2016</v>
      </c>
      <c r="M409" s="2" t="s">
        <v>2123</v>
      </c>
    </row>
    <row r="410" spans="1:13" x14ac:dyDescent="0.25">
      <c r="A410" s="2" t="s">
        <v>502</v>
      </c>
      <c r="B410" s="2" t="s">
        <v>2124</v>
      </c>
      <c r="C410" s="2" t="s">
        <v>1227</v>
      </c>
      <c r="D410">
        <v>49</v>
      </c>
      <c r="E410" s="2" t="s">
        <v>1228</v>
      </c>
      <c r="F410" s="2" t="s">
        <v>1221</v>
      </c>
      <c r="G410" s="2" t="s">
        <v>1239</v>
      </c>
      <c r="H410">
        <v>162633</v>
      </c>
      <c r="I410" s="2" t="s">
        <v>1223</v>
      </c>
      <c r="J410" s="2" t="s">
        <v>1224</v>
      </c>
      <c r="K410" s="1">
        <v>43721</v>
      </c>
      <c r="L410">
        <v>2019</v>
      </c>
      <c r="M410" s="2" t="s">
        <v>2125</v>
      </c>
    </row>
    <row r="411" spans="1:13" x14ac:dyDescent="0.25">
      <c r="A411" s="2" t="s">
        <v>158</v>
      </c>
      <c r="B411" s="2" t="s">
        <v>2126</v>
      </c>
      <c r="C411" s="2" t="s">
        <v>1227</v>
      </c>
      <c r="D411">
        <v>33</v>
      </c>
      <c r="E411" s="2" t="s">
        <v>1220</v>
      </c>
      <c r="F411" s="2" t="s">
        <v>1221</v>
      </c>
      <c r="G411" s="2" t="s">
        <v>1259</v>
      </c>
      <c r="H411">
        <v>108397</v>
      </c>
      <c r="I411" s="2" t="s">
        <v>1245</v>
      </c>
      <c r="J411" s="2" t="s">
        <v>1224</v>
      </c>
      <c r="K411" s="1">
        <v>42587</v>
      </c>
      <c r="L411">
        <v>2016</v>
      </c>
      <c r="M411" s="2" t="s">
        <v>2127</v>
      </c>
    </row>
    <row r="412" spans="1:13" x14ac:dyDescent="0.25">
      <c r="A412" s="2" t="s">
        <v>483</v>
      </c>
      <c r="B412" s="2" t="s">
        <v>2128</v>
      </c>
      <c r="C412" s="2" t="s">
        <v>1219</v>
      </c>
      <c r="D412">
        <v>25</v>
      </c>
      <c r="E412" s="2" t="s">
        <v>1242</v>
      </c>
      <c r="F412" s="2" t="s">
        <v>1221</v>
      </c>
      <c r="G412" s="2" t="s">
        <v>1253</v>
      </c>
      <c r="H412">
        <v>53142</v>
      </c>
      <c r="I412" s="2" t="s">
        <v>1250</v>
      </c>
      <c r="J412" s="2" t="s">
        <v>1231</v>
      </c>
      <c r="K412" s="1">
        <v>43411</v>
      </c>
      <c r="L412">
        <v>2018</v>
      </c>
      <c r="M412" s="2" t="s">
        <v>2129</v>
      </c>
    </row>
    <row r="413" spans="1:13" x14ac:dyDescent="0.25">
      <c r="A413" s="2" t="s">
        <v>636</v>
      </c>
      <c r="B413" s="2" t="s">
        <v>2130</v>
      </c>
      <c r="C413" s="2" t="s">
        <v>1227</v>
      </c>
      <c r="D413">
        <v>55</v>
      </c>
      <c r="E413" s="2" t="s">
        <v>1228</v>
      </c>
      <c r="F413" s="2" t="s">
        <v>1221</v>
      </c>
      <c r="G413" s="2" t="s">
        <v>1222</v>
      </c>
      <c r="H413">
        <v>46916</v>
      </c>
      <c r="I413" s="2" t="s">
        <v>1250</v>
      </c>
      <c r="J413" s="2" t="s">
        <v>1231</v>
      </c>
      <c r="K413" s="1">
        <v>45608</v>
      </c>
      <c r="L413">
        <v>2024</v>
      </c>
      <c r="M413" s="2" t="s">
        <v>2131</v>
      </c>
    </row>
    <row r="414" spans="1:13" x14ac:dyDescent="0.25">
      <c r="A414" s="2" t="s">
        <v>2132</v>
      </c>
      <c r="B414" s="2" t="s">
        <v>2133</v>
      </c>
      <c r="C414" s="2" t="s">
        <v>1227</v>
      </c>
      <c r="D414">
        <v>29</v>
      </c>
      <c r="E414" s="2" t="s">
        <v>1220</v>
      </c>
      <c r="F414" s="2" t="s">
        <v>1229</v>
      </c>
      <c r="G414" s="2" t="s">
        <v>1235</v>
      </c>
      <c r="H414">
        <v>84324</v>
      </c>
      <c r="I414" s="2" t="s">
        <v>1245</v>
      </c>
      <c r="J414" s="2" t="s">
        <v>1224</v>
      </c>
      <c r="K414" s="1">
        <v>44965</v>
      </c>
      <c r="L414">
        <v>2023</v>
      </c>
      <c r="M414" s="2" t="s">
        <v>2134</v>
      </c>
    </row>
    <row r="415" spans="1:13" x14ac:dyDescent="0.25">
      <c r="A415" s="2" t="s">
        <v>230</v>
      </c>
      <c r="B415" s="2" t="s">
        <v>2135</v>
      </c>
      <c r="C415" s="2" t="s">
        <v>1219</v>
      </c>
      <c r="D415">
        <v>41</v>
      </c>
      <c r="E415" s="2" t="s">
        <v>1220</v>
      </c>
      <c r="F415" s="2" t="s">
        <v>1229</v>
      </c>
      <c r="G415" s="2" t="s">
        <v>1222</v>
      </c>
      <c r="H415">
        <v>196037</v>
      </c>
      <c r="I415" s="2" t="s">
        <v>1223</v>
      </c>
      <c r="J415" s="2" t="s">
        <v>1231</v>
      </c>
      <c r="K415" s="1">
        <v>42457</v>
      </c>
      <c r="L415">
        <v>2016</v>
      </c>
      <c r="M415" s="2" t="s">
        <v>1402</v>
      </c>
    </row>
    <row r="416" spans="1:13" x14ac:dyDescent="0.25">
      <c r="A416" s="2" t="s">
        <v>38</v>
      </c>
      <c r="B416" s="2" t="s">
        <v>2136</v>
      </c>
      <c r="C416" s="2" t="s">
        <v>1219</v>
      </c>
      <c r="D416">
        <v>45</v>
      </c>
      <c r="E416" s="2" t="s">
        <v>1228</v>
      </c>
      <c r="F416" s="2" t="s">
        <v>1249</v>
      </c>
      <c r="G416" s="2" t="s">
        <v>1259</v>
      </c>
      <c r="H416">
        <v>145932</v>
      </c>
      <c r="I416" s="2" t="s">
        <v>1223</v>
      </c>
      <c r="J416" s="2" t="s">
        <v>1231</v>
      </c>
      <c r="K416" s="1">
        <v>45884</v>
      </c>
      <c r="L416">
        <v>2025</v>
      </c>
      <c r="M416" s="2" t="s">
        <v>2137</v>
      </c>
    </row>
    <row r="417" spans="1:13" x14ac:dyDescent="0.25">
      <c r="A417" s="2" t="s">
        <v>595</v>
      </c>
      <c r="B417" s="2" t="s">
        <v>2138</v>
      </c>
      <c r="C417" s="2" t="s">
        <v>1219</v>
      </c>
      <c r="D417">
        <v>70</v>
      </c>
      <c r="E417" s="2" t="s">
        <v>1263</v>
      </c>
      <c r="F417" s="2" t="s">
        <v>1249</v>
      </c>
      <c r="G417" s="2" t="s">
        <v>1239</v>
      </c>
      <c r="H417">
        <v>155720</v>
      </c>
      <c r="I417" s="2" t="s">
        <v>1223</v>
      </c>
      <c r="J417" s="2" t="s">
        <v>1231</v>
      </c>
      <c r="K417" s="1">
        <v>43022</v>
      </c>
      <c r="L417">
        <v>2017</v>
      </c>
      <c r="M417" s="2" t="s">
        <v>2139</v>
      </c>
    </row>
    <row r="418" spans="1:13" x14ac:dyDescent="0.25">
      <c r="A418" s="2" t="s">
        <v>291</v>
      </c>
      <c r="B418" s="2" t="s">
        <v>2140</v>
      </c>
      <c r="C418" s="2" t="s">
        <v>1219</v>
      </c>
      <c r="D418">
        <v>25</v>
      </c>
      <c r="E418" s="2" t="s">
        <v>1242</v>
      </c>
      <c r="F418" s="2" t="s">
        <v>1221</v>
      </c>
      <c r="G418" s="2" t="s">
        <v>1235</v>
      </c>
      <c r="H418">
        <v>186205</v>
      </c>
      <c r="I418" s="2" t="s">
        <v>1223</v>
      </c>
      <c r="J418" s="2" t="s">
        <v>1236</v>
      </c>
      <c r="K418" s="1">
        <v>45595</v>
      </c>
      <c r="L418">
        <v>2024</v>
      </c>
      <c r="M418" s="2" t="s">
        <v>2141</v>
      </c>
    </row>
    <row r="419" spans="1:13" x14ac:dyDescent="0.25">
      <c r="A419" s="2" t="s">
        <v>659</v>
      </c>
      <c r="B419" s="2" t="s">
        <v>2142</v>
      </c>
      <c r="C419" s="2" t="s">
        <v>1227</v>
      </c>
      <c r="D419">
        <v>45</v>
      </c>
      <c r="E419" s="2" t="s">
        <v>1228</v>
      </c>
      <c r="F419" s="2" t="s">
        <v>1243</v>
      </c>
      <c r="G419" s="2" t="s">
        <v>1259</v>
      </c>
      <c r="H419">
        <v>116059</v>
      </c>
      <c r="I419" s="2" t="s">
        <v>1245</v>
      </c>
      <c r="J419" s="2" t="s">
        <v>1224</v>
      </c>
      <c r="K419" s="1">
        <v>43432</v>
      </c>
      <c r="L419">
        <v>2018</v>
      </c>
      <c r="M419" s="2" t="s">
        <v>2143</v>
      </c>
    </row>
    <row r="420" spans="1:13" x14ac:dyDescent="0.25">
      <c r="A420" s="2" t="s">
        <v>194</v>
      </c>
      <c r="B420" s="2" t="s">
        <v>2144</v>
      </c>
      <c r="C420" s="2" t="s">
        <v>1227</v>
      </c>
      <c r="D420">
        <v>53</v>
      </c>
      <c r="E420" s="2" t="s">
        <v>1228</v>
      </c>
      <c r="F420" s="2" t="s">
        <v>1243</v>
      </c>
      <c r="G420" s="2" t="s">
        <v>1244</v>
      </c>
      <c r="H420">
        <v>118317</v>
      </c>
      <c r="I420" s="2" t="s">
        <v>1245</v>
      </c>
      <c r="J420" s="2" t="s">
        <v>1231</v>
      </c>
      <c r="K420" s="1">
        <v>42802</v>
      </c>
      <c r="L420">
        <v>2017</v>
      </c>
      <c r="M420" s="2" t="s">
        <v>2145</v>
      </c>
    </row>
    <row r="421" spans="1:13" x14ac:dyDescent="0.25">
      <c r="A421" s="2" t="s">
        <v>1172</v>
      </c>
      <c r="B421" s="2" t="s">
        <v>2146</v>
      </c>
      <c r="C421" s="2" t="s">
        <v>1227</v>
      </c>
      <c r="D421">
        <v>43</v>
      </c>
      <c r="E421" s="2" t="s">
        <v>1220</v>
      </c>
      <c r="F421" s="2" t="s">
        <v>1229</v>
      </c>
      <c r="G421" s="2" t="s">
        <v>1230</v>
      </c>
      <c r="H421">
        <v>55046</v>
      </c>
      <c r="I421" s="2" t="s">
        <v>1250</v>
      </c>
      <c r="J421" s="2" t="s">
        <v>1224</v>
      </c>
      <c r="K421" s="1">
        <v>44313</v>
      </c>
      <c r="L421">
        <v>2021</v>
      </c>
      <c r="M421" s="2" t="s">
        <v>2147</v>
      </c>
    </row>
    <row r="422" spans="1:13" x14ac:dyDescent="0.25">
      <c r="A422" s="2" t="s">
        <v>168</v>
      </c>
      <c r="B422" s="2" t="s">
        <v>2148</v>
      </c>
      <c r="C422" s="2" t="s">
        <v>1227</v>
      </c>
      <c r="D422">
        <v>25</v>
      </c>
      <c r="E422" s="2" t="s">
        <v>1242</v>
      </c>
      <c r="F422" s="2" t="s">
        <v>1229</v>
      </c>
      <c r="G422" s="2" t="s">
        <v>1259</v>
      </c>
      <c r="H422">
        <v>198136</v>
      </c>
      <c r="I422" s="2" t="s">
        <v>1223</v>
      </c>
      <c r="J422" s="2" t="s">
        <v>1231</v>
      </c>
      <c r="K422" s="1">
        <v>42565</v>
      </c>
      <c r="L422">
        <v>2016</v>
      </c>
      <c r="M422" s="2" t="s">
        <v>1316</v>
      </c>
    </row>
    <row r="423" spans="1:13" x14ac:dyDescent="0.25">
      <c r="A423" s="2" t="s">
        <v>890</v>
      </c>
      <c r="B423" s="2" t="s">
        <v>2149</v>
      </c>
      <c r="C423" s="2" t="s">
        <v>1227</v>
      </c>
      <c r="D423">
        <v>67</v>
      </c>
      <c r="E423" s="2" t="s">
        <v>1263</v>
      </c>
      <c r="F423" s="2" t="s">
        <v>1229</v>
      </c>
      <c r="G423" s="2" t="s">
        <v>1222</v>
      </c>
      <c r="H423">
        <v>121459</v>
      </c>
      <c r="I423" s="2" t="s">
        <v>1245</v>
      </c>
      <c r="J423" s="2" t="s">
        <v>1231</v>
      </c>
      <c r="K423" s="1">
        <v>44523</v>
      </c>
      <c r="L423">
        <v>2021</v>
      </c>
      <c r="M423" s="2" t="s">
        <v>2150</v>
      </c>
    </row>
    <row r="424" spans="1:13" x14ac:dyDescent="0.25">
      <c r="A424" s="2" t="s">
        <v>388</v>
      </c>
      <c r="B424" s="2" t="s">
        <v>2151</v>
      </c>
      <c r="C424" s="2" t="s">
        <v>1227</v>
      </c>
      <c r="D424">
        <v>45</v>
      </c>
      <c r="E424" s="2" t="s">
        <v>1228</v>
      </c>
      <c r="F424" s="2" t="s">
        <v>1249</v>
      </c>
      <c r="G424" s="2" t="s">
        <v>1235</v>
      </c>
      <c r="H424">
        <v>65893</v>
      </c>
      <c r="I424" s="2" t="s">
        <v>1250</v>
      </c>
      <c r="J424" s="2" t="s">
        <v>1231</v>
      </c>
      <c r="K424" s="1">
        <v>44513</v>
      </c>
      <c r="L424">
        <v>2021</v>
      </c>
      <c r="M424" s="2" t="s">
        <v>1320</v>
      </c>
    </row>
    <row r="425" spans="1:13" x14ac:dyDescent="0.25">
      <c r="A425" s="2" t="s">
        <v>437</v>
      </c>
      <c r="B425" s="2" t="s">
        <v>2151</v>
      </c>
      <c r="C425" s="2" t="s">
        <v>1219</v>
      </c>
      <c r="D425">
        <v>45</v>
      </c>
      <c r="E425" s="2" t="s">
        <v>1228</v>
      </c>
      <c r="F425" s="2" t="s">
        <v>1249</v>
      </c>
      <c r="G425" s="2" t="s">
        <v>1222</v>
      </c>
      <c r="H425">
        <v>121520</v>
      </c>
      <c r="I425" s="2" t="s">
        <v>1245</v>
      </c>
      <c r="J425" s="2" t="s">
        <v>1231</v>
      </c>
      <c r="K425" s="1">
        <v>44111</v>
      </c>
      <c r="L425">
        <v>2020</v>
      </c>
      <c r="M425" s="2" t="s">
        <v>2152</v>
      </c>
    </row>
    <row r="426" spans="1:13" x14ac:dyDescent="0.25">
      <c r="A426" s="2" t="s">
        <v>357</v>
      </c>
      <c r="B426" s="2" t="s">
        <v>2153</v>
      </c>
      <c r="C426" s="2" t="s">
        <v>1227</v>
      </c>
      <c r="D426">
        <v>54</v>
      </c>
      <c r="E426" s="2" t="s">
        <v>1228</v>
      </c>
      <c r="F426" s="2" t="s">
        <v>1229</v>
      </c>
      <c r="G426" s="2" t="s">
        <v>1235</v>
      </c>
      <c r="H426">
        <v>145818</v>
      </c>
      <c r="I426" s="2" t="s">
        <v>1223</v>
      </c>
      <c r="J426" s="2" t="s">
        <v>1224</v>
      </c>
      <c r="K426" s="1">
        <v>42917</v>
      </c>
      <c r="L426">
        <v>2017</v>
      </c>
      <c r="M426" s="2" t="s">
        <v>1409</v>
      </c>
    </row>
    <row r="427" spans="1:13" x14ac:dyDescent="0.25">
      <c r="A427" s="2" t="s">
        <v>152</v>
      </c>
      <c r="B427" s="2" t="s">
        <v>2154</v>
      </c>
      <c r="C427" s="2" t="s">
        <v>1219</v>
      </c>
      <c r="D427">
        <v>58</v>
      </c>
      <c r="E427" s="2" t="s">
        <v>1228</v>
      </c>
      <c r="F427" s="2" t="s">
        <v>1229</v>
      </c>
      <c r="G427" s="2" t="s">
        <v>1259</v>
      </c>
      <c r="H427">
        <v>81272</v>
      </c>
      <c r="I427" s="2" t="s">
        <v>1245</v>
      </c>
      <c r="J427" s="2" t="s">
        <v>1224</v>
      </c>
      <c r="K427" s="1">
        <v>42747</v>
      </c>
      <c r="L427">
        <v>2017</v>
      </c>
      <c r="M427" s="2" t="s">
        <v>2155</v>
      </c>
    </row>
    <row r="428" spans="1:13" x14ac:dyDescent="0.25">
      <c r="A428" s="2" t="s">
        <v>530</v>
      </c>
      <c r="B428" s="2" t="s">
        <v>2156</v>
      </c>
      <c r="C428" s="2" t="s">
        <v>1219</v>
      </c>
      <c r="D428">
        <v>53</v>
      </c>
      <c r="E428" s="2" t="s">
        <v>1228</v>
      </c>
      <c r="F428" s="2" t="s">
        <v>1229</v>
      </c>
      <c r="G428" s="2" t="s">
        <v>1253</v>
      </c>
      <c r="H428">
        <v>87649</v>
      </c>
      <c r="I428" s="2" t="s">
        <v>1245</v>
      </c>
      <c r="J428" s="2" t="s">
        <v>1236</v>
      </c>
      <c r="K428" s="1">
        <v>45052</v>
      </c>
      <c r="L428">
        <v>2023</v>
      </c>
      <c r="M428" s="2" t="s">
        <v>2157</v>
      </c>
    </row>
    <row r="429" spans="1:13" x14ac:dyDescent="0.25">
      <c r="A429" s="2" t="s">
        <v>683</v>
      </c>
      <c r="B429" s="2" t="s">
        <v>2158</v>
      </c>
      <c r="C429" s="2" t="s">
        <v>1227</v>
      </c>
      <c r="D429">
        <v>44</v>
      </c>
      <c r="E429" s="2" t="s">
        <v>1220</v>
      </c>
      <c r="F429" s="2" t="s">
        <v>1243</v>
      </c>
      <c r="G429" s="2" t="s">
        <v>1244</v>
      </c>
      <c r="H429">
        <v>84674</v>
      </c>
      <c r="I429" s="2" t="s">
        <v>1245</v>
      </c>
      <c r="J429" s="2" t="s">
        <v>1236</v>
      </c>
      <c r="K429" s="1">
        <v>43617</v>
      </c>
      <c r="L429">
        <v>2019</v>
      </c>
      <c r="M429" s="2" t="s">
        <v>2159</v>
      </c>
    </row>
    <row r="430" spans="1:13" x14ac:dyDescent="0.25">
      <c r="A430" s="2" t="s">
        <v>1020</v>
      </c>
      <c r="B430" s="2" t="s">
        <v>2160</v>
      </c>
      <c r="C430" s="2" t="s">
        <v>1219</v>
      </c>
      <c r="D430">
        <v>71</v>
      </c>
      <c r="E430" s="2" t="s">
        <v>1263</v>
      </c>
      <c r="F430" s="2" t="s">
        <v>1249</v>
      </c>
      <c r="G430" s="2" t="s">
        <v>1259</v>
      </c>
      <c r="H430">
        <v>164832</v>
      </c>
      <c r="I430" s="2" t="s">
        <v>1223</v>
      </c>
      <c r="J430" s="2" t="s">
        <v>1224</v>
      </c>
      <c r="K430" s="1">
        <v>42971</v>
      </c>
      <c r="L430">
        <v>2017</v>
      </c>
      <c r="M430" s="2" t="s">
        <v>1680</v>
      </c>
    </row>
    <row r="431" spans="1:13" x14ac:dyDescent="0.25">
      <c r="A431" s="2" t="s">
        <v>2161</v>
      </c>
      <c r="B431" s="2" t="s">
        <v>2162</v>
      </c>
      <c r="C431" s="2" t="s">
        <v>1227</v>
      </c>
      <c r="D431">
        <v>34</v>
      </c>
      <c r="E431" s="2" t="s">
        <v>1220</v>
      </c>
      <c r="F431" s="2" t="s">
        <v>1243</v>
      </c>
      <c r="G431" s="2" t="s">
        <v>1222</v>
      </c>
      <c r="H431">
        <v>172999</v>
      </c>
      <c r="I431" s="2" t="s">
        <v>1223</v>
      </c>
      <c r="J431" s="2" t="s">
        <v>1224</v>
      </c>
      <c r="K431" s="1">
        <v>42894</v>
      </c>
      <c r="L431">
        <v>2017</v>
      </c>
      <c r="M431" s="2" t="s">
        <v>2163</v>
      </c>
    </row>
    <row r="432" spans="1:13" x14ac:dyDescent="0.25">
      <c r="A432" s="2" t="s">
        <v>690</v>
      </c>
      <c r="B432" s="2" t="s">
        <v>2164</v>
      </c>
      <c r="C432" s="2" t="s">
        <v>1219</v>
      </c>
      <c r="D432">
        <v>26</v>
      </c>
      <c r="E432" s="2" t="s">
        <v>1242</v>
      </c>
      <c r="F432" s="2" t="s">
        <v>1243</v>
      </c>
      <c r="G432" s="2" t="s">
        <v>1230</v>
      </c>
      <c r="H432">
        <v>106475</v>
      </c>
      <c r="I432" s="2" t="s">
        <v>1245</v>
      </c>
      <c r="J432" s="2" t="s">
        <v>1224</v>
      </c>
      <c r="K432" s="1">
        <v>45133</v>
      </c>
      <c r="L432">
        <v>2023</v>
      </c>
      <c r="M432" s="2" t="s">
        <v>2165</v>
      </c>
    </row>
    <row r="433" spans="1:13" x14ac:dyDescent="0.25">
      <c r="A433" s="2" t="s">
        <v>47</v>
      </c>
      <c r="B433" s="2" t="s">
        <v>2166</v>
      </c>
      <c r="C433" s="2" t="s">
        <v>1227</v>
      </c>
      <c r="D433">
        <v>50</v>
      </c>
      <c r="E433" s="2" t="s">
        <v>1228</v>
      </c>
      <c r="F433" s="2" t="s">
        <v>1229</v>
      </c>
      <c r="G433" s="2" t="s">
        <v>1230</v>
      </c>
      <c r="H433">
        <v>81367</v>
      </c>
      <c r="I433" s="2" t="s">
        <v>1245</v>
      </c>
      <c r="J433" s="2" t="s">
        <v>1231</v>
      </c>
      <c r="K433" s="1">
        <v>42887</v>
      </c>
      <c r="L433">
        <v>2017</v>
      </c>
      <c r="M433" s="2" t="s">
        <v>2167</v>
      </c>
    </row>
    <row r="434" spans="1:13" x14ac:dyDescent="0.25">
      <c r="A434" s="2" t="s">
        <v>1092</v>
      </c>
      <c r="B434" s="2" t="s">
        <v>2168</v>
      </c>
      <c r="C434" s="2" t="s">
        <v>1219</v>
      </c>
      <c r="D434">
        <v>70</v>
      </c>
      <c r="E434" s="2" t="s">
        <v>1263</v>
      </c>
      <c r="F434" s="2" t="s">
        <v>1229</v>
      </c>
      <c r="G434" s="2" t="s">
        <v>1239</v>
      </c>
      <c r="H434">
        <v>163660</v>
      </c>
      <c r="I434" s="2" t="s">
        <v>1223</v>
      </c>
      <c r="J434" s="2" t="s">
        <v>1231</v>
      </c>
      <c r="K434" s="1">
        <v>43774</v>
      </c>
      <c r="L434">
        <v>2019</v>
      </c>
      <c r="M434" s="2" t="s">
        <v>2169</v>
      </c>
    </row>
    <row r="435" spans="1:13" x14ac:dyDescent="0.25">
      <c r="A435" s="2" t="s">
        <v>676</v>
      </c>
      <c r="B435" s="2" t="s">
        <v>2170</v>
      </c>
      <c r="C435" s="2" t="s">
        <v>1227</v>
      </c>
      <c r="D435">
        <v>37</v>
      </c>
      <c r="E435" s="2" t="s">
        <v>1220</v>
      </c>
      <c r="F435" s="2" t="s">
        <v>1221</v>
      </c>
      <c r="G435" s="2" t="s">
        <v>1235</v>
      </c>
      <c r="H435">
        <v>141750</v>
      </c>
      <c r="I435" s="2" t="s">
        <v>1223</v>
      </c>
      <c r="J435" s="2" t="s">
        <v>1224</v>
      </c>
      <c r="K435" s="1">
        <v>43599</v>
      </c>
      <c r="L435">
        <v>2019</v>
      </c>
      <c r="M435" s="2" t="s">
        <v>2171</v>
      </c>
    </row>
    <row r="436" spans="1:13" x14ac:dyDescent="0.25">
      <c r="A436" s="2" t="s">
        <v>425</v>
      </c>
      <c r="B436" s="2" t="s">
        <v>2172</v>
      </c>
      <c r="C436" s="2" t="s">
        <v>1227</v>
      </c>
      <c r="D436">
        <v>30</v>
      </c>
      <c r="E436" s="2" t="s">
        <v>1220</v>
      </c>
      <c r="F436" s="2" t="s">
        <v>1221</v>
      </c>
      <c r="G436" s="2" t="s">
        <v>1222</v>
      </c>
      <c r="H436">
        <v>138154</v>
      </c>
      <c r="I436" s="2" t="s">
        <v>1245</v>
      </c>
      <c r="J436" s="2" t="s">
        <v>1224</v>
      </c>
      <c r="K436" s="1">
        <v>44896</v>
      </c>
      <c r="L436">
        <v>2022</v>
      </c>
      <c r="M436" s="2" t="s">
        <v>2068</v>
      </c>
    </row>
    <row r="437" spans="1:13" x14ac:dyDescent="0.25">
      <c r="A437" s="2" t="s">
        <v>521</v>
      </c>
      <c r="B437" s="2" t="s">
        <v>2173</v>
      </c>
      <c r="C437" s="2" t="s">
        <v>1227</v>
      </c>
      <c r="D437">
        <v>45</v>
      </c>
      <c r="E437" s="2" t="s">
        <v>1228</v>
      </c>
      <c r="F437" s="2" t="s">
        <v>1243</v>
      </c>
      <c r="G437" s="2" t="s">
        <v>1239</v>
      </c>
      <c r="H437">
        <v>64738</v>
      </c>
      <c r="I437" s="2" t="s">
        <v>1250</v>
      </c>
      <c r="J437" s="2" t="s">
        <v>1231</v>
      </c>
      <c r="K437" s="1">
        <v>43760</v>
      </c>
      <c r="L437">
        <v>2019</v>
      </c>
      <c r="M437" s="2" t="s">
        <v>2174</v>
      </c>
    </row>
    <row r="438" spans="1:13" x14ac:dyDescent="0.25">
      <c r="A438" s="2" t="s">
        <v>796</v>
      </c>
      <c r="B438" s="2" t="s">
        <v>2175</v>
      </c>
      <c r="C438" s="2" t="s">
        <v>1227</v>
      </c>
      <c r="D438">
        <v>65</v>
      </c>
      <c r="E438" s="2" t="s">
        <v>1263</v>
      </c>
      <c r="F438" s="2" t="s">
        <v>1249</v>
      </c>
      <c r="G438" s="2" t="s">
        <v>1222</v>
      </c>
      <c r="H438">
        <v>53397</v>
      </c>
      <c r="I438" s="2" t="s">
        <v>1250</v>
      </c>
      <c r="J438" s="2" t="s">
        <v>1231</v>
      </c>
      <c r="K438" s="1">
        <v>45281</v>
      </c>
      <c r="L438">
        <v>2023</v>
      </c>
      <c r="M438" s="2" t="s">
        <v>2176</v>
      </c>
    </row>
    <row r="439" spans="1:13" x14ac:dyDescent="0.25">
      <c r="A439" s="2" t="s">
        <v>985</v>
      </c>
      <c r="B439" s="2" t="s">
        <v>2177</v>
      </c>
      <c r="C439" s="2" t="s">
        <v>1227</v>
      </c>
      <c r="D439">
        <v>46</v>
      </c>
      <c r="E439" s="2" t="s">
        <v>1228</v>
      </c>
      <c r="F439" s="2" t="s">
        <v>1229</v>
      </c>
      <c r="G439" s="2" t="s">
        <v>1235</v>
      </c>
      <c r="H439">
        <v>102189</v>
      </c>
      <c r="I439" s="2" t="s">
        <v>1245</v>
      </c>
      <c r="J439" s="2" t="s">
        <v>1224</v>
      </c>
      <c r="K439" s="1">
        <v>45037</v>
      </c>
      <c r="L439">
        <v>2023</v>
      </c>
      <c r="M439" s="2" t="s">
        <v>2178</v>
      </c>
    </row>
    <row r="440" spans="1:13" x14ac:dyDescent="0.25">
      <c r="A440" s="2" t="s">
        <v>246</v>
      </c>
      <c r="B440" s="2" t="s">
        <v>2179</v>
      </c>
      <c r="C440" s="2" t="s">
        <v>1219</v>
      </c>
      <c r="D440">
        <v>30</v>
      </c>
      <c r="E440" s="2" t="s">
        <v>1220</v>
      </c>
      <c r="F440" s="2" t="s">
        <v>1229</v>
      </c>
      <c r="G440" s="2" t="s">
        <v>1259</v>
      </c>
      <c r="H440">
        <v>96367</v>
      </c>
      <c r="I440" s="2" t="s">
        <v>1245</v>
      </c>
      <c r="J440" s="2" t="s">
        <v>1224</v>
      </c>
      <c r="K440" s="1">
        <v>45328</v>
      </c>
      <c r="L440">
        <v>2024</v>
      </c>
      <c r="M440" s="2" t="s">
        <v>2180</v>
      </c>
    </row>
    <row r="441" spans="1:13" x14ac:dyDescent="0.25">
      <c r="A441" s="2" t="s">
        <v>2181</v>
      </c>
      <c r="B441" s="2" t="s">
        <v>2182</v>
      </c>
      <c r="C441" s="2" t="s">
        <v>1219</v>
      </c>
      <c r="D441">
        <v>63</v>
      </c>
      <c r="E441" s="2" t="s">
        <v>1263</v>
      </c>
      <c r="F441" s="2" t="s">
        <v>1243</v>
      </c>
      <c r="G441" s="2" t="s">
        <v>1259</v>
      </c>
      <c r="H441">
        <v>140585</v>
      </c>
      <c r="I441" s="2" t="s">
        <v>1223</v>
      </c>
      <c r="J441" s="2" t="s">
        <v>1224</v>
      </c>
      <c r="K441" s="1">
        <v>43274</v>
      </c>
      <c r="L441">
        <v>2018</v>
      </c>
      <c r="M441" s="2" t="s">
        <v>2183</v>
      </c>
    </row>
    <row r="442" spans="1:13" x14ac:dyDescent="0.25">
      <c r="A442" s="2" t="s">
        <v>283</v>
      </c>
      <c r="B442" s="2" t="s">
        <v>2184</v>
      </c>
      <c r="C442" s="2" t="s">
        <v>1219</v>
      </c>
      <c r="D442">
        <v>52</v>
      </c>
      <c r="E442" s="2" t="s">
        <v>1228</v>
      </c>
      <c r="F442" s="2" t="s">
        <v>1221</v>
      </c>
      <c r="G442" s="2" t="s">
        <v>1230</v>
      </c>
      <c r="H442">
        <v>96619</v>
      </c>
      <c r="I442" s="2" t="s">
        <v>1245</v>
      </c>
      <c r="J442" s="2" t="s">
        <v>1224</v>
      </c>
      <c r="K442" s="1">
        <v>44964</v>
      </c>
      <c r="L442">
        <v>2023</v>
      </c>
      <c r="M442" s="2" t="s">
        <v>2185</v>
      </c>
    </row>
    <row r="443" spans="1:13" x14ac:dyDescent="0.25">
      <c r="A443" s="2" t="s">
        <v>382</v>
      </c>
      <c r="B443" s="2" t="s">
        <v>2186</v>
      </c>
      <c r="C443" s="2" t="s">
        <v>1227</v>
      </c>
      <c r="D443">
        <v>23</v>
      </c>
      <c r="E443" s="2" t="s">
        <v>1242</v>
      </c>
      <c r="F443" s="2" t="s">
        <v>1249</v>
      </c>
      <c r="G443" s="2" t="s">
        <v>1259</v>
      </c>
      <c r="H443">
        <v>131453</v>
      </c>
      <c r="I443" s="2" t="s">
        <v>1245</v>
      </c>
      <c r="J443" s="2" t="s">
        <v>1224</v>
      </c>
      <c r="K443" s="1">
        <v>44692</v>
      </c>
      <c r="L443">
        <v>2022</v>
      </c>
      <c r="M443" s="2" t="s">
        <v>2187</v>
      </c>
    </row>
    <row r="444" spans="1:13" x14ac:dyDescent="0.25">
      <c r="A444" s="2" t="s">
        <v>828</v>
      </c>
      <c r="B444" s="2" t="s">
        <v>2188</v>
      </c>
      <c r="C444" s="2" t="s">
        <v>1219</v>
      </c>
      <c r="D444">
        <v>35</v>
      </c>
      <c r="E444" s="2" t="s">
        <v>1220</v>
      </c>
      <c r="F444" s="2" t="s">
        <v>1221</v>
      </c>
      <c r="G444" s="2" t="s">
        <v>1259</v>
      </c>
      <c r="H444">
        <v>39816</v>
      </c>
      <c r="I444" s="2" t="s">
        <v>1250</v>
      </c>
      <c r="J444" s="2" t="s">
        <v>1231</v>
      </c>
      <c r="K444" s="1">
        <v>43285</v>
      </c>
      <c r="L444">
        <v>2018</v>
      </c>
      <c r="M444" s="2" t="s">
        <v>2189</v>
      </c>
    </row>
    <row r="445" spans="1:13" x14ac:dyDescent="0.25">
      <c r="A445" s="2" t="s">
        <v>441</v>
      </c>
      <c r="B445" s="2" t="s">
        <v>2190</v>
      </c>
      <c r="C445" s="2" t="s">
        <v>1227</v>
      </c>
      <c r="D445">
        <v>68</v>
      </c>
      <c r="E445" s="2" t="s">
        <v>1263</v>
      </c>
      <c r="F445" s="2" t="s">
        <v>1221</v>
      </c>
      <c r="G445" s="2" t="s">
        <v>1253</v>
      </c>
      <c r="H445">
        <v>193312</v>
      </c>
      <c r="I445" s="2" t="s">
        <v>1223</v>
      </c>
      <c r="J445" s="2" t="s">
        <v>1231</v>
      </c>
      <c r="K445" s="1">
        <v>43074</v>
      </c>
      <c r="L445">
        <v>2017</v>
      </c>
      <c r="M445" s="2" t="s">
        <v>2191</v>
      </c>
    </row>
    <row r="446" spans="1:13" x14ac:dyDescent="0.25">
      <c r="A446" s="2" t="s">
        <v>355</v>
      </c>
      <c r="B446" s="2" t="s">
        <v>2192</v>
      </c>
      <c r="C446" s="2" t="s">
        <v>1227</v>
      </c>
      <c r="D446">
        <v>22</v>
      </c>
      <c r="E446" s="2" t="s">
        <v>1242</v>
      </c>
      <c r="F446" s="2" t="s">
        <v>1221</v>
      </c>
      <c r="G446" s="2" t="s">
        <v>1230</v>
      </c>
      <c r="H446">
        <v>157348</v>
      </c>
      <c r="I446" s="2" t="s">
        <v>1223</v>
      </c>
      <c r="J446" s="2" t="s">
        <v>1231</v>
      </c>
      <c r="K446" s="1">
        <v>44666</v>
      </c>
      <c r="L446">
        <v>2022</v>
      </c>
      <c r="M446" s="2" t="s">
        <v>2193</v>
      </c>
    </row>
    <row r="447" spans="1:13" x14ac:dyDescent="0.25">
      <c r="A447" s="2" t="s">
        <v>2194</v>
      </c>
      <c r="B447" s="2" t="s">
        <v>2195</v>
      </c>
      <c r="C447" s="2" t="s">
        <v>1219</v>
      </c>
      <c r="D447">
        <v>64</v>
      </c>
      <c r="E447" s="2" t="s">
        <v>1263</v>
      </c>
      <c r="F447" s="2" t="s">
        <v>1221</v>
      </c>
      <c r="G447" s="2" t="s">
        <v>1239</v>
      </c>
      <c r="H447">
        <v>99530</v>
      </c>
      <c r="I447" s="2" t="s">
        <v>1245</v>
      </c>
      <c r="J447" s="2" t="s">
        <v>1231</v>
      </c>
      <c r="K447" s="1">
        <v>44459</v>
      </c>
      <c r="L447">
        <v>2021</v>
      </c>
      <c r="M447" s="2" t="s">
        <v>2196</v>
      </c>
    </row>
    <row r="448" spans="1:13" x14ac:dyDescent="0.25">
      <c r="A448" s="2" t="s">
        <v>499</v>
      </c>
      <c r="B448" s="2" t="s">
        <v>2197</v>
      </c>
      <c r="C448" s="2" t="s">
        <v>1219</v>
      </c>
      <c r="D448">
        <v>42</v>
      </c>
      <c r="E448" s="2" t="s">
        <v>1220</v>
      </c>
      <c r="F448" s="2" t="s">
        <v>1229</v>
      </c>
      <c r="G448" s="2" t="s">
        <v>1244</v>
      </c>
      <c r="H448">
        <v>174571</v>
      </c>
      <c r="I448" s="2" t="s">
        <v>1223</v>
      </c>
      <c r="J448" s="2" t="s">
        <v>1224</v>
      </c>
      <c r="K448" s="1">
        <v>44994</v>
      </c>
      <c r="L448">
        <v>2023</v>
      </c>
      <c r="M448" s="2" t="s">
        <v>2198</v>
      </c>
    </row>
    <row r="449" spans="1:13" x14ac:dyDescent="0.25">
      <c r="A449" s="2" t="s">
        <v>453</v>
      </c>
      <c r="B449" s="2" t="s">
        <v>2199</v>
      </c>
      <c r="C449" s="2" t="s">
        <v>1227</v>
      </c>
      <c r="D449">
        <v>19</v>
      </c>
      <c r="E449" s="2" t="s">
        <v>1242</v>
      </c>
      <c r="F449" s="2" t="s">
        <v>1229</v>
      </c>
      <c r="G449" s="2" t="s">
        <v>1253</v>
      </c>
      <c r="H449">
        <v>128856</v>
      </c>
      <c r="I449" s="2" t="s">
        <v>1245</v>
      </c>
      <c r="J449" s="2" t="s">
        <v>1224</v>
      </c>
      <c r="K449" s="1">
        <v>44493</v>
      </c>
      <c r="L449">
        <v>2021</v>
      </c>
      <c r="M449" s="2" t="s">
        <v>2200</v>
      </c>
    </row>
    <row r="450" spans="1:13" x14ac:dyDescent="0.25">
      <c r="A450" s="2" t="s">
        <v>1055</v>
      </c>
      <c r="B450" s="2" t="s">
        <v>2201</v>
      </c>
      <c r="C450" s="2" t="s">
        <v>1219</v>
      </c>
      <c r="D450">
        <v>27</v>
      </c>
      <c r="E450" s="2" t="s">
        <v>1242</v>
      </c>
      <c r="F450" s="2" t="s">
        <v>1221</v>
      </c>
      <c r="G450" s="2" t="s">
        <v>1239</v>
      </c>
      <c r="H450">
        <v>91635</v>
      </c>
      <c r="I450" s="2" t="s">
        <v>1245</v>
      </c>
      <c r="J450" s="2" t="s">
        <v>1224</v>
      </c>
      <c r="K450" s="1">
        <v>44032</v>
      </c>
      <c r="L450">
        <v>2020</v>
      </c>
      <c r="M450" s="2" t="s">
        <v>2202</v>
      </c>
    </row>
    <row r="451" spans="1:13" x14ac:dyDescent="0.25">
      <c r="A451" s="2" t="s">
        <v>688</v>
      </c>
      <c r="B451" s="2" t="s">
        <v>2203</v>
      </c>
      <c r="C451" s="2" t="s">
        <v>1227</v>
      </c>
      <c r="D451">
        <v>73</v>
      </c>
      <c r="E451" s="2" t="s">
        <v>1263</v>
      </c>
      <c r="F451" s="2" t="s">
        <v>1249</v>
      </c>
      <c r="G451" s="2" t="s">
        <v>1235</v>
      </c>
      <c r="H451">
        <v>127803</v>
      </c>
      <c r="I451" s="2" t="s">
        <v>1245</v>
      </c>
      <c r="J451" s="2" t="s">
        <v>1224</v>
      </c>
      <c r="K451" s="1">
        <v>45486</v>
      </c>
      <c r="L451">
        <v>2024</v>
      </c>
      <c r="M451" s="2" t="s">
        <v>2204</v>
      </c>
    </row>
    <row r="452" spans="1:13" x14ac:dyDescent="0.25">
      <c r="A452" s="2" t="s">
        <v>960</v>
      </c>
      <c r="B452" s="2" t="s">
        <v>2205</v>
      </c>
      <c r="C452" s="2" t="s">
        <v>1227</v>
      </c>
      <c r="D452">
        <v>47</v>
      </c>
      <c r="E452" s="2" t="s">
        <v>1228</v>
      </c>
      <c r="F452" s="2" t="s">
        <v>1243</v>
      </c>
      <c r="G452" s="2" t="s">
        <v>1253</v>
      </c>
      <c r="H452">
        <v>55946</v>
      </c>
      <c r="I452" s="2" t="s">
        <v>1250</v>
      </c>
      <c r="J452" s="2" t="s">
        <v>1231</v>
      </c>
      <c r="K452" s="1">
        <v>42580</v>
      </c>
      <c r="L452">
        <v>2016</v>
      </c>
      <c r="M452" s="2" t="s">
        <v>2206</v>
      </c>
    </row>
    <row r="453" spans="1:13" x14ac:dyDescent="0.25">
      <c r="A453" s="2" t="s">
        <v>2207</v>
      </c>
      <c r="B453" s="2" t="s">
        <v>2208</v>
      </c>
      <c r="C453" s="2" t="s">
        <v>1227</v>
      </c>
      <c r="D453">
        <v>67</v>
      </c>
      <c r="E453" s="2" t="s">
        <v>1263</v>
      </c>
      <c r="F453" s="2" t="s">
        <v>1249</v>
      </c>
      <c r="G453" s="2" t="s">
        <v>1239</v>
      </c>
      <c r="H453">
        <v>75204</v>
      </c>
      <c r="I453" s="2" t="s">
        <v>1245</v>
      </c>
      <c r="J453" s="2" t="s">
        <v>1236</v>
      </c>
      <c r="K453" s="1">
        <v>45412</v>
      </c>
      <c r="L453">
        <v>2024</v>
      </c>
      <c r="M453" s="2" t="s">
        <v>2209</v>
      </c>
    </row>
    <row r="454" spans="1:13" x14ac:dyDescent="0.25">
      <c r="A454" s="2" t="s">
        <v>1150</v>
      </c>
      <c r="B454" s="2" t="s">
        <v>2210</v>
      </c>
      <c r="C454" s="2" t="s">
        <v>1227</v>
      </c>
      <c r="D454">
        <v>62</v>
      </c>
      <c r="E454" s="2" t="s">
        <v>1263</v>
      </c>
      <c r="F454" s="2" t="s">
        <v>1249</v>
      </c>
      <c r="G454" s="2" t="s">
        <v>1235</v>
      </c>
      <c r="H454">
        <v>35563</v>
      </c>
      <c r="I454" s="2" t="s">
        <v>1250</v>
      </c>
      <c r="J454" s="2" t="s">
        <v>1224</v>
      </c>
      <c r="K454" s="1">
        <v>43669</v>
      </c>
      <c r="L454">
        <v>2019</v>
      </c>
      <c r="M454" s="2" t="s">
        <v>2211</v>
      </c>
    </row>
    <row r="455" spans="1:13" x14ac:dyDescent="0.25">
      <c r="A455" s="2" t="s">
        <v>397</v>
      </c>
      <c r="B455" s="2" t="s">
        <v>2212</v>
      </c>
      <c r="C455" s="2" t="s">
        <v>1227</v>
      </c>
      <c r="D455">
        <v>22</v>
      </c>
      <c r="E455" s="2" t="s">
        <v>1242</v>
      </c>
      <c r="F455" s="2" t="s">
        <v>1249</v>
      </c>
      <c r="G455" s="2" t="s">
        <v>1230</v>
      </c>
      <c r="H455">
        <v>112324</v>
      </c>
      <c r="I455" s="2" t="s">
        <v>1245</v>
      </c>
      <c r="J455" s="2" t="s">
        <v>1224</v>
      </c>
      <c r="K455" s="1">
        <v>43074</v>
      </c>
      <c r="L455">
        <v>2017</v>
      </c>
      <c r="M455" s="2" t="s">
        <v>2191</v>
      </c>
    </row>
    <row r="456" spans="1:13" x14ac:dyDescent="0.25">
      <c r="A456" s="2" t="s">
        <v>1012</v>
      </c>
      <c r="B456" s="2" t="s">
        <v>2213</v>
      </c>
      <c r="C456" s="2" t="s">
        <v>1219</v>
      </c>
      <c r="D456">
        <v>72</v>
      </c>
      <c r="E456" s="2" t="s">
        <v>1263</v>
      </c>
      <c r="F456" s="2" t="s">
        <v>1221</v>
      </c>
      <c r="G456" s="2" t="s">
        <v>1244</v>
      </c>
      <c r="H456">
        <v>29847</v>
      </c>
      <c r="I456" s="2" t="s">
        <v>1250</v>
      </c>
      <c r="J456" s="2" t="s">
        <v>1231</v>
      </c>
      <c r="K456" s="1">
        <v>44557</v>
      </c>
      <c r="L456">
        <v>2021</v>
      </c>
      <c r="M456" s="2" t="s">
        <v>2214</v>
      </c>
    </row>
    <row r="457" spans="1:13" x14ac:dyDescent="0.25">
      <c r="A457" s="2" t="s">
        <v>508</v>
      </c>
      <c r="B457" s="2" t="s">
        <v>2215</v>
      </c>
      <c r="C457" s="2" t="s">
        <v>1219</v>
      </c>
      <c r="D457">
        <v>73</v>
      </c>
      <c r="E457" s="2" t="s">
        <v>1263</v>
      </c>
      <c r="F457" s="2" t="s">
        <v>1229</v>
      </c>
      <c r="G457" s="2" t="s">
        <v>1235</v>
      </c>
      <c r="H457">
        <v>46155</v>
      </c>
      <c r="I457" s="2" t="s">
        <v>1250</v>
      </c>
      <c r="J457" s="2" t="s">
        <v>1224</v>
      </c>
      <c r="K457" s="1">
        <v>42386</v>
      </c>
      <c r="L457">
        <v>2016</v>
      </c>
      <c r="M457" s="2" t="s">
        <v>2216</v>
      </c>
    </row>
    <row r="458" spans="1:13" x14ac:dyDescent="0.25">
      <c r="A458" s="2" t="s">
        <v>694</v>
      </c>
      <c r="B458" s="2" t="s">
        <v>2217</v>
      </c>
      <c r="C458" s="2" t="s">
        <v>1227</v>
      </c>
      <c r="D458">
        <v>50</v>
      </c>
      <c r="E458" s="2" t="s">
        <v>1228</v>
      </c>
      <c r="F458" s="2" t="s">
        <v>1249</v>
      </c>
      <c r="G458" s="2" t="s">
        <v>1259</v>
      </c>
      <c r="H458">
        <v>99671</v>
      </c>
      <c r="I458" s="2" t="s">
        <v>1245</v>
      </c>
      <c r="J458" s="2" t="s">
        <v>1224</v>
      </c>
      <c r="K458" s="1">
        <v>42416</v>
      </c>
      <c r="L458">
        <v>2016</v>
      </c>
      <c r="M458" s="2" t="s">
        <v>2218</v>
      </c>
    </row>
    <row r="459" spans="1:13" x14ac:dyDescent="0.25">
      <c r="A459" s="2" t="s">
        <v>2219</v>
      </c>
      <c r="B459" s="2" t="s">
        <v>2220</v>
      </c>
      <c r="C459" s="2" t="s">
        <v>1227</v>
      </c>
      <c r="D459">
        <v>71</v>
      </c>
      <c r="E459" s="2" t="s">
        <v>1263</v>
      </c>
      <c r="F459" s="2" t="s">
        <v>1221</v>
      </c>
      <c r="G459" s="2" t="s">
        <v>1222</v>
      </c>
      <c r="H459">
        <v>136891</v>
      </c>
      <c r="I459" s="2" t="s">
        <v>1245</v>
      </c>
      <c r="J459" s="2" t="s">
        <v>1231</v>
      </c>
      <c r="K459" s="1">
        <v>45469</v>
      </c>
      <c r="L459">
        <v>2024</v>
      </c>
      <c r="M459" s="2" t="s">
        <v>2221</v>
      </c>
    </row>
    <row r="460" spans="1:13" x14ac:dyDescent="0.25">
      <c r="A460" s="2" t="s">
        <v>76</v>
      </c>
      <c r="B460" s="2" t="s">
        <v>2222</v>
      </c>
      <c r="C460" s="2" t="s">
        <v>1219</v>
      </c>
      <c r="D460">
        <v>18</v>
      </c>
      <c r="E460" s="2" t="s">
        <v>1242</v>
      </c>
      <c r="F460" s="2" t="s">
        <v>1249</v>
      </c>
      <c r="G460" s="2" t="s">
        <v>1235</v>
      </c>
      <c r="H460">
        <v>103310</v>
      </c>
      <c r="I460" s="2" t="s">
        <v>1245</v>
      </c>
      <c r="J460" s="2" t="s">
        <v>1231</v>
      </c>
      <c r="K460" s="1">
        <v>43849</v>
      </c>
      <c r="L460">
        <v>2020</v>
      </c>
      <c r="M460" s="2" t="s">
        <v>2223</v>
      </c>
    </row>
    <row r="461" spans="1:13" x14ac:dyDescent="0.25">
      <c r="A461" s="2" t="s">
        <v>803</v>
      </c>
      <c r="B461" s="2" t="s">
        <v>2224</v>
      </c>
      <c r="C461" s="2" t="s">
        <v>1219</v>
      </c>
      <c r="D461">
        <v>35</v>
      </c>
      <c r="E461" s="2" t="s">
        <v>1220</v>
      </c>
      <c r="F461" s="2" t="s">
        <v>1249</v>
      </c>
      <c r="G461" s="2" t="s">
        <v>1235</v>
      </c>
      <c r="H461">
        <v>169381</v>
      </c>
      <c r="I461" s="2" t="s">
        <v>1223</v>
      </c>
      <c r="J461" s="2" t="s">
        <v>1224</v>
      </c>
      <c r="K461" s="1">
        <v>44357</v>
      </c>
      <c r="L461">
        <v>2021</v>
      </c>
      <c r="M461" s="2" t="s">
        <v>2225</v>
      </c>
    </row>
    <row r="462" spans="1:13" x14ac:dyDescent="0.25">
      <c r="A462" s="2" t="s">
        <v>130</v>
      </c>
      <c r="B462" s="2" t="s">
        <v>2226</v>
      </c>
      <c r="C462" s="2" t="s">
        <v>1227</v>
      </c>
      <c r="D462">
        <v>49</v>
      </c>
      <c r="E462" s="2" t="s">
        <v>1228</v>
      </c>
      <c r="F462" s="2" t="s">
        <v>1221</v>
      </c>
      <c r="G462" s="2" t="s">
        <v>1244</v>
      </c>
      <c r="H462">
        <v>151691</v>
      </c>
      <c r="I462" s="2" t="s">
        <v>1223</v>
      </c>
      <c r="J462" s="2" t="s">
        <v>1224</v>
      </c>
      <c r="K462" s="1">
        <v>43401</v>
      </c>
      <c r="L462">
        <v>2018</v>
      </c>
      <c r="M462" s="2" t="s">
        <v>2227</v>
      </c>
    </row>
    <row r="463" spans="1:13" x14ac:dyDescent="0.25">
      <c r="A463" s="2" t="s">
        <v>2228</v>
      </c>
      <c r="B463" s="2" t="s">
        <v>2229</v>
      </c>
      <c r="C463" s="2" t="s">
        <v>1219</v>
      </c>
      <c r="D463">
        <v>64</v>
      </c>
      <c r="E463" s="2" t="s">
        <v>1263</v>
      </c>
      <c r="F463" s="2" t="s">
        <v>1229</v>
      </c>
      <c r="G463" s="2" t="s">
        <v>1222</v>
      </c>
      <c r="H463">
        <v>54707</v>
      </c>
      <c r="I463" s="2" t="s">
        <v>1250</v>
      </c>
      <c r="J463" s="2" t="s">
        <v>1231</v>
      </c>
      <c r="K463" s="1">
        <v>43726</v>
      </c>
      <c r="L463">
        <v>2019</v>
      </c>
      <c r="M463" s="2" t="s">
        <v>2230</v>
      </c>
    </row>
    <row r="464" spans="1:13" x14ac:dyDescent="0.25">
      <c r="A464" s="2" t="s">
        <v>2231</v>
      </c>
      <c r="B464" s="2" t="s">
        <v>2232</v>
      </c>
      <c r="C464" s="2" t="s">
        <v>1227</v>
      </c>
      <c r="D464">
        <v>66</v>
      </c>
      <c r="E464" s="2" t="s">
        <v>1263</v>
      </c>
      <c r="F464" s="2" t="s">
        <v>1229</v>
      </c>
      <c r="G464" s="2" t="s">
        <v>1259</v>
      </c>
      <c r="H464">
        <v>171409</v>
      </c>
      <c r="I464" s="2" t="s">
        <v>1223</v>
      </c>
      <c r="J464" s="2" t="s">
        <v>1224</v>
      </c>
      <c r="K464" s="1">
        <v>45484</v>
      </c>
      <c r="L464">
        <v>2024</v>
      </c>
      <c r="M464" s="2" t="s">
        <v>2233</v>
      </c>
    </row>
    <row r="465" spans="1:13" x14ac:dyDescent="0.25">
      <c r="A465" s="2" t="s">
        <v>2234</v>
      </c>
      <c r="B465" s="2" t="s">
        <v>2235</v>
      </c>
      <c r="C465" s="2" t="s">
        <v>1219</v>
      </c>
      <c r="D465">
        <v>28</v>
      </c>
      <c r="E465" s="2" t="s">
        <v>1242</v>
      </c>
      <c r="F465" s="2" t="s">
        <v>1243</v>
      </c>
      <c r="G465" s="2" t="s">
        <v>1239</v>
      </c>
      <c r="H465">
        <v>101537</v>
      </c>
      <c r="I465" s="2" t="s">
        <v>1245</v>
      </c>
      <c r="J465" s="2" t="s">
        <v>1224</v>
      </c>
      <c r="K465" s="1">
        <v>43028</v>
      </c>
      <c r="L465">
        <v>2017</v>
      </c>
      <c r="M465" s="2" t="s">
        <v>2236</v>
      </c>
    </row>
    <row r="466" spans="1:13" x14ac:dyDescent="0.25">
      <c r="A466" s="2" t="s">
        <v>897</v>
      </c>
      <c r="B466" s="2" t="s">
        <v>2237</v>
      </c>
      <c r="C466" s="2" t="s">
        <v>1227</v>
      </c>
      <c r="D466">
        <v>38</v>
      </c>
      <c r="E466" s="2" t="s">
        <v>1220</v>
      </c>
      <c r="F466" s="2" t="s">
        <v>1221</v>
      </c>
      <c r="G466" s="2" t="s">
        <v>1239</v>
      </c>
      <c r="H466">
        <v>198686</v>
      </c>
      <c r="I466" s="2" t="s">
        <v>1223</v>
      </c>
      <c r="J466" s="2" t="s">
        <v>1231</v>
      </c>
      <c r="K466" s="1">
        <v>45801</v>
      </c>
      <c r="L466">
        <v>2025</v>
      </c>
      <c r="M466" s="2" t="s">
        <v>2238</v>
      </c>
    </row>
    <row r="467" spans="1:13" x14ac:dyDescent="0.25">
      <c r="A467" s="2" t="s">
        <v>300</v>
      </c>
      <c r="B467" s="2" t="s">
        <v>2239</v>
      </c>
      <c r="C467" s="2" t="s">
        <v>1219</v>
      </c>
      <c r="D467">
        <v>43</v>
      </c>
      <c r="E467" s="2" t="s">
        <v>1220</v>
      </c>
      <c r="F467" s="2" t="s">
        <v>1243</v>
      </c>
      <c r="G467" s="2" t="s">
        <v>1235</v>
      </c>
      <c r="H467">
        <v>111155</v>
      </c>
      <c r="I467" s="2" t="s">
        <v>1245</v>
      </c>
      <c r="J467" s="2" t="s">
        <v>1224</v>
      </c>
      <c r="K467" s="1">
        <v>44745</v>
      </c>
      <c r="L467">
        <v>2022</v>
      </c>
      <c r="M467" s="2" t="s">
        <v>1295</v>
      </c>
    </row>
    <row r="468" spans="1:13" x14ac:dyDescent="0.25">
      <c r="A468" s="2" t="s">
        <v>1050</v>
      </c>
      <c r="B468" s="2" t="s">
        <v>2240</v>
      </c>
      <c r="C468" s="2" t="s">
        <v>1227</v>
      </c>
      <c r="D468">
        <v>42</v>
      </c>
      <c r="E468" s="2" t="s">
        <v>1220</v>
      </c>
      <c r="F468" s="2" t="s">
        <v>1243</v>
      </c>
      <c r="G468" s="2" t="s">
        <v>1222</v>
      </c>
      <c r="H468">
        <v>20281</v>
      </c>
      <c r="I468" s="2" t="s">
        <v>1250</v>
      </c>
      <c r="J468" s="2" t="s">
        <v>1231</v>
      </c>
      <c r="K468" s="1">
        <v>44498</v>
      </c>
      <c r="L468">
        <v>2021</v>
      </c>
      <c r="M468" s="2" t="s">
        <v>2241</v>
      </c>
    </row>
    <row r="469" spans="1:13" x14ac:dyDescent="0.25">
      <c r="A469" s="2" t="s">
        <v>170</v>
      </c>
      <c r="B469" s="2" t="s">
        <v>2242</v>
      </c>
      <c r="C469" s="2" t="s">
        <v>1219</v>
      </c>
      <c r="D469">
        <v>39</v>
      </c>
      <c r="E469" s="2" t="s">
        <v>1220</v>
      </c>
      <c r="F469" s="2" t="s">
        <v>1243</v>
      </c>
      <c r="G469" s="2" t="s">
        <v>1222</v>
      </c>
      <c r="H469">
        <v>178492</v>
      </c>
      <c r="I469" s="2" t="s">
        <v>1223</v>
      </c>
      <c r="J469" s="2" t="s">
        <v>1224</v>
      </c>
      <c r="K469" s="1">
        <v>45319</v>
      </c>
      <c r="L469">
        <v>2024</v>
      </c>
      <c r="M469" s="2" t="s">
        <v>2243</v>
      </c>
    </row>
    <row r="470" spans="1:13" x14ac:dyDescent="0.25">
      <c r="A470" s="2" t="s">
        <v>720</v>
      </c>
      <c r="B470" s="2" t="s">
        <v>2244</v>
      </c>
      <c r="C470" s="2" t="s">
        <v>1219</v>
      </c>
      <c r="D470">
        <v>44</v>
      </c>
      <c r="E470" s="2" t="s">
        <v>1220</v>
      </c>
      <c r="F470" s="2" t="s">
        <v>1229</v>
      </c>
      <c r="G470" s="2" t="s">
        <v>1259</v>
      </c>
      <c r="H470">
        <v>190102</v>
      </c>
      <c r="I470" s="2" t="s">
        <v>1223</v>
      </c>
      <c r="J470" s="2" t="s">
        <v>1236</v>
      </c>
      <c r="K470" s="1">
        <v>42954</v>
      </c>
      <c r="L470">
        <v>2017</v>
      </c>
      <c r="M470" s="2" t="s">
        <v>2245</v>
      </c>
    </row>
    <row r="471" spans="1:13" x14ac:dyDescent="0.25">
      <c r="A471" s="2" t="s">
        <v>701</v>
      </c>
      <c r="B471" s="2" t="s">
        <v>2246</v>
      </c>
      <c r="C471" s="2" t="s">
        <v>1227</v>
      </c>
      <c r="D471">
        <v>66</v>
      </c>
      <c r="E471" s="2" t="s">
        <v>1263</v>
      </c>
      <c r="F471" s="2" t="s">
        <v>1221</v>
      </c>
      <c r="G471" s="2" t="s">
        <v>1244</v>
      </c>
      <c r="H471">
        <v>152130</v>
      </c>
      <c r="I471" s="2" t="s">
        <v>1223</v>
      </c>
      <c r="J471" s="2" t="s">
        <v>1224</v>
      </c>
      <c r="K471" s="1">
        <v>44345</v>
      </c>
      <c r="L471">
        <v>2021</v>
      </c>
      <c r="M471" s="2" t="s">
        <v>2247</v>
      </c>
    </row>
    <row r="472" spans="1:13" x14ac:dyDescent="0.25">
      <c r="A472" s="2" t="s">
        <v>2248</v>
      </c>
      <c r="B472" s="2" t="s">
        <v>2249</v>
      </c>
      <c r="C472" s="2" t="s">
        <v>1219</v>
      </c>
      <c r="D472">
        <v>30</v>
      </c>
      <c r="E472" s="2" t="s">
        <v>1220</v>
      </c>
      <c r="F472" s="2" t="s">
        <v>1243</v>
      </c>
      <c r="G472" s="2" t="s">
        <v>1230</v>
      </c>
      <c r="H472">
        <v>96260</v>
      </c>
      <c r="I472" s="2" t="s">
        <v>1245</v>
      </c>
      <c r="J472" s="2" t="s">
        <v>1224</v>
      </c>
      <c r="K472" s="1">
        <v>45664</v>
      </c>
      <c r="L472">
        <v>2025</v>
      </c>
      <c r="M472" s="2" t="s">
        <v>2250</v>
      </c>
    </row>
    <row r="473" spans="1:13" x14ac:dyDescent="0.25">
      <c r="A473" s="2" t="s">
        <v>309</v>
      </c>
      <c r="B473" s="2" t="s">
        <v>2251</v>
      </c>
      <c r="C473" s="2" t="s">
        <v>1227</v>
      </c>
      <c r="D473">
        <v>50</v>
      </c>
      <c r="E473" s="2" t="s">
        <v>1228</v>
      </c>
      <c r="F473" s="2" t="s">
        <v>1221</v>
      </c>
      <c r="G473" s="2" t="s">
        <v>1239</v>
      </c>
      <c r="H473">
        <v>179476</v>
      </c>
      <c r="I473" s="2" t="s">
        <v>1223</v>
      </c>
      <c r="J473" s="2" t="s">
        <v>1224</v>
      </c>
      <c r="K473" s="1">
        <v>43369</v>
      </c>
      <c r="L473">
        <v>2018</v>
      </c>
      <c r="M473" s="2" t="s">
        <v>2252</v>
      </c>
    </row>
    <row r="474" spans="1:13" x14ac:dyDescent="0.25">
      <c r="A474" s="2" t="s">
        <v>224</v>
      </c>
      <c r="B474" s="2" t="s">
        <v>2253</v>
      </c>
      <c r="C474" s="2" t="s">
        <v>1219</v>
      </c>
      <c r="D474">
        <v>51</v>
      </c>
      <c r="E474" s="2" t="s">
        <v>1228</v>
      </c>
      <c r="F474" s="2" t="s">
        <v>1221</v>
      </c>
      <c r="G474" s="2" t="s">
        <v>1244</v>
      </c>
      <c r="H474">
        <v>180928</v>
      </c>
      <c r="I474" s="2" t="s">
        <v>1223</v>
      </c>
      <c r="J474" s="2" t="s">
        <v>1224</v>
      </c>
      <c r="K474" s="1">
        <v>44083</v>
      </c>
      <c r="L474">
        <v>2020</v>
      </c>
      <c r="M474" s="2" t="s">
        <v>2254</v>
      </c>
    </row>
    <row r="475" spans="1:13" x14ac:dyDescent="0.25">
      <c r="A475" s="2" t="s">
        <v>708</v>
      </c>
      <c r="B475" s="2" t="s">
        <v>2255</v>
      </c>
      <c r="C475" s="2" t="s">
        <v>1227</v>
      </c>
      <c r="D475">
        <v>58</v>
      </c>
      <c r="E475" s="2" t="s">
        <v>1228</v>
      </c>
      <c r="F475" s="2" t="s">
        <v>1229</v>
      </c>
      <c r="G475" s="2" t="s">
        <v>1253</v>
      </c>
      <c r="H475">
        <v>160272</v>
      </c>
      <c r="I475" s="2" t="s">
        <v>1223</v>
      </c>
      <c r="J475" s="2" t="s">
        <v>1231</v>
      </c>
      <c r="K475" s="1">
        <v>43719</v>
      </c>
      <c r="L475">
        <v>2019</v>
      </c>
      <c r="M475" s="2" t="s">
        <v>1718</v>
      </c>
    </row>
    <row r="476" spans="1:13" x14ac:dyDescent="0.25">
      <c r="A476" s="2" t="s">
        <v>98</v>
      </c>
      <c r="B476" s="2" t="s">
        <v>2256</v>
      </c>
      <c r="C476" s="2" t="s">
        <v>1219</v>
      </c>
      <c r="D476">
        <v>52</v>
      </c>
      <c r="E476" s="2" t="s">
        <v>1228</v>
      </c>
      <c r="F476" s="2" t="s">
        <v>1243</v>
      </c>
      <c r="G476" s="2" t="s">
        <v>1239</v>
      </c>
      <c r="H476">
        <v>84178</v>
      </c>
      <c r="I476" s="2" t="s">
        <v>1245</v>
      </c>
      <c r="J476" s="2" t="s">
        <v>1236</v>
      </c>
      <c r="K476" s="1">
        <v>44123</v>
      </c>
      <c r="L476">
        <v>2020</v>
      </c>
      <c r="M476" s="2" t="s">
        <v>2257</v>
      </c>
    </row>
    <row r="477" spans="1:13" x14ac:dyDescent="0.25">
      <c r="A477" s="2" t="s">
        <v>71</v>
      </c>
      <c r="B477" s="2" t="s">
        <v>2258</v>
      </c>
      <c r="C477" s="2" t="s">
        <v>1227</v>
      </c>
      <c r="D477">
        <v>18</v>
      </c>
      <c r="E477" s="2" t="s">
        <v>1242</v>
      </c>
      <c r="F477" s="2" t="s">
        <v>1243</v>
      </c>
      <c r="G477" s="2" t="s">
        <v>1244</v>
      </c>
      <c r="H477">
        <v>53997</v>
      </c>
      <c r="I477" s="2" t="s">
        <v>1250</v>
      </c>
      <c r="J477" s="2" t="s">
        <v>1224</v>
      </c>
      <c r="K477" s="1">
        <v>43488</v>
      </c>
      <c r="L477">
        <v>2019</v>
      </c>
      <c r="M477" s="2" t="s">
        <v>2259</v>
      </c>
    </row>
    <row r="478" spans="1:13" x14ac:dyDescent="0.25">
      <c r="A478" s="2" t="s">
        <v>670</v>
      </c>
      <c r="B478" s="2" t="s">
        <v>2260</v>
      </c>
      <c r="C478" s="2" t="s">
        <v>1219</v>
      </c>
      <c r="D478">
        <v>38</v>
      </c>
      <c r="E478" s="2" t="s">
        <v>1220</v>
      </c>
      <c r="F478" s="2" t="s">
        <v>1221</v>
      </c>
      <c r="G478" s="2" t="s">
        <v>1239</v>
      </c>
      <c r="H478">
        <v>176683</v>
      </c>
      <c r="I478" s="2" t="s">
        <v>1223</v>
      </c>
      <c r="J478" s="2" t="s">
        <v>1224</v>
      </c>
      <c r="K478" s="1">
        <v>42325</v>
      </c>
      <c r="L478">
        <v>2015</v>
      </c>
      <c r="M478" s="2" t="s">
        <v>2261</v>
      </c>
    </row>
    <row r="479" spans="1:13" x14ac:dyDescent="0.25">
      <c r="A479" s="2" t="s">
        <v>604</v>
      </c>
      <c r="B479" s="2" t="s">
        <v>2262</v>
      </c>
      <c r="C479" s="2" t="s">
        <v>1227</v>
      </c>
      <c r="D479">
        <v>65</v>
      </c>
      <c r="E479" s="2" t="s">
        <v>1263</v>
      </c>
      <c r="F479" s="2" t="s">
        <v>1249</v>
      </c>
      <c r="G479" s="2" t="s">
        <v>1230</v>
      </c>
      <c r="H479">
        <v>139273</v>
      </c>
      <c r="I479" s="2" t="s">
        <v>1245</v>
      </c>
      <c r="J479" s="2" t="s">
        <v>1231</v>
      </c>
      <c r="K479" s="1">
        <v>42602</v>
      </c>
      <c r="L479">
        <v>2016</v>
      </c>
      <c r="M479" s="2" t="s">
        <v>2263</v>
      </c>
    </row>
    <row r="480" spans="1:13" x14ac:dyDescent="0.25">
      <c r="A480" s="2" t="s">
        <v>259</v>
      </c>
      <c r="B480" s="2" t="s">
        <v>2264</v>
      </c>
      <c r="C480" s="2" t="s">
        <v>1219</v>
      </c>
      <c r="D480">
        <v>72</v>
      </c>
      <c r="E480" s="2" t="s">
        <v>1263</v>
      </c>
      <c r="F480" s="2" t="s">
        <v>1229</v>
      </c>
      <c r="G480" s="2" t="s">
        <v>1253</v>
      </c>
      <c r="H480">
        <v>192307</v>
      </c>
      <c r="I480" s="2" t="s">
        <v>1223</v>
      </c>
      <c r="J480" s="2" t="s">
        <v>1231</v>
      </c>
      <c r="K480" s="1">
        <v>44108</v>
      </c>
      <c r="L480">
        <v>2020</v>
      </c>
      <c r="M480" s="2" t="s">
        <v>1761</v>
      </c>
    </row>
    <row r="481" spans="1:13" x14ac:dyDescent="0.25">
      <c r="A481" s="2" t="s">
        <v>975</v>
      </c>
      <c r="B481" s="2" t="s">
        <v>2265</v>
      </c>
      <c r="C481" s="2" t="s">
        <v>1227</v>
      </c>
      <c r="D481">
        <v>23</v>
      </c>
      <c r="E481" s="2" t="s">
        <v>1242</v>
      </c>
      <c r="F481" s="2" t="s">
        <v>1229</v>
      </c>
      <c r="G481" s="2" t="s">
        <v>1230</v>
      </c>
      <c r="H481">
        <v>186129</v>
      </c>
      <c r="I481" s="2" t="s">
        <v>1223</v>
      </c>
      <c r="J481" s="2" t="s">
        <v>1224</v>
      </c>
      <c r="K481" s="1">
        <v>45476</v>
      </c>
      <c r="L481">
        <v>2024</v>
      </c>
      <c r="M481" s="2" t="s">
        <v>2266</v>
      </c>
    </row>
    <row r="482" spans="1:13" x14ac:dyDescent="0.25">
      <c r="A482" s="2" t="s">
        <v>61</v>
      </c>
      <c r="B482" s="2" t="s">
        <v>2267</v>
      </c>
      <c r="C482" s="2" t="s">
        <v>1227</v>
      </c>
      <c r="D482">
        <v>45</v>
      </c>
      <c r="E482" s="2" t="s">
        <v>1228</v>
      </c>
      <c r="F482" s="2" t="s">
        <v>1229</v>
      </c>
      <c r="G482" s="2" t="s">
        <v>1259</v>
      </c>
      <c r="H482">
        <v>152311</v>
      </c>
      <c r="I482" s="2" t="s">
        <v>1223</v>
      </c>
      <c r="J482" s="2" t="s">
        <v>1224</v>
      </c>
      <c r="K482" s="1">
        <v>42411</v>
      </c>
      <c r="L482">
        <v>2016</v>
      </c>
      <c r="M482" s="2" t="s">
        <v>2268</v>
      </c>
    </row>
    <row r="483" spans="1:13" x14ac:dyDescent="0.25">
      <c r="A483" s="2" t="s">
        <v>972</v>
      </c>
      <c r="B483" s="2" t="s">
        <v>2269</v>
      </c>
      <c r="C483" s="2" t="s">
        <v>1227</v>
      </c>
      <c r="D483">
        <v>34</v>
      </c>
      <c r="E483" s="2" t="s">
        <v>1220</v>
      </c>
      <c r="F483" s="2" t="s">
        <v>1229</v>
      </c>
      <c r="G483" s="2" t="s">
        <v>1253</v>
      </c>
      <c r="H483">
        <v>146945</v>
      </c>
      <c r="I483" s="2" t="s">
        <v>1223</v>
      </c>
      <c r="J483" s="2" t="s">
        <v>1224</v>
      </c>
      <c r="K483" s="1">
        <v>43553</v>
      </c>
      <c r="L483">
        <v>2019</v>
      </c>
      <c r="M483" s="2" t="s">
        <v>2270</v>
      </c>
    </row>
    <row r="484" spans="1:13" x14ac:dyDescent="0.25">
      <c r="A484" s="2" t="s">
        <v>761</v>
      </c>
      <c r="B484" s="2" t="s">
        <v>2271</v>
      </c>
      <c r="C484" s="2" t="s">
        <v>1219</v>
      </c>
      <c r="D484">
        <v>22</v>
      </c>
      <c r="E484" s="2" t="s">
        <v>1242</v>
      </c>
      <c r="F484" s="2" t="s">
        <v>1243</v>
      </c>
      <c r="G484" s="2" t="s">
        <v>1235</v>
      </c>
      <c r="H484">
        <v>65272</v>
      </c>
      <c r="I484" s="2" t="s">
        <v>1250</v>
      </c>
      <c r="J484" s="2" t="s">
        <v>1231</v>
      </c>
      <c r="K484" s="1">
        <v>45512</v>
      </c>
      <c r="L484">
        <v>2024</v>
      </c>
      <c r="M484" s="2" t="s">
        <v>2272</v>
      </c>
    </row>
    <row r="485" spans="1:13" x14ac:dyDescent="0.25">
      <c r="A485" s="2" t="s">
        <v>801</v>
      </c>
      <c r="B485" s="2" t="s">
        <v>2273</v>
      </c>
      <c r="C485" s="2" t="s">
        <v>1227</v>
      </c>
      <c r="D485">
        <v>48</v>
      </c>
      <c r="E485" s="2" t="s">
        <v>1228</v>
      </c>
      <c r="F485" s="2" t="s">
        <v>1243</v>
      </c>
      <c r="G485" s="2" t="s">
        <v>1244</v>
      </c>
      <c r="H485">
        <v>109393</v>
      </c>
      <c r="I485" s="2" t="s">
        <v>1245</v>
      </c>
      <c r="J485" s="2" t="s">
        <v>1224</v>
      </c>
      <c r="K485" s="1">
        <v>45087</v>
      </c>
      <c r="L485">
        <v>2023</v>
      </c>
      <c r="M485" s="2" t="s">
        <v>2274</v>
      </c>
    </row>
    <row r="486" spans="1:13" x14ac:dyDescent="0.25">
      <c r="A486" s="2" t="s">
        <v>549</v>
      </c>
      <c r="B486" s="2" t="s">
        <v>2275</v>
      </c>
      <c r="C486" s="2" t="s">
        <v>1219</v>
      </c>
      <c r="D486">
        <v>22</v>
      </c>
      <c r="E486" s="2" t="s">
        <v>1242</v>
      </c>
      <c r="F486" s="2" t="s">
        <v>1249</v>
      </c>
      <c r="G486" s="2" t="s">
        <v>1253</v>
      </c>
      <c r="H486">
        <v>81212</v>
      </c>
      <c r="I486" s="2" t="s">
        <v>1245</v>
      </c>
      <c r="J486" s="2" t="s">
        <v>1231</v>
      </c>
      <c r="K486" s="1">
        <v>43346</v>
      </c>
      <c r="L486">
        <v>2018</v>
      </c>
      <c r="M486" s="2" t="s">
        <v>2276</v>
      </c>
    </row>
    <row r="487" spans="1:13" x14ac:dyDescent="0.25">
      <c r="A487" s="2" t="s">
        <v>34</v>
      </c>
      <c r="B487" s="2" t="s">
        <v>2277</v>
      </c>
      <c r="C487" s="2" t="s">
        <v>1227</v>
      </c>
      <c r="D487">
        <v>55</v>
      </c>
      <c r="E487" s="2" t="s">
        <v>1228</v>
      </c>
      <c r="F487" s="2" t="s">
        <v>1229</v>
      </c>
      <c r="G487" s="2" t="s">
        <v>1259</v>
      </c>
      <c r="H487">
        <v>166470</v>
      </c>
      <c r="I487" s="2" t="s">
        <v>1223</v>
      </c>
      <c r="J487" s="2" t="s">
        <v>1224</v>
      </c>
      <c r="K487" s="1">
        <v>45621</v>
      </c>
      <c r="L487">
        <v>2024</v>
      </c>
      <c r="M487" s="2" t="s">
        <v>2278</v>
      </c>
    </row>
    <row r="488" spans="1:13" x14ac:dyDescent="0.25">
      <c r="A488" s="2" t="s">
        <v>2279</v>
      </c>
      <c r="B488" s="2" t="s">
        <v>2280</v>
      </c>
      <c r="C488" s="2" t="s">
        <v>1219</v>
      </c>
      <c r="D488">
        <v>20</v>
      </c>
      <c r="E488" s="2" t="s">
        <v>1242</v>
      </c>
      <c r="F488" s="2" t="s">
        <v>1229</v>
      </c>
      <c r="G488" s="2" t="s">
        <v>1259</v>
      </c>
      <c r="H488">
        <v>140030</v>
      </c>
      <c r="I488" s="2" t="s">
        <v>1223</v>
      </c>
      <c r="J488" s="2" t="s">
        <v>1231</v>
      </c>
      <c r="K488" s="1">
        <v>44975</v>
      </c>
      <c r="L488">
        <v>2023</v>
      </c>
      <c r="M488" s="2" t="s">
        <v>2281</v>
      </c>
    </row>
    <row r="489" spans="1:13" x14ac:dyDescent="0.25">
      <c r="A489" s="2" t="s">
        <v>2282</v>
      </c>
      <c r="B489" s="2" t="s">
        <v>2283</v>
      </c>
      <c r="C489" s="2" t="s">
        <v>1227</v>
      </c>
      <c r="D489">
        <v>70</v>
      </c>
      <c r="E489" s="2" t="s">
        <v>1263</v>
      </c>
      <c r="F489" s="2" t="s">
        <v>1221</v>
      </c>
      <c r="G489" s="2" t="s">
        <v>1230</v>
      </c>
      <c r="H489">
        <v>76503</v>
      </c>
      <c r="I489" s="2" t="s">
        <v>1245</v>
      </c>
      <c r="J489" s="2" t="s">
        <v>1224</v>
      </c>
      <c r="K489" s="1">
        <v>45681</v>
      </c>
      <c r="L489">
        <v>2025</v>
      </c>
      <c r="M489" s="2" t="s">
        <v>2284</v>
      </c>
    </row>
    <row r="490" spans="1:13" x14ac:dyDescent="0.25">
      <c r="A490" s="2" t="s">
        <v>487</v>
      </c>
      <c r="B490" s="2" t="s">
        <v>2285</v>
      </c>
      <c r="C490" s="2" t="s">
        <v>1219</v>
      </c>
      <c r="D490">
        <v>40</v>
      </c>
      <c r="E490" s="2" t="s">
        <v>1220</v>
      </c>
      <c r="F490" s="2" t="s">
        <v>1243</v>
      </c>
      <c r="G490" s="2" t="s">
        <v>1239</v>
      </c>
      <c r="H490">
        <v>157710</v>
      </c>
      <c r="I490" s="2" t="s">
        <v>1223</v>
      </c>
      <c r="J490" s="2" t="s">
        <v>1224</v>
      </c>
      <c r="K490" s="1">
        <v>45104</v>
      </c>
      <c r="L490">
        <v>2023</v>
      </c>
      <c r="M490" s="2" t="s">
        <v>2286</v>
      </c>
    </row>
    <row r="491" spans="1:13" x14ac:dyDescent="0.25">
      <c r="A491" s="2" t="s">
        <v>365</v>
      </c>
      <c r="B491" s="2" t="s">
        <v>2287</v>
      </c>
      <c r="C491" s="2" t="s">
        <v>1219</v>
      </c>
      <c r="D491">
        <v>54</v>
      </c>
      <c r="E491" s="2" t="s">
        <v>1228</v>
      </c>
      <c r="F491" s="2" t="s">
        <v>1229</v>
      </c>
      <c r="G491" s="2" t="s">
        <v>1253</v>
      </c>
      <c r="H491">
        <v>26570</v>
      </c>
      <c r="I491" s="2" t="s">
        <v>1250</v>
      </c>
      <c r="J491" s="2" t="s">
        <v>1224</v>
      </c>
      <c r="K491" s="1">
        <v>44800</v>
      </c>
      <c r="L491">
        <v>2022</v>
      </c>
      <c r="M491" s="2" t="s">
        <v>2288</v>
      </c>
    </row>
    <row r="492" spans="1:13" x14ac:dyDescent="0.25">
      <c r="A492" s="2" t="s">
        <v>2289</v>
      </c>
      <c r="B492" s="2" t="s">
        <v>2290</v>
      </c>
      <c r="C492" s="2" t="s">
        <v>1227</v>
      </c>
      <c r="D492">
        <v>70</v>
      </c>
      <c r="E492" s="2" t="s">
        <v>1263</v>
      </c>
      <c r="F492" s="2" t="s">
        <v>1249</v>
      </c>
      <c r="G492" s="2" t="s">
        <v>1244</v>
      </c>
      <c r="H492">
        <v>88785</v>
      </c>
      <c r="I492" s="2" t="s">
        <v>1245</v>
      </c>
      <c r="J492" s="2" t="s">
        <v>1231</v>
      </c>
      <c r="K492" s="1">
        <v>44778</v>
      </c>
      <c r="L492">
        <v>2022</v>
      </c>
      <c r="M492" s="2" t="s">
        <v>2291</v>
      </c>
    </row>
    <row r="493" spans="1:13" x14ac:dyDescent="0.25">
      <c r="A493" s="2" t="s">
        <v>320</v>
      </c>
      <c r="B493" s="2" t="s">
        <v>2292</v>
      </c>
      <c r="C493" s="2" t="s">
        <v>1219</v>
      </c>
      <c r="D493">
        <v>54</v>
      </c>
      <c r="E493" s="2" t="s">
        <v>1228</v>
      </c>
      <c r="F493" s="2" t="s">
        <v>1249</v>
      </c>
      <c r="G493" s="2" t="s">
        <v>1253</v>
      </c>
      <c r="H493">
        <v>29110</v>
      </c>
      <c r="I493" s="2" t="s">
        <v>1250</v>
      </c>
      <c r="J493" s="2" t="s">
        <v>1224</v>
      </c>
      <c r="K493" s="1">
        <v>44859</v>
      </c>
      <c r="L493">
        <v>2022</v>
      </c>
      <c r="M493" s="2" t="s">
        <v>2293</v>
      </c>
    </row>
    <row r="494" spans="1:13" x14ac:dyDescent="0.25">
      <c r="A494" s="2" t="s">
        <v>139</v>
      </c>
      <c r="B494" s="2" t="s">
        <v>2294</v>
      </c>
      <c r="C494" s="2" t="s">
        <v>1219</v>
      </c>
      <c r="D494">
        <v>27</v>
      </c>
      <c r="E494" s="2" t="s">
        <v>1242</v>
      </c>
      <c r="F494" s="2" t="s">
        <v>1243</v>
      </c>
      <c r="G494" s="2" t="s">
        <v>1222</v>
      </c>
      <c r="H494">
        <v>99141</v>
      </c>
      <c r="I494" s="2" t="s">
        <v>1245</v>
      </c>
      <c r="J494" s="2" t="s">
        <v>1224</v>
      </c>
      <c r="K494" s="1">
        <v>45393</v>
      </c>
      <c r="L494">
        <v>2024</v>
      </c>
      <c r="M494" s="2" t="s">
        <v>2295</v>
      </c>
    </row>
    <row r="495" spans="1:13" x14ac:dyDescent="0.25">
      <c r="A495" s="2" t="s">
        <v>399</v>
      </c>
      <c r="B495" s="2" t="s">
        <v>2296</v>
      </c>
      <c r="C495" s="2" t="s">
        <v>1227</v>
      </c>
      <c r="D495">
        <v>27</v>
      </c>
      <c r="E495" s="2" t="s">
        <v>1242</v>
      </c>
      <c r="F495" s="2" t="s">
        <v>1249</v>
      </c>
      <c r="G495" s="2" t="s">
        <v>1239</v>
      </c>
      <c r="H495">
        <v>32115</v>
      </c>
      <c r="I495" s="2" t="s">
        <v>1250</v>
      </c>
      <c r="J495" s="2" t="s">
        <v>1224</v>
      </c>
      <c r="K495" s="1">
        <v>44267</v>
      </c>
      <c r="L495">
        <v>2021</v>
      </c>
      <c r="M495" s="2" t="s">
        <v>2297</v>
      </c>
    </row>
    <row r="496" spans="1:13" x14ac:dyDescent="0.25">
      <c r="A496" s="2" t="s">
        <v>435</v>
      </c>
      <c r="B496" s="2" t="s">
        <v>2298</v>
      </c>
      <c r="C496" s="2" t="s">
        <v>1219</v>
      </c>
      <c r="D496">
        <v>36</v>
      </c>
      <c r="E496" s="2" t="s">
        <v>1220</v>
      </c>
      <c r="F496" s="2" t="s">
        <v>1249</v>
      </c>
      <c r="G496" s="2" t="s">
        <v>1244</v>
      </c>
      <c r="H496">
        <v>59062</v>
      </c>
      <c r="I496" s="2" t="s">
        <v>1250</v>
      </c>
      <c r="J496" s="2" t="s">
        <v>1224</v>
      </c>
      <c r="K496" s="1">
        <v>44585</v>
      </c>
      <c r="L496">
        <v>2022</v>
      </c>
      <c r="M496" s="2" t="s">
        <v>2299</v>
      </c>
    </row>
    <row r="497" spans="1:13" x14ac:dyDescent="0.25">
      <c r="A497" s="2" t="s">
        <v>710</v>
      </c>
      <c r="B497" s="2" t="s">
        <v>2300</v>
      </c>
      <c r="C497" s="2" t="s">
        <v>1219</v>
      </c>
      <c r="D497">
        <v>34</v>
      </c>
      <c r="E497" s="2" t="s">
        <v>1220</v>
      </c>
      <c r="F497" s="2" t="s">
        <v>1243</v>
      </c>
      <c r="G497" s="2" t="s">
        <v>1244</v>
      </c>
      <c r="H497">
        <v>42911</v>
      </c>
      <c r="I497" s="2" t="s">
        <v>1250</v>
      </c>
      <c r="J497" s="2" t="s">
        <v>1231</v>
      </c>
      <c r="K497" s="1">
        <v>42920</v>
      </c>
      <c r="L497">
        <v>2017</v>
      </c>
      <c r="M497" s="2" t="s">
        <v>2301</v>
      </c>
    </row>
    <row r="498" spans="1:13" x14ac:dyDescent="0.25">
      <c r="A498" s="2" t="s">
        <v>2302</v>
      </c>
      <c r="B498" s="2" t="s">
        <v>2303</v>
      </c>
      <c r="C498" s="2" t="s">
        <v>1219</v>
      </c>
      <c r="D498">
        <v>38</v>
      </c>
      <c r="E498" s="2" t="s">
        <v>1220</v>
      </c>
      <c r="F498" s="2" t="s">
        <v>1229</v>
      </c>
      <c r="G498" s="2" t="s">
        <v>1235</v>
      </c>
      <c r="H498">
        <v>124061</v>
      </c>
      <c r="I498" s="2" t="s">
        <v>1245</v>
      </c>
      <c r="J498" s="2" t="s">
        <v>1231</v>
      </c>
      <c r="K498" s="1">
        <v>45451</v>
      </c>
      <c r="L498">
        <v>2024</v>
      </c>
      <c r="M498" s="2" t="s">
        <v>2304</v>
      </c>
    </row>
    <row r="499" spans="1:13" x14ac:dyDescent="0.25">
      <c r="A499" s="2" t="s">
        <v>192</v>
      </c>
      <c r="B499" s="2" t="s">
        <v>2305</v>
      </c>
      <c r="C499" s="2" t="s">
        <v>1227</v>
      </c>
      <c r="D499">
        <v>31</v>
      </c>
      <c r="E499" s="2" t="s">
        <v>1220</v>
      </c>
      <c r="F499" s="2" t="s">
        <v>1229</v>
      </c>
      <c r="G499" s="2" t="s">
        <v>1230</v>
      </c>
      <c r="H499">
        <v>52556</v>
      </c>
      <c r="I499" s="2" t="s">
        <v>1250</v>
      </c>
      <c r="J499" s="2" t="s">
        <v>1231</v>
      </c>
      <c r="K499" s="1">
        <v>42561</v>
      </c>
      <c r="L499">
        <v>2016</v>
      </c>
      <c r="M499" s="2" t="s">
        <v>2306</v>
      </c>
    </row>
    <row r="500" spans="1:13" x14ac:dyDescent="0.25">
      <c r="A500" s="2" t="s">
        <v>160</v>
      </c>
      <c r="B500" s="2" t="s">
        <v>2307</v>
      </c>
      <c r="C500" s="2" t="s">
        <v>1219</v>
      </c>
      <c r="D500">
        <v>26</v>
      </c>
      <c r="E500" s="2" t="s">
        <v>1242</v>
      </c>
      <c r="F500" s="2" t="s">
        <v>1249</v>
      </c>
      <c r="G500" s="2" t="s">
        <v>1235</v>
      </c>
      <c r="H500">
        <v>148335</v>
      </c>
      <c r="I500" s="2" t="s">
        <v>1223</v>
      </c>
      <c r="J500" s="2" t="s">
        <v>1224</v>
      </c>
      <c r="K500" s="1">
        <v>45443</v>
      </c>
      <c r="L500">
        <v>2024</v>
      </c>
      <c r="M500" s="2" t="s">
        <v>2308</v>
      </c>
    </row>
    <row r="501" spans="1:13" x14ac:dyDescent="0.25">
      <c r="A501" s="2" t="s">
        <v>120</v>
      </c>
      <c r="B501" s="2" t="s">
        <v>2309</v>
      </c>
      <c r="C501" s="2" t="s">
        <v>1227</v>
      </c>
      <c r="D501">
        <v>63</v>
      </c>
      <c r="E501" s="2" t="s">
        <v>1263</v>
      </c>
      <c r="F501" s="2" t="s">
        <v>1249</v>
      </c>
      <c r="G501" s="2" t="s">
        <v>1244</v>
      </c>
      <c r="H501">
        <v>21969</v>
      </c>
      <c r="I501" s="2" t="s">
        <v>1250</v>
      </c>
      <c r="J501" s="2" t="s">
        <v>1231</v>
      </c>
      <c r="K501" s="1">
        <v>45488</v>
      </c>
      <c r="L501">
        <v>2024</v>
      </c>
      <c r="M501" s="2" t="s">
        <v>2310</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B39C2-0C4A-4DDF-A95F-645087174C34}">
  <dimension ref="A1:Z801"/>
  <sheetViews>
    <sheetView topLeftCell="H1" zoomScale="85" zoomScaleNormal="85" workbookViewId="0">
      <selection activeCell="AA19" sqref="AA19"/>
    </sheetView>
  </sheetViews>
  <sheetFormatPr defaultRowHeight="15" x14ac:dyDescent="0.25"/>
  <cols>
    <col min="1" max="1" width="13.7109375" bestFit="1" customWidth="1"/>
    <col min="2" max="2" width="12.28515625" bestFit="1" customWidth="1"/>
    <col min="3" max="3" width="27.28515625" bestFit="1" customWidth="1"/>
    <col min="4" max="4" width="10" bestFit="1" customWidth="1"/>
    <col min="5" max="5" width="6.7109375" bestFit="1" customWidth="1"/>
    <col min="6" max="6" width="13.7109375" bestFit="1" customWidth="1"/>
    <col min="7" max="7" width="9.42578125" bestFit="1" customWidth="1"/>
    <col min="8" max="8" width="13.28515625" bestFit="1" customWidth="1"/>
    <col min="9" max="9" width="11.42578125" bestFit="1" customWidth="1"/>
    <col min="10" max="10" width="11.28515625" bestFit="1" customWidth="1"/>
    <col min="11" max="11" width="20.28515625" bestFit="1" customWidth="1"/>
    <col min="12" max="12" width="11.140625" bestFit="1" customWidth="1"/>
    <col min="13" max="13" width="18.28515625" bestFit="1" customWidth="1"/>
    <col min="14" max="14" width="20.42578125" bestFit="1" customWidth="1"/>
    <col min="15" max="15" width="15.140625" bestFit="1" customWidth="1"/>
    <col min="16" max="16" width="14.5703125" bestFit="1" customWidth="1"/>
    <col min="17" max="17" width="11.140625" bestFit="1" customWidth="1"/>
    <col min="18" max="18" width="14.5703125" bestFit="1" customWidth="1"/>
    <col min="19" max="19" width="21.28515625" bestFit="1" customWidth="1"/>
    <col min="20" max="20" width="15.7109375" bestFit="1" customWidth="1"/>
    <col min="21" max="21" width="13.85546875" bestFit="1" customWidth="1"/>
    <col min="22" max="22" width="13.85546875" customWidth="1"/>
    <col min="23" max="23" width="40" bestFit="1" customWidth="1"/>
    <col min="24" max="25" width="13.85546875" bestFit="1" customWidth="1"/>
    <col min="26" max="26" width="11.140625" bestFit="1" customWidth="1"/>
    <col min="27" max="27" width="10.85546875" bestFit="1" customWidth="1"/>
  </cols>
  <sheetData>
    <row r="1" spans="1:26" x14ac:dyDescent="0.25">
      <c r="A1" t="s">
        <v>1</v>
      </c>
      <c r="B1" t="s">
        <v>0</v>
      </c>
      <c r="C1" t="s">
        <v>1206</v>
      </c>
      <c r="D1" t="s">
        <v>1207</v>
      </c>
      <c r="E1" t="s">
        <v>1208</v>
      </c>
      <c r="F1" t="s">
        <v>1209</v>
      </c>
      <c r="G1" t="s">
        <v>1210</v>
      </c>
      <c r="H1" t="s">
        <v>1211</v>
      </c>
      <c r="I1" t="s">
        <v>2311</v>
      </c>
      <c r="J1" t="s">
        <v>2312</v>
      </c>
      <c r="K1" t="s">
        <v>1217</v>
      </c>
      <c r="L1" t="s">
        <v>1212</v>
      </c>
      <c r="M1" t="s">
        <v>1213</v>
      </c>
      <c r="N1" t="s">
        <v>2313</v>
      </c>
      <c r="O1" t="s">
        <v>2314</v>
      </c>
      <c r="P1" t="s">
        <v>2315</v>
      </c>
      <c r="Q1" t="s">
        <v>4</v>
      </c>
      <c r="R1" t="s">
        <v>2324</v>
      </c>
      <c r="S1" t="s">
        <v>2327</v>
      </c>
      <c r="T1" t="s">
        <v>2325</v>
      </c>
      <c r="U1" t="s">
        <v>2326</v>
      </c>
    </row>
    <row r="2" spans="1:26" x14ac:dyDescent="0.25">
      <c r="A2" s="2" t="s">
        <v>9</v>
      </c>
      <c r="B2" s="2" t="s">
        <v>8</v>
      </c>
      <c r="C2" s="2" t="s">
        <v>1904</v>
      </c>
      <c r="D2" s="2" t="s">
        <v>1227</v>
      </c>
      <c r="E2">
        <v>46</v>
      </c>
      <c r="F2" s="2" t="s">
        <v>1228</v>
      </c>
      <c r="G2" s="2" t="s">
        <v>1243</v>
      </c>
      <c r="H2" s="2" t="s">
        <v>1230</v>
      </c>
      <c r="I2" s="1">
        <v>43041</v>
      </c>
      <c r="J2">
        <v>2017</v>
      </c>
      <c r="K2" s="2" t="s">
        <v>1905</v>
      </c>
      <c r="L2" s="4">
        <v>29078</v>
      </c>
      <c r="M2" s="2" t="s">
        <v>1250</v>
      </c>
      <c r="N2" s="2" t="s">
        <v>1231</v>
      </c>
      <c r="O2" s="2" t="s">
        <v>10</v>
      </c>
      <c r="P2" s="3">
        <v>43258</v>
      </c>
      <c r="Q2" s="4">
        <v>363265</v>
      </c>
      <c r="R2">
        <v>698</v>
      </c>
      <c r="S2" t="str">
        <f>IF(Linked[[#This Row],[Credit Score]]&lt;=579,"Poor",IF(Linked[[#This Row],[Credit Score]]&lt;=669,"Fair",IF(Linked[[#This Row],[Credit Score]]&lt;=739,"Good",IF(Linked[[#This Row],[Credit Score]]&lt;=799,"Very Good",IF(Linked[[#This Row],[Credit Score]]&gt;=800,"Excellent")))))</f>
        <v>Good</v>
      </c>
      <c r="T2" s="4">
        <v>0</v>
      </c>
      <c r="U2" s="2"/>
      <c r="V2" s="2"/>
    </row>
    <row r="3" spans="1:26" x14ac:dyDescent="0.25">
      <c r="A3" s="2" t="s">
        <v>9</v>
      </c>
      <c r="B3" s="2" t="s">
        <v>343</v>
      </c>
      <c r="C3" s="2" t="s">
        <v>1904</v>
      </c>
      <c r="D3" s="2" t="s">
        <v>1227</v>
      </c>
      <c r="E3">
        <v>46</v>
      </c>
      <c r="F3" s="2" t="s">
        <v>1228</v>
      </c>
      <c r="G3" s="2" t="s">
        <v>1243</v>
      </c>
      <c r="H3" s="2" t="s">
        <v>1230</v>
      </c>
      <c r="I3" s="1">
        <v>43041</v>
      </c>
      <c r="J3">
        <v>2017</v>
      </c>
      <c r="K3" s="2" t="s">
        <v>1905</v>
      </c>
      <c r="L3" s="4">
        <v>29078</v>
      </c>
      <c r="M3" s="2" t="s">
        <v>1250</v>
      </c>
      <c r="N3" s="2" t="s">
        <v>1231</v>
      </c>
      <c r="O3" s="2" t="s">
        <v>13</v>
      </c>
      <c r="P3" s="3">
        <v>44094</v>
      </c>
      <c r="Q3" s="4">
        <v>398834</v>
      </c>
      <c r="R3">
        <v>304</v>
      </c>
      <c r="S3" t="str">
        <f>IF(Linked[[#This Row],[Credit Score]]&lt;=579,"Poor",IF(Linked[[#This Row],[Credit Score]]&lt;=669,"Fair",IF(Linked[[#This Row],[Credit Score]]&lt;=739,"Good",IF(Linked[[#This Row],[Credit Score]]&lt;=799,"Very Good",IF(Linked[[#This Row],[Credit Score]]&gt;=800,"Excellent")))))</f>
        <v>Poor</v>
      </c>
      <c r="T3" s="4">
        <v>0</v>
      </c>
      <c r="U3" s="2"/>
      <c r="V3" s="2"/>
    </row>
    <row r="4" spans="1:26" x14ac:dyDescent="0.25">
      <c r="A4" s="2" t="s">
        <v>773</v>
      </c>
      <c r="B4" s="2" t="s">
        <v>772</v>
      </c>
      <c r="C4" s="2" t="s">
        <v>1218</v>
      </c>
      <c r="D4" s="2" t="s">
        <v>1219</v>
      </c>
      <c r="E4">
        <v>38</v>
      </c>
      <c r="F4" s="2" t="s">
        <v>1220</v>
      </c>
      <c r="G4" s="2" t="s">
        <v>1221</v>
      </c>
      <c r="H4" s="2" t="s">
        <v>1222</v>
      </c>
      <c r="I4" s="1">
        <v>45041</v>
      </c>
      <c r="J4">
        <v>2023</v>
      </c>
      <c r="K4" s="2" t="s">
        <v>1225</v>
      </c>
      <c r="L4" s="4">
        <v>191672</v>
      </c>
      <c r="M4" s="2" t="s">
        <v>1223</v>
      </c>
      <c r="N4" s="2" t="s">
        <v>1224</v>
      </c>
      <c r="O4" s="2" t="s">
        <v>13</v>
      </c>
      <c r="P4" s="3">
        <v>45360</v>
      </c>
      <c r="Q4" s="4">
        <v>370180</v>
      </c>
      <c r="R4">
        <v>344</v>
      </c>
      <c r="S4" t="str">
        <f>IF(Linked[[#This Row],[Credit Score]]&lt;=579,"Poor",IF(Linked[[#This Row],[Credit Score]]&lt;=669,"Fair",IF(Linked[[#This Row],[Credit Score]]&lt;=739,"Good",IF(Linked[[#This Row],[Credit Score]]&lt;=799,"Very Good",IF(Linked[[#This Row],[Credit Score]]&gt;=800,"Excellent")))))</f>
        <v>Poor</v>
      </c>
      <c r="T4" s="4">
        <v>0</v>
      </c>
      <c r="U4" s="2"/>
      <c r="V4" s="2"/>
      <c r="X4" s="4"/>
    </row>
    <row r="5" spans="1:26" x14ac:dyDescent="0.25">
      <c r="A5" s="2" t="s">
        <v>12</v>
      </c>
      <c r="B5" s="2" t="s">
        <v>11</v>
      </c>
      <c r="C5" s="2" t="s">
        <v>1931</v>
      </c>
      <c r="D5" s="2" t="s">
        <v>1219</v>
      </c>
      <c r="E5">
        <v>57</v>
      </c>
      <c r="F5" s="2" t="s">
        <v>1228</v>
      </c>
      <c r="G5" s="2" t="s">
        <v>1229</v>
      </c>
      <c r="H5" s="2" t="s">
        <v>1259</v>
      </c>
      <c r="I5" s="1">
        <v>43637</v>
      </c>
      <c r="J5">
        <v>2019</v>
      </c>
      <c r="K5" s="2" t="s">
        <v>1932</v>
      </c>
      <c r="L5" s="4">
        <v>122215</v>
      </c>
      <c r="M5" s="2" t="s">
        <v>1245</v>
      </c>
      <c r="N5" s="2" t="s">
        <v>1236</v>
      </c>
      <c r="O5" s="2" t="s">
        <v>13</v>
      </c>
      <c r="P5" s="3">
        <v>45670</v>
      </c>
      <c r="Q5" s="4">
        <v>282169</v>
      </c>
      <c r="R5">
        <v>405</v>
      </c>
      <c r="S5" t="str">
        <f>IF(Linked[[#This Row],[Credit Score]]&lt;=579,"Poor",IF(Linked[[#This Row],[Credit Score]]&lt;=669,"Fair",IF(Linked[[#This Row],[Credit Score]]&lt;=739,"Good",IF(Linked[[#This Row],[Credit Score]]&lt;=799,"Very Good",IF(Linked[[#This Row],[Credit Score]]&gt;=800,"Excellent")))))</f>
        <v>Poor</v>
      </c>
      <c r="T5" s="4">
        <v>0</v>
      </c>
      <c r="U5" s="2"/>
      <c r="V5" s="2"/>
    </row>
    <row r="6" spans="1:26" x14ac:dyDescent="0.25">
      <c r="A6" s="2" t="s">
        <v>12</v>
      </c>
      <c r="B6" s="2" t="s">
        <v>64</v>
      </c>
      <c r="C6" s="2" t="s">
        <v>1931</v>
      </c>
      <c r="D6" s="2" t="s">
        <v>1219</v>
      </c>
      <c r="E6">
        <v>57</v>
      </c>
      <c r="F6" s="2" t="s">
        <v>1228</v>
      </c>
      <c r="G6" s="2" t="s">
        <v>1229</v>
      </c>
      <c r="H6" s="2" t="s">
        <v>1259</v>
      </c>
      <c r="I6" s="1">
        <v>43637</v>
      </c>
      <c r="J6">
        <v>2019</v>
      </c>
      <c r="K6" s="2" t="s">
        <v>1932</v>
      </c>
      <c r="L6" s="4">
        <v>122215</v>
      </c>
      <c r="M6" s="2" t="s">
        <v>1245</v>
      </c>
      <c r="N6" s="2" t="s">
        <v>1236</v>
      </c>
      <c r="O6" s="2" t="s">
        <v>13</v>
      </c>
      <c r="P6" s="3">
        <v>43851</v>
      </c>
      <c r="Q6" s="4">
        <v>97493</v>
      </c>
      <c r="R6">
        <v>528</v>
      </c>
      <c r="S6" t="str">
        <f>IF(Linked[[#This Row],[Credit Score]]&lt;=579,"Poor",IF(Linked[[#This Row],[Credit Score]]&lt;=669,"Fair",IF(Linked[[#This Row],[Credit Score]]&lt;=739,"Good",IF(Linked[[#This Row],[Credit Score]]&lt;=799,"Very Good",IF(Linked[[#This Row],[Credit Score]]&gt;=800,"Excellent")))))</f>
        <v>Poor</v>
      </c>
      <c r="T6" s="4">
        <v>0</v>
      </c>
      <c r="U6" s="2"/>
      <c r="V6" s="2"/>
      <c r="X6" s="4"/>
      <c r="Y6" s="4"/>
      <c r="Z6" s="4"/>
    </row>
    <row r="7" spans="1:26" x14ac:dyDescent="0.25">
      <c r="A7" s="2" t="s">
        <v>12</v>
      </c>
      <c r="B7" s="2" t="s">
        <v>450</v>
      </c>
      <c r="C7" s="2" t="s">
        <v>1931</v>
      </c>
      <c r="D7" s="2" t="s">
        <v>1219</v>
      </c>
      <c r="E7">
        <v>57</v>
      </c>
      <c r="F7" s="2" t="s">
        <v>1228</v>
      </c>
      <c r="G7" s="2" t="s">
        <v>1229</v>
      </c>
      <c r="H7" s="2" t="s">
        <v>1259</v>
      </c>
      <c r="I7" s="1">
        <v>43637</v>
      </c>
      <c r="J7">
        <v>2019</v>
      </c>
      <c r="K7" s="2" t="s">
        <v>1932</v>
      </c>
      <c r="L7" s="4">
        <v>122215</v>
      </c>
      <c r="M7" s="2" t="s">
        <v>1245</v>
      </c>
      <c r="N7" s="2" t="s">
        <v>1236</v>
      </c>
      <c r="O7" s="2" t="s">
        <v>13</v>
      </c>
      <c r="P7" s="3">
        <v>42662</v>
      </c>
      <c r="Q7" s="4">
        <v>357574</v>
      </c>
      <c r="R7">
        <v>546</v>
      </c>
      <c r="S7" t="str">
        <f>IF(Linked[[#This Row],[Credit Score]]&lt;=579,"Poor",IF(Linked[[#This Row],[Credit Score]]&lt;=669,"Fair",IF(Linked[[#This Row],[Credit Score]]&lt;=739,"Good",IF(Linked[[#This Row],[Credit Score]]&lt;=799,"Very Good",IF(Linked[[#This Row],[Credit Score]]&gt;=800,"Excellent")))))</f>
        <v>Poor</v>
      </c>
      <c r="T7" s="4">
        <v>0</v>
      </c>
      <c r="U7" s="2" t="s">
        <v>39</v>
      </c>
      <c r="V7" s="2"/>
      <c r="X7" s="4"/>
    </row>
    <row r="8" spans="1:26" x14ac:dyDescent="0.25">
      <c r="A8" s="2" t="s">
        <v>410</v>
      </c>
      <c r="B8" s="2" t="s">
        <v>409</v>
      </c>
      <c r="C8" s="2" t="s">
        <v>1226</v>
      </c>
      <c r="D8" s="2" t="s">
        <v>1227</v>
      </c>
      <c r="E8">
        <v>49</v>
      </c>
      <c r="F8" s="2" t="s">
        <v>1228</v>
      </c>
      <c r="G8" s="2" t="s">
        <v>1229</v>
      </c>
      <c r="H8" s="2" t="s">
        <v>1230</v>
      </c>
      <c r="I8" s="1">
        <v>44331</v>
      </c>
      <c r="J8">
        <v>2021</v>
      </c>
      <c r="K8" s="2" t="s">
        <v>1232</v>
      </c>
      <c r="L8" s="4">
        <v>186472</v>
      </c>
      <c r="M8" s="2" t="s">
        <v>1223</v>
      </c>
      <c r="N8" s="2" t="s">
        <v>1231</v>
      </c>
      <c r="O8" s="2" t="s">
        <v>25</v>
      </c>
      <c r="P8" s="3">
        <v>44739</v>
      </c>
      <c r="Q8" s="4">
        <v>40142</v>
      </c>
      <c r="R8">
        <v>541</v>
      </c>
      <c r="S8" t="str">
        <f>IF(Linked[[#This Row],[Credit Score]]&lt;=579,"Poor",IF(Linked[[#This Row],[Credit Score]]&lt;=669,"Fair",IF(Linked[[#This Row],[Credit Score]]&lt;=739,"Good",IF(Linked[[#This Row],[Credit Score]]&lt;=799,"Very Good",IF(Linked[[#This Row],[Credit Score]]&gt;=800,"Excellent")))))</f>
        <v>Poor</v>
      </c>
      <c r="T8" s="4">
        <v>0</v>
      </c>
      <c r="U8" s="2" t="s">
        <v>59</v>
      </c>
      <c r="V8" s="2"/>
      <c r="X8" s="4"/>
    </row>
    <row r="9" spans="1:26" x14ac:dyDescent="0.25">
      <c r="A9" s="2" t="s">
        <v>15</v>
      </c>
      <c r="B9" s="2" t="s">
        <v>14</v>
      </c>
      <c r="C9" s="2" t="s">
        <v>2031</v>
      </c>
      <c r="D9" s="2" t="s">
        <v>1219</v>
      </c>
      <c r="E9">
        <v>45</v>
      </c>
      <c r="F9" s="2" t="s">
        <v>1228</v>
      </c>
      <c r="G9" s="2" t="s">
        <v>1229</v>
      </c>
      <c r="H9" s="2" t="s">
        <v>1230</v>
      </c>
      <c r="I9" s="1">
        <v>43773</v>
      </c>
      <c r="J9">
        <v>2019</v>
      </c>
      <c r="K9" s="2" t="s">
        <v>2032</v>
      </c>
      <c r="L9" s="4">
        <v>36309</v>
      </c>
      <c r="M9" s="2" t="s">
        <v>1250</v>
      </c>
      <c r="N9" s="2" t="s">
        <v>1224</v>
      </c>
      <c r="O9" s="2" t="s">
        <v>13</v>
      </c>
      <c r="P9" s="3">
        <v>43852</v>
      </c>
      <c r="Q9" s="4">
        <v>397674</v>
      </c>
      <c r="R9">
        <v>570</v>
      </c>
      <c r="S9" t="str">
        <f>IF(Linked[[#This Row],[Credit Score]]&lt;=579,"Poor",IF(Linked[[#This Row],[Credit Score]]&lt;=669,"Fair",IF(Linked[[#This Row],[Credit Score]]&lt;=739,"Good",IF(Linked[[#This Row],[Credit Score]]&lt;=799,"Very Good",IF(Linked[[#This Row],[Credit Score]]&gt;=800,"Excellent")))))</f>
        <v>Poor</v>
      </c>
      <c r="T9" s="4">
        <v>0</v>
      </c>
      <c r="U9" s="2"/>
      <c r="V9" s="2"/>
      <c r="X9" s="4"/>
    </row>
    <row r="10" spans="1:26" x14ac:dyDescent="0.25">
      <c r="A10" s="2" t="s">
        <v>15</v>
      </c>
      <c r="B10" s="2" t="s">
        <v>465</v>
      </c>
      <c r="C10" s="2" t="s">
        <v>2031</v>
      </c>
      <c r="D10" s="2" t="s">
        <v>1219</v>
      </c>
      <c r="E10">
        <v>45</v>
      </c>
      <c r="F10" s="2" t="s">
        <v>1228</v>
      </c>
      <c r="G10" s="2" t="s">
        <v>1229</v>
      </c>
      <c r="H10" s="2" t="s">
        <v>1230</v>
      </c>
      <c r="I10" s="1">
        <v>43773</v>
      </c>
      <c r="J10">
        <v>2019</v>
      </c>
      <c r="K10" s="2" t="s">
        <v>2032</v>
      </c>
      <c r="L10" s="4">
        <v>36309</v>
      </c>
      <c r="M10" s="2" t="s">
        <v>1250</v>
      </c>
      <c r="N10" s="2" t="s">
        <v>1224</v>
      </c>
      <c r="O10" s="2" t="s">
        <v>10</v>
      </c>
      <c r="P10" s="3">
        <v>45597</v>
      </c>
      <c r="Q10" s="4">
        <v>266378</v>
      </c>
      <c r="R10">
        <v>634</v>
      </c>
      <c r="S10" t="str">
        <f>IF(Linked[[#This Row],[Credit Score]]&lt;=579,"Poor",IF(Linked[[#This Row],[Credit Score]]&lt;=669,"Fair",IF(Linked[[#This Row],[Credit Score]]&lt;=739,"Good",IF(Linked[[#This Row],[Credit Score]]&lt;=799,"Very Good",IF(Linked[[#This Row],[Credit Score]]&gt;=800,"Excellent")))))</f>
        <v>Fair</v>
      </c>
      <c r="T10" s="4">
        <v>0</v>
      </c>
      <c r="U10" s="2"/>
      <c r="V10" s="2"/>
      <c r="X10" s="5"/>
    </row>
    <row r="11" spans="1:26" x14ac:dyDescent="0.25">
      <c r="A11" s="2" t="s">
        <v>15</v>
      </c>
      <c r="B11" s="2" t="s">
        <v>606</v>
      </c>
      <c r="C11" s="2" t="s">
        <v>2031</v>
      </c>
      <c r="D11" s="2" t="s">
        <v>1219</v>
      </c>
      <c r="E11">
        <v>45</v>
      </c>
      <c r="F11" s="2" t="s">
        <v>1228</v>
      </c>
      <c r="G11" s="2" t="s">
        <v>1229</v>
      </c>
      <c r="H11" s="2" t="s">
        <v>1230</v>
      </c>
      <c r="I11" s="1">
        <v>43773</v>
      </c>
      <c r="J11">
        <v>2019</v>
      </c>
      <c r="K11" s="2" t="s">
        <v>2032</v>
      </c>
      <c r="L11" s="4">
        <v>36309</v>
      </c>
      <c r="M11" s="2" t="s">
        <v>1250</v>
      </c>
      <c r="N11" s="2" t="s">
        <v>1224</v>
      </c>
      <c r="O11" s="2" t="s">
        <v>13</v>
      </c>
      <c r="P11" s="3">
        <v>43800</v>
      </c>
      <c r="Q11" s="4">
        <v>282140</v>
      </c>
      <c r="R11">
        <v>756</v>
      </c>
      <c r="S11" t="str">
        <f>IF(Linked[[#This Row],[Credit Score]]&lt;=579,"Poor",IF(Linked[[#This Row],[Credit Score]]&lt;=669,"Fair",IF(Linked[[#This Row],[Credit Score]]&lt;=739,"Good",IF(Linked[[#This Row],[Credit Score]]&lt;=799,"Very Good",IF(Linked[[#This Row],[Credit Score]]&gt;=800,"Excellent")))))</f>
        <v>Very Good</v>
      </c>
      <c r="T11" s="4">
        <v>0</v>
      </c>
      <c r="U11" s="2" t="s">
        <v>39</v>
      </c>
      <c r="V11" s="2"/>
    </row>
    <row r="12" spans="1:26" x14ac:dyDescent="0.25">
      <c r="A12" s="2" t="s">
        <v>17</v>
      </c>
      <c r="B12" s="2" t="s">
        <v>16</v>
      </c>
      <c r="C12" s="2" t="s">
        <v>1701</v>
      </c>
      <c r="D12" s="2" t="s">
        <v>1219</v>
      </c>
      <c r="E12">
        <v>34</v>
      </c>
      <c r="F12" s="2" t="s">
        <v>1220</v>
      </c>
      <c r="G12" s="2" t="s">
        <v>1221</v>
      </c>
      <c r="H12" s="2" t="s">
        <v>1222</v>
      </c>
      <c r="I12" s="1">
        <v>43881</v>
      </c>
      <c r="J12">
        <v>2020</v>
      </c>
      <c r="K12" s="2" t="s">
        <v>1702</v>
      </c>
      <c r="L12" s="4">
        <v>148386</v>
      </c>
      <c r="M12" s="2" t="s">
        <v>1223</v>
      </c>
      <c r="N12" s="2" t="s">
        <v>1231</v>
      </c>
      <c r="O12" s="2" t="s">
        <v>13</v>
      </c>
      <c r="P12" s="3">
        <v>44837</v>
      </c>
      <c r="Q12" s="4">
        <v>63610</v>
      </c>
      <c r="R12">
        <v>802</v>
      </c>
      <c r="S12" t="str">
        <f>IF(Linked[[#This Row],[Credit Score]]&lt;=579,"Poor",IF(Linked[[#This Row],[Credit Score]]&lt;=669,"Fair",IF(Linked[[#This Row],[Credit Score]]&lt;=739,"Good",IF(Linked[[#This Row],[Credit Score]]&lt;=799,"Very Good",IF(Linked[[#This Row],[Credit Score]]&gt;=800,"Excellent")))))</f>
        <v>Excellent</v>
      </c>
      <c r="T12" s="4">
        <v>401875</v>
      </c>
      <c r="U12" s="2" t="s">
        <v>18</v>
      </c>
      <c r="V12" s="2"/>
      <c r="X12" s="5"/>
    </row>
    <row r="13" spans="1:26" x14ac:dyDescent="0.25">
      <c r="A13" s="2" t="s">
        <v>17</v>
      </c>
      <c r="B13" s="2" t="s">
        <v>679</v>
      </c>
      <c r="C13" s="2" t="s">
        <v>1701</v>
      </c>
      <c r="D13" s="2" t="s">
        <v>1219</v>
      </c>
      <c r="E13">
        <v>34</v>
      </c>
      <c r="F13" s="2" t="s">
        <v>1220</v>
      </c>
      <c r="G13" s="2" t="s">
        <v>1221</v>
      </c>
      <c r="H13" s="2" t="s">
        <v>1222</v>
      </c>
      <c r="I13" s="1">
        <v>43881</v>
      </c>
      <c r="J13">
        <v>2020</v>
      </c>
      <c r="K13" s="2" t="s">
        <v>1702</v>
      </c>
      <c r="L13" s="4">
        <v>148386</v>
      </c>
      <c r="M13" s="2" t="s">
        <v>1223</v>
      </c>
      <c r="N13" s="2" t="s">
        <v>1231</v>
      </c>
      <c r="O13" s="2" t="s">
        <v>25</v>
      </c>
      <c r="P13" s="3">
        <v>45320</v>
      </c>
      <c r="Q13" s="4">
        <v>232654</v>
      </c>
      <c r="R13">
        <v>633</v>
      </c>
      <c r="S13" t="str">
        <f>IF(Linked[[#This Row],[Credit Score]]&lt;=579,"Poor",IF(Linked[[#This Row],[Credit Score]]&lt;=669,"Fair",IF(Linked[[#This Row],[Credit Score]]&lt;=739,"Good",IF(Linked[[#This Row],[Credit Score]]&lt;=799,"Very Good",IF(Linked[[#This Row],[Credit Score]]&gt;=800,"Excellent")))))</f>
        <v>Fair</v>
      </c>
      <c r="T13" s="4">
        <v>0</v>
      </c>
      <c r="U13" s="2"/>
      <c r="V13" s="2"/>
      <c r="X13" s="5"/>
    </row>
    <row r="14" spans="1:26" x14ac:dyDescent="0.25">
      <c r="A14" s="2" t="s">
        <v>784</v>
      </c>
      <c r="B14" s="2" t="s">
        <v>783</v>
      </c>
      <c r="C14" s="2" t="s">
        <v>1238</v>
      </c>
      <c r="D14" s="2" t="s">
        <v>1219</v>
      </c>
      <c r="E14">
        <v>50</v>
      </c>
      <c r="F14" s="2" t="s">
        <v>1228</v>
      </c>
      <c r="G14" s="2" t="s">
        <v>1221</v>
      </c>
      <c r="H14" s="2" t="s">
        <v>1239</v>
      </c>
      <c r="I14" s="1">
        <v>44494</v>
      </c>
      <c r="J14">
        <v>2021</v>
      </c>
      <c r="K14" s="2" t="s">
        <v>1240</v>
      </c>
      <c r="L14" s="4">
        <v>142744</v>
      </c>
      <c r="M14" s="2" t="s">
        <v>1223</v>
      </c>
      <c r="N14" s="2" t="s">
        <v>1224</v>
      </c>
      <c r="O14" s="2" t="s">
        <v>10</v>
      </c>
      <c r="P14" s="3">
        <v>42867</v>
      </c>
      <c r="Q14" s="4">
        <v>128216</v>
      </c>
      <c r="R14">
        <v>849</v>
      </c>
      <c r="S14" t="str">
        <f>IF(Linked[[#This Row],[Credit Score]]&lt;=579,"Poor",IF(Linked[[#This Row],[Credit Score]]&lt;=669,"Fair",IF(Linked[[#This Row],[Credit Score]]&lt;=739,"Good",IF(Linked[[#This Row],[Credit Score]]&lt;=799,"Very Good",IF(Linked[[#This Row],[Credit Score]]&gt;=800,"Excellent")))))</f>
        <v>Excellent</v>
      </c>
      <c r="T14" s="4">
        <v>0</v>
      </c>
      <c r="U14" s="2"/>
      <c r="V14" s="2"/>
    </row>
    <row r="15" spans="1:26" x14ac:dyDescent="0.25">
      <c r="A15" s="2" t="s">
        <v>20</v>
      </c>
      <c r="B15" s="2" t="s">
        <v>19</v>
      </c>
      <c r="C15" s="2" t="s">
        <v>2118</v>
      </c>
      <c r="D15" s="2" t="s">
        <v>1227</v>
      </c>
      <c r="E15">
        <v>28</v>
      </c>
      <c r="F15" s="2" t="s">
        <v>1242</v>
      </c>
      <c r="G15" s="2" t="s">
        <v>1229</v>
      </c>
      <c r="H15" s="2" t="s">
        <v>1259</v>
      </c>
      <c r="I15" s="1">
        <v>44902</v>
      </c>
      <c r="J15">
        <v>2022</v>
      </c>
      <c r="K15" s="2" t="s">
        <v>2119</v>
      </c>
      <c r="L15" s="4">
        <v>39975</v>
      </c>
      <c r="M15" s="2" t="s">
        <v>1250</v>
      </c>
      <c r="N15" s="2" t="s">
        <v>1231</v>
      </c>
      <c r="O15" s="2" t="s">
        <v>13</v>
      </c>
      <c r="P15" s="3">
        <v>44039</v>
      </c>
      <c r="Q15" s="4">
        <v>70843</v>
      </c>
      <c r="R15">
        <v>824</v>
      </c>
      <c r="S15" t="str">
        <f>IF(Linked[[#This Row],[Credit Score]]&lt;=579,"Poor",IF(Linked[[#This Row],[Credit Score]]&lt;=669,"Fair",IF(Linked[[#This Row],[Credit Score]]&lt;=739,"Good",IF(Linked[[#This Row],[Credit Score]]&lt;=799,"Very Good",IF(Linked[[#This Row],[Credit Score]]&gt;=800,"Excellent")))))</f>
        <v>Excellent</v>
      </c>
      <c r="T15" s="4">
        <v>458505</v>
      </c>
      <c r="U15" s="2"/>
      <c r="V15" s="2"/>
      <c r="X15" s="5"/>
    </row>
    <row r="16" spans="1:26" x14ac:dyDescent="0.25">
      <c r="A16" s="2" t="s">
        <v>408</v>
      </c>
      <c r="B16" s="2" t="s">
        <v>407</v>
      </c>
      <c r="C16" s="2" t="s">
        <v>1241</v>
      </c>
      <c r="D16" s="2" t="s">
        <v>1219</v>
      </c>
      <c r="E16">
        <v>20</v>
      </c>
      <c r="F16" s="2" t="s">
        <v>1242</v>
      </c>
      <c r="G16" s="2" t="s">
        <v>1243</v>
      </c>
      <c r="H16" s="2" t="s">
        <v>1244</v>
      </c>
      <c r="I16" s="1">
        <v>43309</v>
      </c>
      <c r="J16">
        <v>2018</v>
      </c>
      <c r="K16" s="2" t="s">
        <v>1246</v>
      </c>
      <c r="L16" s="4">
        <v>109431</v>
      </c>
      <c r="M16" s="2" t="s">
        <v>1245</v>
      </c>
      <c r="N16" s="2" t="s">
        <v>1231</v>
      </c>
      <c r="O16" s="2" t="s">
        <v>10</v>
      </c>
      <c r="P16" s="3">
        <v>42503</v>
      </c>
      <c r="Q16" s="4">
        <v>163202</v>
      </c>
      <c r="R16">
        <v>491</v>
      </c>
      <c r="S16" t="str">
        <f>IF(Linked[[#This Row],[Credit Score]]&lt;=579,"Poor",IF(Linked[[#This Row],[Credit Score]]&lt;=669,"Fair",IF(Linked[[#This Row],[Credit Score]]&lt;=739,"Good",IF(Linked[[#This Row],[Credit Score]]&lt;=799,"Very Good",IF(Linked[[#This Row],[Credit Score]]&gt;=800,"Excellent")))))</f>
        <v>Poor</v>
      </c>
      <c r="T16" s="4">
        <v>0</v>
      </c>
      <c r="U16" s="2"/>
      <c r="V16" s="2"/>
      <c r="X16" s="6"/>
    </row>
    <row r="17" spans="1:24" x14ac:dyDescent="0.25">
      <c r="A17" s="2" t="s">
        <v>22</v>
      </c>
      <c r="B17" s="2" t="s">
        <v>21</v>
      </c>
      <c r="C17" s="2" t="s">
        <v>1571</v>
      </c>
      <c r="D17" s="2" t="s">
        <v>1219</v>
      </c>
      <c r="E17">
        <v>38</v>
      </c>
      <c r="F17" s="2" t="s">
        <v>1220</v>
      </c>
      <c r="G17" s="2" t="s">
        <v>1229</v>
      </c>
      <c r="H17" s="2" t="s">
        <v>1259</v>
      </c>
      <c r="I17" s="1">
        <v>43409</v>
      </c>
      <c r="J17">
        <v>2018</v>
      </c>
      <c r="K17" s="2" t="s">
        <v>1572</v>
      </c>
      <c r="L17" s="4">
        <v>177732</v>
      </c>
      <c r="M17" s="2" t="s">
        <v>1223</v>
      </c>
      <c r="N17" s="2" t="s">
        <v>1231</v>
      </c>
      <c r="O17" s="2" t="s">
        <v>10</v>
      </c>
      <c r="P17" s="3">
        <v>44185</v>
      </c>
      <c r="Q17" s="4">
        <v>107237</v>
      </c>
      <c r="R17">
        <v>331</v>
      </c>
      <c r="S17" t="str">
        <f>IF(Linked[[#This Row],[Credit Score]]&lt;=579,"Poor",IF(Linked[[#This Row],[Credit Score]]&lt;=669,"Fair",IF(Linked[[#This Row],[Credit Score]]&lt;=739,"Good",IF(Linked[[#This Row],[Credit Score]]&lt;=799,"Very Good",IF(Linked[[#This Row],[Credit Score]]&gt;=800,"Excellent")))))</f>
        <v>Poor</v>
      </c>
      <c r="T17" s="4">
        <v>163666</v>
      </c>
      <c r="U17" s="2"/>
      <c r="V17" s="2"/>
      <c r="X17" s="6"/>
    </row>
    <row r="18" spans="1:24" x14ac:dyDescent="0.25">
      <c r="A18" s="2" t="s">
        <v>22</v>
      </c>
      <c r="B18" s="2" t="s">
        <v>222</v>
      </c>
      <c r="C18" s="2" t="s">
        <v>1571</v>
      </c>
      <c r="D18" s="2" t="s">
        <v>1219</v>
      </c>
      <c r="E18">
        <v>38</v>
      </c>
      <c r="F18" s="2" t="s">
        <v>1220</v>
      </c>
      <c r="G18" s="2" t="s">
        <v>1229</v>
      </c>
      <c r="H18" s="2" t="s">
        <v>1259</v>
      </c>
      <c r="I18" s="1">
        <v>43409</v>
      </c>
      <c r="J18">
        <v>2018</v>
      </c>
      <c r="K18" s="2" t="s">
        <v>1572</v>
      </c>
      <c r="L18" s="4">
        <v>177732</v>
      </c>
      <c r="M18" s="2" t="s">
        <v>1223</v>
      </c>
      <c r="N18" s="2" t="s">
        <v>1231</v>
      </c>
      <c r="O18" s="2" t="s">
        <v>25</v>
      </c>
      <c r="P18" s="3">
        <v>43077</v>
      </c>
      <c r="Q18" s="4">
        <v>375197</v>
      </c>
      <c r="R18">
        <v>567</v>
      </c>
      <c r="S18" t="str">
        <f>IF(Linked[[#This Row],[Credit Score]]&lt;=579,"Poor",IF(Linked[[#This Row],[Credit Score]]&lt;=669,"Fair",IF(Linked[[#This Row],[Credit Score]]&lt;=739,"Good",IF(Linked[[#This Row],[Credit Score]]&lt;=799,"Very Good",IF(Linked[[#This Row],[Credit Score]]&gt;=800,"Excellent")))))</f>
        <v>Poor</v>
      </c>
      <c r="T18" s="4">
        <v>0</v>
      </c>
      <c r="U18" s="2"/>
      <c r="V18" s="2"/>
      <c r="X18" s="4"/>
    </row>
    <row r="19" spans="1:24" x14ac:dyDescent="0.25">
      <c r="A19" s="2" t="s">
        <v>22</v>
      </c>
      <c r="B19" s="2" t="s">
        <v>374</v>
      </c>
      <c r="C19" s="2" t="s">
        <v>1571</v>
      </c>
      <c r="D19" s="2" t="s">
        <v>1219</v>
      </c>
      <c r="E19">
        <v>38</v>
      </c>
      <c r="F19" s="2" t="s">
        <v>1220</v>
      </c>
      <c r="G19" s="2" t="s">
        <v>1229</v>
      </c>
      <c r="H19" s="2" t="s">
        <v>1259</v>
      </c>
      <c r="I19" s="1">
        <v>43409</v>
      </c>
      <c r="J19">
        <v>2018</v>
      </c>
      <c r="K19" s="2" t="s">
        <v>1572</v>
      </c>
      <c r="L19" s="4">
        <v>177732</v>
      </c>
      <c r="M19" s="2" t="s">
        <v>1223</v>
      </c>
      <c r="N19" s="2" t="s">
        <v>1231</v>
      </c>
      <c r="O19" s="2" t="s">
        <v>10</v>
      </c>
      <c r="P19" s="3">
        <v>45602</v>
      </c>
      <c r="Q19" s="4">
        <v>333840</v>
      </c>
      <c r="R19">
        <v>428</v>
      </c>
      <c r="S19" t="str">
        <f>IF(Linked[[#This Row],[Credit Score]]&lt;=579,"Poor",IF(Linked[[#This Row],[Credit Score]]&lt;=669,"Fair",IF(Linked[[#This Row],[Credit Score]]&lt;=739,"Good",IF(Linked[[#This Row],[Credit Score]]&lt;=799,"Very Good",IF(Linked[[#This Row],[Credit Score]]&gt;=800,"Excellent")))))</f>
        <v>Poor</v>
      </c>
      <c r="T19" s="4">
        <v>0</v>
      </c>
      <c r="U19" s="2"/>
      <c r="V19" s="2"/>
      <c r="X19" s="4"/>
    </row>
    <row r="20" spans="1:24" x14ac:dyDescent="0.25">
      <c r="A20" s="2" t="s">
        <v>24</v>
      </c>
      <c r="B20" s="2" t="s">
        <v>23</v>
      </c>
      <c r="C20" s="2" t="s">
        <v>1479</v>
      </c>
      <c r="D20" s="2" t="s">
        <v>1227</v>
      </c>
      <c r="E20">
        <v>29</v>
      </c>
      <c r="F20" s="2" t="s">
        <v>1220</v>
      </c>
      <c r="G20" s="2" t="s">
        <v>1221</v>
      </c>
      <c r="H20" s="2" t="s">
        <v>1253</v>
      </c>
      <c r="I20" s="1">
        <v>44077</v>
      </c>
      <c r="J20">
        <v>2020</v>
      </c>
      <c r="K20" s="2" t="s">
        <v>1480</v>
      </c>
      <c r="L20" s="4">
        <v>131785</v>
      </c>
      <c r="M20" s="2" t="s">
        <v>1245</v>
      </c>
      <c r="N20" s="2" t="s">
        <v>1231</v>
      </c>
      <c r="O20" s="2" t="s">
        <v>25</v>
      </c>
      <c r="P20" s="3">
        <v>44160</v>
      </c>
      <c r="Q20" s="4">
        <v>477177</v>
      </c>
      <c r="R20">
        <v>692</v>
      </c>
      <c r="S20" t="str">
        <f>IF(Linked[[#This Row],[Credit Score]]&lt;=579,"Poor",IF(Linked[[#This Row],[Credit Score]]&lt;=669,"Fair",IF(Linked[[#This Row],[Credit Score]]&lt;=739,"Good",IF(Linked[[#This Row],[Credit Score]]&lt;=799,"Very Good",IF(Linked[[#This Row],[Credit Score]]&gt;=800,"Excellent")))))</f>
        <v>Good</v>
      </c>
      <c r="T20" s="4">
        <v>120819</v>
      </c>
      <c r="U20" s="2"/>
      <c r="V20" s="2"/>
    </row>
    <row r="21" spans="1:24" x14ac:dyDescent="0.25">
      <c r="A21" s="2" t="s">
        <v>24</v>
      </c>
      <c r="B21" s="2" t="s">
        <v>625</v>
      </c>
      <c r="C21" s="2" t="s">
        <v>1479</v>
      </c>
      <c r="D21" s="2" t="s">
        <v>1227</v>
      </c>
      <c r="E21">
        <v>29</v>
      </c>
      <c r="F21" s="2" t="s">
        <v>1220</v>
      </c>
      <c r="G21" s="2" t="s">
        <v>1221</v>
      </c>
      <c r="H21" s="2" t="s">
        <v>1253</v>
      </c>
      <c r="I21" s="1">
        <v>44077</v>
      </c>
      <c r="J21">
        <v>2020</v>
      </c>
      <c r="K21" s="2" t="s">
        <v>1480</v>
      </c>
      <c r="L21" s="4">
        <v>131785</v>
      </c>
      <c r="M21" s="2" t="s">
        <v>1245</v>
      </c>
      <c r="N21" s="2" t="s">
        <v>1231</v>
      </c>
      <c r="O21" s="2" t="s">
        <v>25</v>
      </c>
      <c r="P21" s="3">
        <v>43869</v>
      </c>
      <c r="Q21" s="4">
        <v>207574</v>
      </c>
      <c r="R21">
        <v>803</v>
      </c>
      <c r="S21" t="str">
        <f>IF(Linked[[#This Row],[Credit Score]]&lt;=579,"Poor",IF(Linked[[#This Row],[Credit Score]]&lt;=669,"Fair",IF(Linked[[#This Row],[Credit Score]]&lt;=739,"Good",IF(Linked[[#This Row],[Credit Score]]&lt;=799,"Very Good",IF(Linked[[#This Row],[Credit Score]]&gt;=800,"Excellent")))))</f>
        <v>Excellent</v>
      </c>
      <c r="T21" s="4">
        <v>0</v>
      </c>
      <c r="U21" s="2"/>
      <c r="V21" s="2"/>
    </row>
    <row r="22" spans="1:24" x14ac:dyDescent="0.25">
      <c r="A22" s="2" t="s">
        <v>294</v>
      </c>
      <c r="B22" s="2" t="s">
        <v>293</v>
      </c>
      <c r="C22" s="2" t="s">
        <v>1252</v>
      </c>
      <c r="D22" s="2" t="s">
        <v>1219</v>
      </c>
      <c r="E22">
        <v>42</v>
      </c>
      <c r="F22" s="2" t="s">
        <v>1220</v>
      </c>
      <c r="G22" s="2" t="s">
        <v>1221</v>
      </c>
      <c r="H22" s="2" t="s">
        <v>1253</v>
      </c>
      <c r="I22" s="1">
        <v>43026</v>
      </c>
      <c r="J22">
        <v>2017</v>
      </c>
      <c r="K22" s="2" t="s">
        <v>1254</v>
      </c>
      <c r="L22" s="4">
        <v>87364</v>
      </c>
      <c r="M22" s="2" t="s">
        <v>1245</v>
      </c>
      <c r="N22" s="2" t="s">
        <v>1231</v>
      </c>
      <c r="O22" s="2" t="s">
        <v>25</v>
      </c>
      <c r="P22" s="3">
        <v>44895</v>
      </c>
      <c r="Q22" s="4">
        <v>439529</v>
      </c>
      <c r="R22">
        <v>587</v>
      </c>
      <c r="S22" t="str">
        <f>IF(Linked[[#This Row],[Credit Score]]&lt;=579,"Poor",IF(Linked[[#This Row],[Credit Score]]&lt;=669,"Fair",IF(Linked[[#This Row],[Credit Score]]&lt;=739,"Good",IF(Linked[[#This Row],[Credit Score]]&lt;=799,"Very Good",IF(Linked[[#This Row],[Credit Score]]&gt;=800,"Excellent")))))</f>
        <v>Fair</v>
      </c>
      <c r="T22" s="4">
        <v>0</v>
      </c>
      <c r="U22" s="2"/>
      <c r="V22" s="2"/>
    </row>
    <row r="23" spans="1:24" x14ac:dyDescent="0.25">
      <c r="A23" s="2" t="s">
        <v>27</v>
      </c>
      <c r="B23" s="2" t="s">
        <v>26</v>
      </c>
      <c r="C23" s="2" t="s">
        <v>1408</v>
      </c>
      <c r="D23" s="2" t="s">
        <v>1227</v>
      </c>
      <c r="E23">
        <v>70</v>
      </c>
      <c r="F23" s="2" t="s">
        <v>1263</v>
      </c>
      <c r="G23" s="2" t="s">
        <v>1243</v>
      </c>
      <c r="H23" s="2" t="s">
        <v>1230</v>
      </c>
      <c r="I23" s="1">
        <v>42917</v>
      </c>
      <c r="J23">
        <v>2017</v>
      </c>
      <c r="K23" s="2" t="s">
        <v>1409</v>
      </c>
      <c r="L23" s="4">
        <v>172826</v>
      </c>
      <c r="M23" s="2" t="s">
        <v>1223</v>
      </c>
      <c r="N23" s="2" t="s">
        <v>1224</v>
      </c>
      <c r="O23" s="2" t="s">
        <v>10</v>
      </c>
      <c r="P23" s="3">
        <v>45487</v>
      </c>
      <c r="Q23" s="4">
        <v>180903</v>
      </c>
      <c r="R23">
        <v>339</v>
      </c>
      <c r="S23" t="str">
        <f>IF(Linked[[#This Row],[Credit Score]]&lt;=579,"Poor",IF(Linked[[#This Row],[Credit Score]]&lt;=669,"Fair",IF(Linked[[#This Row],[Credit Score]]&lt;=739,"Good",IF(Linked[[#This Row],[Credit Score]]&lt;=799,"Very Good",IF(Linked[[#This Row],[Credit Score]]&gt;=800,"Excellent")))))</f>
        <v>Poor</v>
      </c>
      <c r="T23" s="4">
        <v>0</v>
      </c>
      <c r="U23" s="2"/>
      <c r="V23" s="2"/>
    </row>
    <row r="24" spans="1:24" x14ac:dyDescent="0.25">
      <c r="A24" s="2" t="s">
        <v>27</v>
      </c>
      <c r="B24" s="2" t="s">
        <v>431</v>
      </c>
      <c r="C24" s="2" t="s">
        <v>1408</v>
      </c>
      <c r="D24" s="2" t="s">
        <v>1227</v>
      </c>
      <c r="E24">
        <v>70</v>
      </c>
      <c r="F24" s="2" t="s">
        <v>1263</v>
      </c>
      <c r="G24" s="2" t="s">
        <v>1243</v>
      </c>
      <c r="H24" s="2" t="s">
        <v>1230</v>
      </c>
      <c r="I24" s="1">
        <v>42917</v>
      </c>
      <c r="J24">
        <v>2017</v>
      </c>
      <c r="K24" s="2" t="s">
        <v>1409</v>
      </c>
      <c r="L24" s="4">
        <v>172826</v>
      </c>
      <c r="M24" s="2" t="s">
        <v>1223</v>
      </c>
      <c r="N24" s="2" t="s">
        <v>1224</v>
      </c>
      <c r="O24" s="2" t="s">
        <v>10</v>
      </c>
      <c r="P24" s="3">
        <v>42353</v>
      </c>
      <c r="Q24" s="4">
        <v>249664</v>
      </c>
      <c r="R24">
        <v>536</v>
      </c>
      <c r="S24" t="str">
        <f>IF(Linked[[#This Row],[Credit Score]]&lt;=579,"Poor",IF(Linked[[#This Row],[Credit Score]]&lt;=669,"Fair",IF(Linked[[#This Row],[Credit Score]]&lt;=739,"Good",IF(Linked[[#This Row],[Credit Score]]&lt;=799,"Very Good",IF(Linked[[#This Row],[Credit Score]]&gt;=800,"Excellent")))))</f>
        <v>Poor</v>
      </c>
      <c r="T24" s="4">
        <v>0</v>
      </c>
      <c r="U24" s="2"/>
      <c r="V24" s="2"/>
    </row>
    <row r="25" spans="1:24" x14ac:dyDescent="0.25">
      <c r="A25" s="2" t="s">
        <v>27</v>
      </c>
      <c r="B25" s="2" t="s">
        <v>703</v>
      </c>
      <c r="C25" s="2" t="s">
        <v>1408</v>
      </c>
      <c r="D25" s="2" t="s">
        <v>1227</v>
      </c>
      <c r="E25">
        <v>70</v>
      </c>
      <c r="F25" s="2" t="s">
        <v>1263</v>
      </c>
      <c r="G25" s="2" t="s">
        <v>1243</v>
      </c>
      <c r="H25" s="2" t="s">
        <v>1230</v>
      </c>
      <c r="I25" s="1">
        <v>42917</v>
      </c>
      <c r="J25">
        <v>2017</v>
      </c>
      <c r="K25" s="2" t="s">
        <v>1409</v>
      </c>
      <c r="L25" s="4">
        <v>172826</v>
      </c>
      <c r="M25" s="2" t="s">
        <v>1223</v>
      </c>
      <c r="N25" s="2" t="s">
        <v>1224</v>
      </c>
      <c r="O25" s="2" t="s">
        <v>10</v>
      </c>
      <c r="P25" s="3">
        <v>44267</v>
      </c>
      <c r="Q25" s="4">
        <v>112701</v>
      </c>
      <c r="R25">
        <v>540</v>
      </c>
      <c r="S25" t="str">
        <f>IF(Linked[[#This Row],[Credit Score]]&lt;=579,"Poor",IF(Linked[[#This Row],[Credit Score]]&lt;=669,"Fair",IF(Linked[[#This Row],[Credit Score]]&lt;=739,"Good",IF(Linked[[#This Row],[Credit Score]]&lt;=799,"Very Good",IF(Linked[[#This Row],[Credit Score]]&gt;=800,"Excellent")))))</f>
        <v>Poor</v>
      </c>
      <c r="T25" s="4">
        <v>0</v>
      </c>
      <c r="U25" s="2"/>
      <c r="V25" s="2"/>
    </row>
    <row r="26" spans="1:24" x14ac:dyDescent="0.25">
      <c r="A26" s="2" t="s">
        <v>542</v>
      </c>
      <c r="B26" s="2" t="s">
        <v>541</v>
      </c>
      <c r="C26" s="2" t="s">
        <v>1255</v>
      </c>
      <c r="D26" s="2" t="s">
        <v>1219</v>
      </c>
      <c r="E26">
        <v>59</v>
      </c>
      <c r="F26" s="2" t="s">
        <v>1228</v>
      </c>
      <c r="G26" s="2" t="s">
        <v>1221</v>
      </c>
      <c r="H26" s="2" t="s">
        <v>1253</v>
      </c>
      <c r="I26" s="1">
        <v>45448</v>
      </c>
      <c r="J26">
        <v>2024</v>
      </c>
      <c r="K26" s="2" t="s">
        <v>1256</v>
      </c>
      <c r="L26" s="4">
        <v>144988</v>
      </c>
      <c r="M26" s="2" t="s">
        <v>1223</v>
      </c>
      <c r="N26" s="2" t="s">
        <v>1224</v>
      </c>
      <c r="O26" s="2" t="s">
        <v>25</v>
      </c>
      <c r="P26" s="3">
        <v>44584</v>
      </c>
      <c r="Q26" s="4">
        <v>389763</v>
      </c>
      <c r="R26">
        <v>444</v>
      </c>
      <c r="S26" t="str">
        <f>IF(Linked[[#This Row],[Credit Score]]&lt;=579,"Poor",IF(Linked[[#This Row],[Credit Score]]&lt;=669,"Fair",IF(Linked[[#This Row],[Credit Score]]&lt;=739,"Good",IF(Linked[[#This Row],[Credit Score]]&lt;=799,"Very Good",IF(Linked[[#This Row],[Credit Score]]&gt;=800,"Excellent")))))</f>
        <v>Poor</v>
      </c>
      <c r="T26" s="4">
        <v>0</v>
      </c>
      <c r="U26" s="2" t="s">
        <v>59</v>
      </c>
      <c r="V26" s="2"/>
    </row>
    <row r="27" spans="1:24" x14ac:dyDescent="0.25">
      <c r="A27" s="2" t="s">
        <v>542</v>
      </c>
      <c r="B27" s="2" t="s">
        <v>591</v>
      </c>
      <c r="C27" s="2" t="s">
        <v>1255</v>
      </c>
      <c r="D27" s="2" t="s">
        <v>1219</v>
      </c>
      <c r="E27">
        <v>59</v>
      </c>
      <c r="F27" s="2" t="s">
        <v>1228</v>
      </c>
      <c r="G27" s="2" t="s">
        <v>1221</v>
      </c>
      <c r="H27" s="2" t="s">
        <v>1253</v>
      </c>
      <c r="I27" s="1">
        <v>45448</v>
      </c>
      <c r="J27">
        <v>2024</v>
      </c>
      <c r="K27" s="2" t="s">
        <v>1256</v>
      </c>
      <c r="L27" s="4">
        <v>144988</v>
      </c>
      <c r="M27" s="2" t="s">
        <v>1223</v>
      </c>
      <c r="N27" s="2" t="s">
        <v>1224</v>
      </c>
      <c r="O27" s="2" t="s">
        <v>25</v>
      </c>
      <c r="P27" s="3">
        <v>44887</v>
      </c>
      <c r="Q27" s="4">
        <v>101158</v>
      </c>
      <c r="R27">
        <v>472</v>
      </c>
      <c r="S27" t="str">
        <f>IF(Linked[[#This Row],[Credit Score]]&lt;=579,"Poor",IF(Linked[[#This Row],[Credit Score]]&lt;=669,"Fair",IF(Linked[[#This Row],[Credit Score]]&lt;=739,"Good",IF(Linked[[#This Row],[Credit Score]]&lt;=799,"Very Good",IF(Linked[[#This Row],[Credit Score]]&gt;=800,"Excellent")))))</f>
        <v>Poor</v>
      </c>
      <c r="T27" s="4">
        <v>0</v>
      </c>
      <c r="U27" s="2"/>
      <c r="V27" s="2"/>
    </row>
    <row r="28" spans="1:24" x14ac:dyDescent="0.25">
      <c r="A28" s="2" t="s">
        <v>29</v>
      </c>
      <c r="B28" s="2" t="s">
        <v>28</v>
      </c>
      <c r="C28" s="2" t="s">
        <v>1311</v>
      </c>
      <c r="D28" s="2" t="s">
        <v>1227</v>
      </c>
      <c r="E28">
        <v>71</v>
      </c>
      <c r="F28" s="2" t="s">
        <v>1263</v>
      </c>
      <c r="G28" s="2" t="s">
        <v>1249</v>
      </c>
      <c r="H28" s="2" t="s">
        <v>1244</v>
      </c>
      <c r="I28" s="1">
        <v>44109</v>
      </c>
      <c r="J28">
        <v>2020</v>
      </c>
      <c r="K28" s="2" t="s">
        <v>1312</v>
      </c>
      <c r="L28" s="4">
        <v>165271</v>
      </c>
      <c r="M28" s="2" t="s">
        <v>1223</v>
      </c>
      <c r="N28" s="2" t="s">
        <v>1224</v>
      </c>
      <c r="O28" s="2" t="s">
        <v>25</v>
      </c>
      <c r="P28" s="3">
        <v>42340</v>
      </c>
      <c r="Q28" s="4">
        <v>174499</v>
      </c>
      <c r="R28">
        <v>517</v>
      </c>
      <c r="S28" t="str">
        <f>IF(Linked[[#This Row],[Credit Score]]&lt;=579,"Poor",IF(Linked[[#This Row],[Credit Score]]&lt;=669,"Fair",IF(Linked[[#This Row],[Credit Score]]&lt;=739,"Good",IF(Linked[[#This Row],[Credit Score]]&lt;=799,"Very Good",IF(Linked[[#This Row],[Credit Score]]&gt;=800,"Excellent")))))</f>
        <v>Poor</v>
      </c>
      <c r="T28" s="4">
        <v>0</v>
      </c>
      <c r="U28" s="2"/>
      <c r="V28" s="2"/>
    </row>
    <row r="29" spans="1:24" x14ac:dyDescent="0.25">
      <c r="A29" s="2" t="s">
        <v>31</v>
      </c>
      <c r="B29" s="2" t="s">
        <v>30</v>
      </c>
      <c r="C29" s="2" t="s">
        <v>1921</v>
      </c>
      <c r="D29" s="2" t="s">
        <v>1219</v>
      </c>
      <c r="E29">
        <v>34</v>
      </c>
      <c r="F29" s="2" t="s">
        <v>1220</v>
      </c>
      <c r="G29" s="2" t="s">
        <v>1243</v>
      </c>
      <c r="H29" s="2" t="s">
        <v>1222</v>
      </c>
      <c r="I29" s="1">
        <v>44714</v>
      </c>
      <c r="J29">
        <v>2022</v>
      </c>
      <c r="K29" s="2" t="s">
        <v>1922</v>
      </c>
      <c r="L29" s="4">
        <v>145150</v>
      </c>
      <c r="M29" s="2" t="s">
        <v>1223</v>
      </c>
      <c r="N29" s="2" t="s">
        <v>1224</v>
      </c>
      <c r="O29" s="2" t="s">
        <v>32</v>
      </c>
      <c r="P29" s="3">
        <v>45493</v>
      </c>
      <c r="Q29" s="4">
        <v>487025</v>
      </c>
      <c r="R29">
        <v>381</v>
      </c>
      <c r="S29" t="str">
        <f>IF(Linked[[#This Row],[Credit Score]]&lt;=579,"Poor",IF(Linked[[#This Row],[Credit Score]]&lt;=669,"Fair",IF(Linked[[#This Row],[Credit Score]]&lt;=739,"Good",IF(Linked[[#This Row],[Credit Score]]&lt;=799,"Very Good",IF(Linked[[#This Row],[Credit Score]]&gt;=800,"Excellent")))))</f>
        <v>Poor</v>
      </c>
      <c r="T29" s="4">
        <v>0</v>
      </c>
      <c r="U29" s="2"/>
      <c r="V29" s="2"/>
    </row>
    <row r="30" spans="1:24" x14ac:dyDescent="0.25">
      <c r="A30" s="2" t="s">
        <v>31</v>
      </c>
      <c r="B30" s="2" t="s">
        <v>330</v>
      </c>
      <c r="C30" s="2" t="s">
        <v>1921</v>
      </c>
      <c r="D30" s="2" t="s">
        <v>1219</v>
      </c>
      <c r="E30">
        <v>34</v>
      </c>
      <c r="F30" s="2" t="s">
        <v>1220</v>
      </c>
      <c r="G30" s="2" t="s">
        <v>1243</v>
      </c>
      <c r="H30" s="2" t="s">
        <v>1222</v>
      </c>
      <c r="I30" s="1">
        <v>44714</v>
      </c>
      <c r="J30">
        <v>2022</v>
      </c>
      <c r="K30" s="2" t="s">
        <v>1922</v>
      </c>
      <c r="L30" s="4">
        <v>145150</v>
      </c>
      <c r="M30" s="2" t="s">
        <v>1223</v>
      </c>
      <c r="N30" s="2" t="s">
        <v>1224</v>
      </c>
      <c r="O30" s="2" t="s">
        <v>13</v>
      </c>
      <c r="P30" s="3">
        <v>44383</v>
      </c>
      <c r="Q30" s="4">
        <v>36320</v>
      </c>
      <c r="R30">
        <v>810</v>
      </c>
      <c r="S30" t="str">
        <f>IF(Linked[[#This Row],[Credit Score]]&lt;=579,"Poor",IF(Linked[[#This Row],[Credit Score]]&lt;=669,"Fair",IF(Linked[[#This Row],[Credit Score]]&lt;=739,"Good",IF(Linked[[#This Row],[Credit Score]]&lt;=799,"Very Good",IF(Linked[[#This Row],[Credit Score]]&gt;=800,"Excellent")))))</f>
        <v>Excellent</v>
      </c>
      <c r="T30" s="4">
        <v>0</v>
      </c>
      <c r="U30" s="2" t="s">
        <v>59</v>
      </c>
      <c r="V30" s="2"/>
    </row>
    <row r="31" spans="1:24" x14ac:dyDescent="0.25">
      <c r="A31" s="2" t="s">
        <v>31</v>
      </c>
      <c r="B31" s="2" t="s">
        <v>731</v>
      </c>
      <c r="C31" s="2" t="s">
        <v>1921</v>
      </c>
      <c r="D31" s="2" t="s">
        <v>1219</v>
      </c>
      <c r="E31">
        <v>34</v>
      </c>
      <c r="F31" s="2" t="s">
        <v>1220</v>
      </c>
      <c r="G31" s="2" t="s">
        <v>1243</v>
      </c>
      <c r="H31" s="2" t="s">
        <v>1222</v>
      </c>
      <c r="I31" s="1">
        <v>44714</v>
      </c>
      <c r="J31">
        <v>2022</v>
      </c>
      <c r="K31" s="2" t="s">
        <v>1922</v>
      </c>
      <c r="L31" s="4">
        <v>145150</v>
      </c>
      <c r="M31" s="2" t="s">
        <v>1223</v>
      </c>
      <c r="N31" s="2" t="s">
        <v>1224</v>
      </c>
      <c r="O31" s="2" t="s">
        <v>10</v>
      </c>
      <c r="P31" s="3">
        <v>44014</v>
      </c>
      <c r="Q31" s="4">
        <v>379747</v>
      </c>
      <c r="R31">
        <v>316</v>
      </c>
      <c r="S31" t="str">
        <f>IF(Linked[[#This Row],[Credit Score]]&lt;=579,"Poor",IF(Linked[[#This Row],[Credit Score]]&lt;=669,"Fair",IF(Linked[[#This Row],[Credit Score]]&lt;=739,"Good",IF(Linked[[#This Row],[Credit Score]]&lt;=799,"Very Good",IF(Linked[[#This Row],[Credit Score]]&gt;=800,"Excellent")))))</f>
        <v>Poor</v>
      </c>
      <c r="T31" s="4">
        <v>0</v>
      </c>
      <c r="U31" s="2"/>
      <c r="V31" s="2"/>
    </row>
    <row r="32" spans="1:24" x14ac:dyDescent="0.25">
      <c r="A32" s="2" t="s">
        <v>34</v>
      </c>
      <c r="B32" s="2" t="s">
        <v>33</v>
      </c>
      <c r="C32" s="2" t="s">
        <v>2277</v>
      </c>
      <c r="D32" s="2" t="s">
        <v>1227</v>
      </c>
      <c r="E32">
        <v>55</v>
      </c>
      <c r="F32" s="2" t="s">
        <v>1228</v>
      </c>
      <c r="G32" s="2" t="s">
        <v>1229</v>
      </c>
      <c r="H32" s="2" t="s">
        <v>1259</v>
      </c>
      <c r="I32" s="1">
        <v>45621</v>
      </c>
      <c r="J32">
        <v>2024</v>
      </c>
      <c r="K32" s="2" t="s">
        <v>2278</v>
      </c>
      <c r="L32" s="4">
        <v>166470</v>
      </c>
      <c r="M32" s="2" t="s">
        <v>1223</v>
      </c>
      <c r="N32" s="2" t="s">
        <v>1224</v>
      </c>
      <c r="O32" s="2" t="s">
        <v>25</v>
      </c>
      <c r="P32" s="3">
        <v>45351</v>
      </c>
      <c r="Q32" s="4">
        <v>130299</v>
      </c>
      <c r="R32">
        <v>500</v>
      </c>
      <c r="S32" t="str">
        <f>IF(Linked[[#This Row],[Credit Score]]&lt;=579,"Poor",IF(Linked[[#This Row],[Credit Score]]&lt;=669,"Fair",IF(Linked[[#This Row],[Credit Score]]&lt;=739,"Good",IF(Linked[[#This Row],[Credit Score]]&lt;=799,"Very Good",IF(Linked[[#This Row],[Credit Score]]&gt;=800,"Excellent")))))</f>
        <v>Poor</v>
      </c>
      <c r="T32" s="4">
        <v>0</v>
      </c>
      <c r="U32" s="2"/>
      <c r="V32" s="2"/>
    </row>
    <row r="33" spans="1:22" x14ac:dyDescent="0.25">
      <c r="A33" s="2" t="s">
        <v>34</v>
      </c>
      <c r="B33" s="2" t="s">
        <v>587</v>
      </c>
      <c r="C33" s="2" t="s">
        <v>2277</v>
      </c>
      <c r="D33" s="2" t="s">
        <v>1227</v>
      </c>
      <c r="E33">
        <v>55</v>
      </c>
      <c r="F33" s="2" t="s">
        <v>1228</v>
      </c>
      <c r="G33" s="2" t="s">
        <v>1229</v>
      </c>
      <c r="H33" s="2" t="s">
        <v>1259</v>
      </c>
      <c r="I33" s="1">
        <v>45621</v>
      </c>
      <c r="J33">
        <v>2024</v>
      </c>
      <c r="K33" s="2" t="s">
        <v>2278</v>
      </c>
      <c r="L33" s="4">
        <v>166470</v>
      </c>
      <c r="M33" s="2" t="s">
        <v>1223</v>
      </c>
      <c r="N33" s="2" t="s">
        <v>1224</v>
      </c>
      <c r="O33" s="2" t="s">
        <v>25</v>
      </c>
      <c r="P33" s="3">
        <v>44222</v>
      </c>
      <c r="Q33" s="4">
        <v>427876</v>
      </c>
      <c r="R33">
        <v>496</v>
      </c>
      <c r="S33" t="str">
        <f>IF(Linked[[#This Row],[Credit Score]]&lt;=579,"Poor",IF(Linked[[#This Row],[Credit Score]]&lt;=669,"Fair",IF(Linked[[#This Row],[Credit Score]]&lt;=739,"Good",IF(Linked[[#This Row],[Credit Score]]&lt;=799,"Very Good",IF(Linked[[#This Row],[Credit Score]]&gt;=800,"Excellent")))))</f>
        <v>Poor</v>
      </c>
      <c r="T33" s="4">
        <v>0</v>
      </c>
      <c r="U33" s="2"/>
      <c r="V33" s="2"/>
    </row>
    <row r="34" spans="1:22" x14ac:dyDescent="0.25">
      <c r="A34" s="2" t="s">
        <v>34</v>
      </c>
      <c r="B34" s="2" t="s">
        <v>674</v>
      </c>
      <c r="C34" s="2" t="s">
        <v>2277</v>
      </c>
      <c r="D34" s="2" t="s">
        <v>1227</v>
      </c>
      <c r="E34">
        <v>55</v>
      </c>
      <c r="F34" s="2" t="s">
        <v>1228</v>
      </c>
      <c r="G34" s="2" t="s">
        <v>1229</v>
      </c>
      <c r="H34" s="2" t="s">
        <v>1259</v>
      </c>
      <c r="I34" s="1">
        <v>45621</v>
      </c>
      <c r="J34">
        <v>2024</v>
      </c>
      <c r="K34" s="2" t="s">
        <v>2278</v>
      </c>
      <c r="L34" s="4">
        <v>166470</v>
      </c>
      <c r="M34" s="2" t="s">
        <v>1223</v>
      </c>
      <c r="N34" s="2" t="s">
        <v>1224</v>
      </c>
      <c r="O34" s="2" t="s">
        <v>25</v>
      </c>
      <c r="P34" s="3">
        <v>43220</v>
      </c>
      <c r="Q34" s="4">
        <v>434825</v>
      </c>
      <c r="R34">
        <v>613</v>
      </c>
      <c r="S34" t="str">
        <f>IF(Linked[[#This Row],[Credit Score]]&lt;=579,"Poor",IF(Linked[[#This Row],[Credit Score]]&lt;=669,"Fair",IF(Linked[[#This Row],[Credit Score]]&lt;=739,"Good",IF(Linked[[#This Row],[Credit Score]]&lt;=799,"Very Good",IF(Linked[[#This Row],[Credit Score]]&gt;=800,"Excellent")))))</f>
        <v>Fair</v>
      </c>
      <c r="T34" s="4">
        <v>0</v>
      </c>
      <c r="U34" s="2"/>
      <c r="V34" s="2"/>
    </row>
    <row r="35" spans="1:22" x14ac:dyDescent="0.25">
      <c r="A35" s="2" t="s">
        <v>36</v>
      </c>
      <c r="B35" s="2" t="s">
        <v>35</v>
      </c>
      <c r="C35" s="2" t="s">
        <v>1496</v>
      </c>
      <c r="D35" s="2" t="s">
        <v>1219</v>
      </c>
      <c r="E35">
        <v>65</v>
      </c>
      <c r="F35" s="2" t="s">
        <v>1263</v>
      </c>
      <c r="G35" s="2" t="s">
        <v>1221</v>
      </c>
      <c r="H35" s="2" t="s">
        <v>1244</v>
      </c>
      <c r="I35" s="1">
        <v>45706</v>
      </c>
      <c r="J35">
        <v>2025</v>
      </c>
      <c r="K35" s="2" t="s">
        <v>1497</v>
      </c>
      <c r="L35" s="4">
        <v>94553</v>
      </c>
      <c r="M35" s="2" t="s">
        <v>1245</v>
      </c>
      <c r="N35" s="2" t="s">
        <v>1224</v>
      </c>
      <c r="O35" s="2" t="s">
        <v>10</v>
      </c>
      <c r="P35" s="3">
        <v>44010</v>
      </c>
      <c r="Q35" s="4">
        <v>431722</v>
      </c>
      <c r="R35">
        <v>746</v>
      </c>
      <c r="S35" t="str">
        <f>IF(Linked[[#This Row],[Credit Score]]&lt;=579,"Poor",IF(Linked[[#This Row],[Credit Score]]&lt;=669,"Fair",IF(Linked[[#This Row],[Credit Score]]&lt;=739,"Good",IF(Linked[[#This Row],[Credit Score]]&lt;=799,"Very Good",IF(Linked[[#This Row],[Credit Score]]&gt;=800,"Excellent")))))</f>
        <v>Very Good</v>
      </c>
      <c r="T35" s="4">
        <v>278365</v>
      </c>
      <c r="U35" s="2"/>
      <c r="V35" s="2"/>
    </row>
    <row r="36" spans="1:22" x14ac:dyDescent="0.25">
      <c r="A36" s="2" t="s">
        <v>36</v>
      </c>
      <c r="B36" s="2" t="s">
        <v>360</v>
      </c>
      <c r="C36" s="2" t="s">
        <v>1496</v>
      </c>
      <c r="D36" s="2" t="s">
        <v>1219</v>
      </c>
      <c r="E36">
        <v>65</v>
      </c>
      <c r="F36" s="2" t="s">
        <v>1263</v>
      </c>
      <c r="G36" s="2" t="s">
        <v>1221</v>
      </c>
      <c r="H36" s="2" t="s">
        <v>1244</v>
      </c>
      <c r="I36" s="1">
        <v>45706</v>
      </c>
      <c r="J36">
        <v>2025</v>
      </c>
      <c r="K36" s="2" t="s">
        <v>1497</v>
      </c>
      <c r="L36" s="4">
        <v>94553</v>
      </c>
      <c r="M36" s="2" t="s">
        <v>1245</v>
      </c>
      <c r="N36" s="2" t="s">
        <v>1224</v>
      </c>
      <c r="O36" s="2" t="s">
        <v>13</v>
      </c>
      <c r="P36" s="3">
        <v>42688</v>
      </c>
      <c r="Q36" s="4">
        <v>422132</v>
      </c>
      <c r="R36">
        <v>650</v>
      </c>
      <c r="S36" t="str">
        <f>IF(Linked[[#This Row],[Credit Score]]&lt;=579,"Poor",IF(Linked[[#This Row],[Credit Score]]&lt;=669,"Fair",IF(Linked[[#This Row],[Credit Score]]&lt;=739,"Good",IF(Linked[[#This Row],[Credit Score]]&lt;=799,"Very Good",IF(Linked[[#This Row],[Credit Score]]&gt;=800,"Excellent")))))</f>
        <v>Fair</v>
      </c>
      <c r="T36" s="4">
        <v>0</v>
      </c>
      <c r="U36" s="2"/>
      <c r="V36" s="2"/>
    </row>
    <row r="37" spans="1:22" x14ac:dyDescent="0.25">
      <c r="A37" s="2" t="s">
        <v>36</v>
      </c>
      <c r="B37" s="2" t="s">
        <v>794</v>
      </c>
      <c r="C37" s="2" t="s">
        <v>1496</v>
      </c>
      <c r="D37" s="2" t="s">
        <v>1219</v>
      </c>
      <c r="E37">
        <v>65</v>
      </c>
      <c r="F37" s="2" t="s">
        <v>1263</v>
      </c>
      <c r="G37" s="2" t="s">
        <v>1221</v>
      </c>
      <c r="H37" s="2" t="s">
        <v>1244</v>
      </c>
      <c r="I37" s="1">
        <v>45706</v>
      </c>
      <c r="J37">
        <v>2025</v>
      </c>
      <c r="K37" s="2" t="s">
        <v>1497</v>
      </c>
      <c r="L37" s="4">
        <v>94553</v>
      </c>
      <c r="M37" s="2" t="s">
        <v>1245</v>
      </c>
      <c r="N37" s="2" t="s">
        <v>1224</v>
      </c>
      <c r="O37" s="2" t="s">
        <v>25</v>
      </c>
      <c r="P37" s="3">
        <v>42968</v>
      </c>
      <c r="Q37" s="4">
        <v>102476</v>
      </c>
      <c r="R37">
        <v>816</v>
      </c>
      <c r="S37" t="str">
        <f>IF(Linked[[#This Row],[Credit Score]]&lt;=579,"Poor",IF(Linked[[#This Row],[Credit Score]]&lt;=669,"Fair",IF(Linked[[#This Row],[Credit Score]]&lt;=739,"Good",IF(Linked[[#This Row],[Credit Score]]&lt;=799,"Very Good",IF(Linked[[#This Row],[Credit Score]]&gt;=800,"Excellent")))))</f>
        <v>Excellent</v>
      </c>
      <c r="T37" s="4">
        <v>0</v>
      </c>
      <c r="U37" s="2"/>
      <c r="V37" s="2"/>
    </row>
    <row r="38" spans="1:22" x14ac:dyDescent="0.25">
      <c r="A38" s="2" t="s">
        <v>614</v>
      </c>
      <c r="B38" s="2" t="s">
        <v>613</v>
      </c>
      <c r="C38" s="2" t="s">
        <v>1268</v>
      </c>
      <c r="D38" s="2" t="s">
        <v>1219</v>
      </c>
      <c r="E38">
        <v>57</v>
      </c>
      <c r="F38" s="2" t="s">
        <v>1228</v>
      </c>
      <c r="G38" s="2" t="s">
        <v>1243</v>
      </c>
      <c r="H38" s="2" t="s">
        <v>1230</v>
      </c>
      <c r="I38" s="1">
        <v>45280</v>
      </c>
      <c r="J38">
        <v>2023</v>
      </c>
      <c r="K38" s="2" t="s">
        <v>1269</v>
      </c>
      <c r="L38" s="4">
        <v>144343</v>
      </c>
      <c r="M38" s="2" t="s">
        <v>1223</v>
      </c>
      <c r="N38" s="2" t="s">
        <v>1231</v>
      </c>
      <c r="O38" s="2" t="s">
        <v>13</v>
      </c>
      <c r="P38" s="3">
        <v>43741</v>
      </c>
      <c r="Q38" s="4">
        <v>166782</v>
      </c>
      <c r="R38">
        <v>746</v>
      </c>
      <c r="S38" t="str">
        <f>IF(Linked[[#This Row],[Credit Score]]&lt;=579,"Poor",IF(Linked[[#This Row],[Credit Score]]&lt;=669,"Fair",IF(Linked[[#This Row],[Credit Score]]&lt;=739,"Good",IF(Linked[[#This Row],[Credit Score]]&lt;=799,"Very Good",IF(Linked[[#This Row],[Credit Score]]&gt;=800,"Excellent")))))</f>
        <v>Very Good</v>
      </c>
      <c r="T38" s="4">
        <v>0</v>
      </c>
      <c r="U38" s="2"/>
      <c r="V38" s="2"/>
    </row>
    <row r="39" spans="1:22" x14ac:dyDescent="0.25">
      <c r="A39" s="2" t="s">
        <v>38</v>
      </c>
      <c r="B39" s="2" t="s">
        <v>37</v>
      </c>
      <c r="C39" s="2" t="s">
        <v>2136</v>
      </c>
      <c r="D39" s="2" t="s">
        <v>1219</v>
      </c>
      <c r="E39">
        <v>45</v>
      </c>
      <c r="F39" s="2" t="s">
        <v>1228</v>
      </c>
      <c r="G39" s="2" t="s">
        <v>1249</v>
      </c>
      <c r="H39" s="2" t="s">
        <v>1259</v>
      </c>
      <c r="I39" s="1">
        <v>45884</v>
      </c>
      <c r="J39">
        <v>2025</v>
      </c>
      <c r="K39" s="2" t="s">
        <v>2137</v>
      </c>
      <c r="L39" s="4">
        <v>145932</v>
      </c>
      <c r="M39" s="2" t="s">
        <v>1223</v>
      </c>
      <c r="N39" s="2" t="s">
        <v>1231</v>
      </c>
      <c r="O39" s="2" t="s">
        <v>10</v>
      </c>
      <c r="P39" s="3">
        <v>45860</v>
      </c>
      <c r="Q39" s="4">
        <v>5668</v>
      </c>
      <c r="R39">
        <v>727</v>
      </c>
      <c r="S39" t="str">
        <f>IF(Linked[[#This Row],[Credit Score]]&lt;=579,"Poor",IF(Linked[[#This Row],[Credit Score]]&lt;=669,"Fair",IF(Linked[[#This Row],[Credit Score]]&lt;=739,"Good",IF(Linked[[#This Row],[Credit Score]]&lt;=799,"Very Good",IF(Linked[[#This Row],[Credit Score]]&gt;=800,"Excellent")))))</f>
        <v>Good</v>
      </c>
      <c r="T39" s="4">
        <v>0</v>
      </c>
      <c r="U39" s="2" t="s">
        <v>39</v>
      </c>
      <c r="V39" s="2"/>
    </row>
    <row r="40" spans="1:22" x14ac:dyDescent="0.25">
      <c r="A40" s="2" t="s">
        <v>41</v>
      </c>
      <c r="B40" s="2" t="s">
        <v>40</v>
      </c>
      <c r="C40" s="2" t="s">
        <v>2009</v>
      </c>
      <c r="D40" s="2" t="s">
        <v>1219</v>
      </c>
      <c r="E40">
        <v>67</v>
      </c>
      <c r="F40" s="2" t="s">
        <v>1263</v>
      </c>
      <c r="G40" s="2" t="s">
        <v>1243</v>
      </c>
      <c r="H40" s="2" t="s">
        <v>1239</v>
      </c>
      <c r="I40" s="1">
        <v>43374</v>
      </c>
      <c r="J40">
        <v>2018</v>
      </c>
      <c r="K40" s="2" t="s">
        <v>2010</v>
      </c>
      <c r="L40" s="4">
        <v>134994</v>
      </c>
      <c r="M40" s="2" t="s">
        <v>1245</v>
      </c>
      <c r="N40" s="2" t="s">
        <v>1231</v>
      </c>
      <c r="O40" s="2" t="s">
        <v>10</v>
      </c>
      <c r="P40" s="3">
        <v>44587</v>
      </c>
      <c r="Q40" s="4">
        <v>222542</v>
      </c>
      <c r="R40">
        <v>337</v>
      </c>
      <c r="S40" t="str">
        <f>IF(Linked[[#This Row],[Credit Score]]&lt;=579,"Poor",IF(Linked[[#This Row],[Credit Score]]&lt;=669,"Fair",IF(Linked[[#This Row],[Credit Score]]&lt;=739,"Good",IF(Linked[[#This Row],[Credit Score]]&lt;=799,"Very Good",IF(Linked[[#This Row],[Credit Score]]&gt;=800,"Excellent")))))</f>
        <v>Poor</v>
      </c>
      <c r="T40" s="4">
        <v>18569</v>
      </c>
      <c r="U40" s="2"/>
      <c r="V40" s="2"/>
    </row>
    <row r="41" spans="1:22" x14ac:dyDescent="0.25">
      <c r="A41" s="2" t="s">
        <v>41</v>
      </c>
      <c r="B41" s="2" t="s">
        <v>180</v>
      </c>
      <c r="C41" s="2" t="s">
        <v>2009</v>
      </c>
      <c r="D41" s="2" t="s">
        <v>1219</v>
      </c>
      <c r="E41">
        <v>67</v>
      </c>
      <c r="F41" s="2" t="s">
        <v>1263</v>
      </c>
      <c r="G41" s="2" t="s">
        <v>1243</v>
      </c>
      <c r="H41" s="2" t="s">
        <v>1239</v>
      </c>
      <c r="I41" s="1">
        <v>43374</v>
      </c>
      <c r="J41">
        <v>2018</v>
      </c>
      <c r="K41" s="2" t="s">
        <v>2010</v>
      </c>
      <c r="L41" s="4">
        <v>134994</v>
      </c>
      <c r="M41" s="2" t="s">
        <v>1245</v>
      </c>
      <c r="N41" s="2" t="s">
        <v>1231</v>
      </c>
      <c r="O41" s="2" t="s">
        <v>25</v>
      </c>
      <c r="P41" s="3">
        <v>43262</v>
      </c>
      <c r="Q41" s="4">
        <v>61753</v>
      </c>
      <c r="R41">
        <v>393</v>
      </c>
      <c r="S41" t="str">
        <f>IF(Linked[[#This Row],[Credit Score]]&lt;=579,"Poor",IF(Linked[[#This Row],[Credit Score]]&lt;=669,"Fair",IF(Linked[[#This Row],[Credit Score]]&lt;=739,"Good",IF(Linked[[#This Row],[Credit Score]]&lt;=799,"Very Good",IF(Linked[[#This Row],[Credit Score]]&gt;=800,"Excellent")))))</f>
        <v>Poor</v>
      </c>
      <c r="T41" s="4">
        <v>146835</v>
      </c>
      <c r="U41" s="2"/>
      <c r="V41" s="2"/>
    </row>
    <row r="42" spans="1:22" x14ac:dyDescent="0.25">
      <c r="A42" s="2" t="s">
        <v>43</v>
      </c>
      <c r="B42" s="2" t="s">
        <v>42</v>
      </c>
      <c r="C42" s="2" t="s">
        <v>1658</v>
      </c>
      <c r="D42" s="2" t="s">
        <v>1219</v>
      </c>
      <c r="E42">
        <v>54</v>
      </c>
      <c r="F42" s="2" t="s">
        <v>1228</v>
      </c>
      <c r="G42" s="2" t="s">
        <v>1249</v>
      </c>
      <c r="H42" s="2" t="s">
        <v>1253</v>
      </c>
      <c r="I42" s="1">
        <v>45891</v>
      </c>
      <c r="J42">
        <v>2025</v>
      </c>
      <c r="K42" s="2" t="s">
        <v>1659</v>
      </c>
      <c r="L42" s="4">
        <v>117768</v>
      </c>
      <c r="M42" s="2" t="s">
        <v>1245</v>
      </c>
      <c r="N42" s="2" t="s">
        <v>1224</v>
      </c>
      <c r="O42" s="2" t="s">
        <v>13</v>
      </c>
      <c r="P42" s="3">
        <v>45438</v>
      </c>
      <c r="Q42" s="4">
        <v>178267</v>
      </c>
      <c r="R42">
        <v>510</v>
      </c>
      <c r="S42" t="str">
        <f>IF(Linked[[#This Row],[Credit Score]]&lt;=579,"Poor",IF(Linked[[#This Row],[Credit Score]]&lt;=669,"Fair",IF(Linked[[#This Row],[Credit Score]]&lt;=739,"Good",IF(Linked[[#This Row],[Credit Score]]&lt;=799,"Very Good",IF(Linked[[#This Row],[Credit Score]]&gt;=800,"Excellent")))))</f>
        <v>Poor</v>
      </c>
      <c r="T42" s="4">
        <v>0</v>
      </c>
      <c r="U42" s="2"/>
      <c r="V42" s="2"/>
    </row>
    <row r="43" spans="1:22" x14ac:dyDescent="0.25">
      <c r="A43" s="2" t="s">
        <v>43</v>
      </c>
      <c r="B43" s="2" t="s">
        <v>177</v>
      </c>
      <c r="C43" s="2" t="s">
        <v>1658</v>
      </c>
      <c r="D43" s="2" t="s">
        <v>1219</v>
      </c>
      <c r="E43">
        <v>54</v>
      </c>
      <c r="F43" s="2" t="s">
        <v>1228</v>
      </c>
      <c r="G43" s="2" t="s">
        <v>1249</v>
      </c>
      <c r="H43" s="2" t="s">
        <v>1253</v>
      </c>
      <c r="I43" s="1">
        <v>45891</v>
      </c>
      <c r="J43">
        <v>2025</v>
      </c>
      <c r="K43" s="2" t="s">
        <v>1659</v>
      </c>
      <c r="L43" s="4">
        <v>117768</v>
      </c>
      <c r="M43" s="2" t="s">
        <v>1245</v>
      </c>
      <c r="N43" s="2" t="s">
        <v>1224</v>
      </c>
      <c r="O43" s="2" t="s">
        <v>13</v>
      </c>
      <c r="P43" s="3">
        <v>43238</v>
      </c>
      <c r="Q43" s="4">
        <v>459952</v>
      </c>
      <c r="R43">
        <v>797</v>
      </c>
      <c r="S43" t="str">
        <f>IF(Linked[[#This Row],[Credit Score]]&lt;=579,"Poor",IF(Linked[[#This Row],[Credit Score]]&lt;=669,"Fair",IF(Linked[[#This Row],[Credit Score]]&lt;=739,"Good",IF(Linked[[#This Row],[Credit Score]]&lt;=799,"Very Good",IF(Linked[[#This Row],[Credit Score]]&gt;=800,"Excellent")))))</f>
        <v>Very Good</v>
      </c>
      <c r="T43" s="4">
        <v>0</v>
      </c>
      <c r="U43" s="2" t="s">
        <v>39</v>
      </c>
      <c r="V43" s="2"/>
    </row>
    <row r="44" spans="1:22" x14ac:dyDescent="0.25">
      <c r="A44" s="2" t="s">
        <v>43</v>
      </c>
      <c r="B44" s="2" t="s">
        <v>447</v>
      </c>
      <c r="C44" s="2" t="s">
        <v>1658</v>
      </c>
      <c r="D44" s="2" t="s">
        <v>1219</v>
      </c>
      <c r="E44">
        <v>54</v>
      </c>
      <c r="F44" s="2" t="s">
        <v>1228</v>
      </c>
      <c r="G44" s="2" t="s">
        <v>1249</v>
      </c>
      <c r="H44" s="2" t="s">
        <v>1253</v>
      </c>
      <c r="I44" s="1">
        <v>45891</v>
      </c>
      <c r="J44">
        <v>2025</v>
      </c>
      <c r="K44" s="2" t="s">
        <v>1659</v>
      </c>
      <c r="L44" s="4">
        <v>117768</v>
      </c>
      <c r="M44" s="2" t="s">
        <v>1245</v>
      </c>
      <c r="N44" s="2" t="s">
        <v>1224</v>
      </c>
      <c r="O44" s="2" t="s">
        <v>25</v>
      </c>
      <c r="P44" s="3">
        <v>42655</v>
      </c>
      <c r="Q44" s="4">
        <v>465525</v>
      </c>
      <c r="R44">
        <v>756</v>
      </c>
      <c r="S44" t="str">
        <f>IF(Linked[[#This Row],[Credit Score]]&lt;=579,"Poor",IF(Linked[[#This Row],[Credit Score]]&lt;=669,"Fair",IF(Linked[[#This Row],[Credit Score]]&lt;=739,"Good",IF(Linked[[#This Row],[Credit Score]]&lt;=799,"Very Good",IF(Linked[[#This Row],[Credit Score]]&gt;=800,"Excellent")))))</f>
        <v>Very Good</v>
      </c>
      <c r="T44" s="4">
        <v>0</v>
      </c>
      <c r="U44" s="2" t="s">
        <v>39</v>
      </c>
      <c r="V44" s="2"/>
    </row>
    <row r="45" spans="1:22" x14ac:dyDescent="0.25">
      <c r="A45" s="2" t="s">
        <v>45</v>
      </c>
      <c r="B45" s="2" t="s">
        <v>44</v>
      </c>
      <c r="C45" s="2" t="s">
        <v>1285</v>
      </c>
      <c r="D45" s="2" t="s">
        <v>1227</v>
      </c>
      <c r="E45">
        <v>40</v>
      </c>
      <c r="F45" s="2" t="s">
        <v>1220</v>
      </c>
      <c r="G45" s="2" t="s">
        <v>1249</v>
      </c>
      <c r="H45" s="2" t="s">
        <v>1235</v>
      </c>
      <c r="I45" s="1">
        <v>44456</v>
      </c>
      <c r="J45">
        <v>2021</v>
      </c>
      <c r="K45" s="2" t="s">
        <v>1286</v>
      </c>
      <c r="L45" s="4">
        <v>100435</v>
      </c>
      <c r="M45" s="2" t="s">
        <v>1245</v>
      </c>
      <c r="N45" s="2" t="s">
        <v>1231</v>
      </c>
      <c r="O45" s="2" t="s">
        <v>13</v>
      </c>
      <c r="P45" s="3">
        <v>43064</v>
      </c>
      <c r="Q45" s="4">
        <v>335377</v>
      </c>
      <c r="R45">
        <v>743</v>
      </c>
      <c r="S45" t="str">
        <f>IF(Linked[[#This Row],[Credit Score]]&lt;=579,"Poor",IF(Linked[[#This Row],[Credit Score]]&lt;=669,"Fair",IF(Linked[[#This Row],[Credit Score]]&lt;=739,"Good",IF(Linked[[#This Row],[Credit Score]]&lt;=799,"Very Good",IF(Linked[[#This Row],[Credit Score]]&gt;=800,"Excellent")))))</f>
        <v>Very Good</v>
      </c>
      <c r="T45" s="4">
        <v>0</v>
      </c>
      <c r="U45" s="2"/>
      <c r="V45" s="2"/>
    </row>
    <row r="46" spans="1:22" x14ac:dyDescent="0.25">
      <c r="A46" s="2" t="s">
        <v>621</v>
      </c>
      <c r="B46" s="2" t="s">
        <v>620</v>
      </c>
      <c r="C46" s="2" t="s">
        <v>1278</v>
      </c>
      <c r="D46" s="2" t="s">
        <v>1219</v>
      </c>
      <c r="E46">
        <v>49</v>
      </c>
      <c r="F46" s="2" t="s">
        <v>1228</v>
      </c>
      <c r="G46" s="2" t="s">
        <v>1249</v>
      </c>
      <c r="H46" s="2" t="s">
        <v>1239</v>
      </c>
      <c r="I46" s="1">
        <v>43643</v>
      </c>
      <c r="J46">
        <v>2019</v>
      </c>
      <c r="K46" s="2" t="s">
        <v>1279</v>
      </c>
      <c r="L46" s="4">
        <v>54636</v>
      </c>
      <c r="M46" s="2" t="s">
        <v>1250</v>
      </c>
      <c r="N46" s="2" t="s">
        <v>1224</v>
      </c>
      <c r="O46" s="2" t="s">
        <v>10</v>
      </c>
      <c r="P46" s="3">
        <v>44388</v>
      </c>
      <c r="Q46" s="4">
        <v>470457</v>
      </c>
      <c r="R46">
        <v>687</v>
      </c>
      <c r="S46" t="str">
        <f>IF(Linked[[#This Row],[Credit Score]]&lt;=579,"Poor",IF(Linked[[#This Row],[Credit Score]]&lt;=669,"Fair",IF(Linked[[#This Row],[Credit Score]]&lt;=739,"Good",IF(Linked[[#This Row],[Credit Score]]&lt;=799,"Very Good",IF(Linked[[#This Row],[Credit Score]]&gt;=800,"Excellent")))))</f>
        <v>Good</v>
      </c>
      <c r="T46" s="4">
        <v>0</v>
      </c>
      <c r="U46" s="2"/>
      <c r="V46" s="2"/>
    </row>
    <row r="47" spans="1:22" x14ac:dyDescent="0.25">
      <c r="A47" s="2" t="s">
        <v>47</v>
      </c>
      <c r="B47" s="2" t="s">
        <v>46</v>
      </c>
      <c r="C47" s="2" t="s">
        <v>2166</v>
      </c>
      <c r="D47" s="2" t="s">
        <v>1227</v>
      </c>
      <c r="E47">
        <v>50</v>
      </c>
      <c r="F47" s="2" t="s">
        <v>1228</v>
      </c>
      <c r="G47" s="2" t="s">
        <v>1229</v>
      </c>
      <c r="H47" s="2" t="s">
        <v>1230</v>
      </c>
      <c r="I47" s="1">
        <v>42887</v>
      </c>
      <c r="J47">
        <v>2017</v>
      </c>
      <c r="K47" s="2" t="s">
        <v>2167</v>
      </c>
      <c r="L47" s="4">
        <v>81367</v>
      </c>
      <c r="M47" s="2" t="s">
        <v>1245</v>
      </c>
      <c r="N47" s="2" t="s">
        <v>1231</v>
      </c>
      <c r="O47" s="2" t="s">
        <v>32</v>
      </c>
      <c r="P47" s="3">
        <v>44333</v>
      </c>
      <c r="Q47" s="4">
        <v>155489</v>
      </c>
      <c r="R47">
        <v>626</v>
      </c>
      <c r="S47" t="str">
        <f>IF(Linked[[#This Row],[Credit Score]]&lt;=579,"Poor",IF(Linked[[#This Row],[Credit Score]]&lt;=669,"Fair",IF(Linked[[#This Row],[Credit Score]]&lt;=739,"Good",IF(Linked[[#This Row],[Credit Score]]&lt;=799,"Very Good",IF(Linked[[#This Row],[Credit Score]]&gt;=800,"Excellent")))))</f>
        <v>Fair</v>
      </c>
      <c r="T47" s="4">
        <v>207630</v>
      </c>
      <c r="U47" s="2"/>
      <c r="V47" s="2"/>
    </row>
    <row r="48" spans="1:22" x14ac:dyDescent="0.25">
      <c r="A48" s="2" t="s">
        <v>47</v>
      </c>
      <c r="B48" s="2" t="s">
        <v>312</v>
      </c>
      <c r="C48" s="2" t="s">
        <v>2166</v>
      </c>
      <c r="D48" s="2" t="s">
        <v>1227</v>
      </c>
      <c r="E48">
        <v>50</v>
      </c>
      <c r="F48" s="2" t="s">
        <v>1228</v>
      </c>
      <c r="G48" s="2" t="s">
        <v>1229</v>
      </c>
      <c r="H48" s="2" t="s">
        <v>1230</v>
      </c>
      <c r="I48" s="1">
        <v>42887</v>
      </c>
      <c r="J48">
        <v>2017</v>
      </c>
      <c r="K48" s="2" t="s">
        <v>2167</v>
      </c>
      <c r="L48" s="4">
        <v>81367</v>
      </c>
      <c r="M48" s="2" t="s">
        <v>1245</v>
      </c>
      <c r="N48" s="2" t="s">
        <v>1231</v>
      </c>
      <c r="O48" s="2" t="s">
        <v>32</v>
      </c>
      <c r="P48" s="3">
        <v>43936</v>
      </c>
      <c r="Q48" s="4">
        <v>307086</v>
      </c>
      <c r="R48">
        <v>759</v>
      </c>
      <c r="S48" t="str">
        <f>IF(Linked[[#This Row],[Credit Score]]&lt;=579,"Poor",IF(Linked[[#This Row],[Credit Score]]&lt;=669,"Fair",IF(Linked[[#This Row],[Credit Score]]&lt;=739,"Good",IF(Linked[[#This Row],[Credit Score]]&lt;=799,"Very Good",IF(Linked[[#This Row],[Credit Score]]&gt;=800,"Excellent")))))</f>
        <v>Very Good</v>
      </c>
      <c r="T48" s="4">
        <v>0</v>
      </c>
      <c r="U48" s="2"/>
      <c r="V48" s="2"/>
    </row>
    <row r="49" spans="1:22" x14ac:dyDescent="0.25">
      <c r="A49" s="2" t="s">
        <v>47</v>
      </c>
      <c r="B49" s="2" t="s">
        <v>560</v>
      </c>
      <c r="C49" s="2" t="s">
        <v>2166</v>
      </c>
      <c r="D49" s="2" t="s">
        <v>1227</v>
      </c>
      <c r="E49">
        <v>50</v>
      </c>
      <c r="F49" s="2" t="s">
        <v>1228</v>
      </c>
      <c r="G49" s="2" t="s">
        <v>1229</v>
      </c>
      <c r="H49" s="2" t="s">
        <v>1230</v>
      </c>
      <c r="I49" s="1">
        <v>42887</v>
      </c>
      <c r="J49">
        <v>2017</v>
      </c>
      <c r="K49" s="2" t="s">
        <v>2167</v>
      </c>
      <c r="L49" s="4">
        <v>81367</v>
      </c>
      <c r="M49" s="2" t="s">
        <v>1245</v>
      </c>
      <c r="N49" s="2" t="s">
        <v>1231</v>
      </c>
      <c r="O49" s="2" t="s">
        <v>13</v>
      </c>
      <c r="P49" s="3">
        <v>43006</v>
      </c>
      <c r="Q49" s="4">
        <v>295809</v>
      </c>
      <c r="R49">
        <v>489</v>
      </c>
      <c r="S49" t="str">
        <f>IF(Linked[[#This Row],[Credit Score]]&lt;=579,"Poor",IF(Linked[[#This Row],[Credit Score]]&lt;=669,"Fair",IF(Linked[[#This Row],[Credit Score]]&lt;=739,"Good",IF(Linked[[#This Row],[Credit Score]]&lt;=799,"Very Good",IF(Linked[[#This Row],[Credit Score]]&gt;=800,"Excellent")))))</f>
        <v>Poor</v>
      </c>
      <c r="T49" s="4">
        <v>0</v>
      </c>
      <c r="U49" s="2"/>
      <c r="V49" s="2"/>
    </row>
    <row r="50" spans="1:22" x14ac:dyDescent="0.25">
      <c r="A50" s="2" t="s">
        <v>393</v>
      </c>
      <c r="B50" s="2" t="s">
        <v>392</v>
      </c>
      <c r="C50" s="2" t="s">
        <v>1280</v>
      </c>
      <c r="D50" s="2" t="s">
        <v>1227</v>
      </c>
      <c r="E50">
        <v>64</v>
      </c>
      <c r="F50" s="2" t="s">
        <v>1263</v>
      </c>
      <c r="G50" s="2" t="s">
        <v>1249</v>
      </c>
      <c r="H50" s="2" t="s">
        <v>1239</v>
      </c>
      <c r="I50" s="1">
        <v>44375</v>
      </c>
      <c r="J50">
        <v>2021</v>
      </c>
      <c r="K50" s="2" t="s">
        <v>1281</v>
      </c>
      <c r="L50" s="4">
        <v>199352</v>
      </c>
      <c r="M50" s="2" t="s">
        <v>1223</v>
      </c>
      <c r="N50" s="2" t="s">
        <v>1224</v>
      </c>
      <c r="O50" s="2" t="s">
        <v>25</v>
      </c>
      <c r="P50" s="3">
        <v>43732</v>
      </c>
      <c r="Q50" s="4">
        <v>353076</v>
      </c>
      <c r="R50">
        <v>601</v>
      </c>
      <c r="S50" t="str">
        <f>IF(Linked[[#This Row],[Credit Score]]&lt;=579,"Poor",IF(Linked[[#This Row],[Credit Score]]&lt;=669,"Fair",IF(Linked[[#This Row],[Credit Score]]&lt;=739,"Good",IF(Linked[[#This Row],[Credit Score]]&lt;=799,"Very Good",IF(Linked[[#This Row],[Credit Score]]&gt;=800,"Excellent")))))</f>
        <v>Fair</v>
      </c>
      <c r="T50" s="4">
        <v>0</v>
      </c>
      <c r="U50" s="2" t="s">
        <v>59</v>
      </c>
      <c r="V50" s="2"/>
    </row>
    <row r="51" spans="1:22" x14ac:dyDescent="0.25">
      <c r="A51" s="2" t="s">
        <v>49</v>
      </c>
      <c r="B51" s="2" t="s">
        <v>48</v>
      </c>
      <c r="C51" s="2" t="s">
        <v>1617</v>
      </c>
      <c r="D51" s="2" t="s">
        <v>1219</v>
      </c>
      <c r="E51">
        <v>21</v>
      </c>
      <c r="F51" s="2" t="s">
        <v>1242</v>
      </c>
      <c r="G51" s="2" t="s">
        <v>1249</v>
      </c>
      <c r="H51" s="2" t="s">
        <v>1230</v>
      </c>
      <c r="I51" s="1">
        <v>44501</v>
      </c>
      <c r="J51">
        <v>2021</v>
      </c>
      <c r="K51" s="2" t="s">
        <v>1618</v>
      </c>
      <c r="L51" s="4">
        <v>172499</v>
      </c>
      <c r="M51" s="2" t="s">
        <v>1223</v>
      </c>
      <c r="N51" s="2" t="s">
        <v>1231</v>
      </c>
      <c r="O51" s="2" t="s">
        <v>25</v>
      </c>
      <c r="P51" s="3">
        <v>44007</v>
      </c>
      <c r="Q51" s="4">
        <v>344126</v>
      </c>
      <c r="R51">
        <v>526</v>
      </c>
      <c r="S51" t="str">
        <f>IF(Linked[[#This Row],[Credit Score]]&lt;=579,"Poor",IF(Linked[[#This Row],[Credit Score]]&lt;=669,"Fair",IF(Linked[[#This Row],[Credit Score]]&lt;=739,"Good",IF(Linked[[#This Row],[Credit Score]]&lt;=799,"Very Good",IF(Linked[[#This Row],[Credit Score]]&gt;=800,"Excellent")))))</f>
        <v>Poor</v>
      </c>
      <c r="T51" s="4">
        <v>0</v>
      </c>
      <c r="U51" s="2"/>
      <c r="V51" s="2"/>
    </row>
    <row r="52" spans="1:22" x14ac:dyDescent="0.25">
      <c r="A52" s="2" t="s">
        <v>51</v>
      </c>
      <c r="B52" s="2" t="s">
        <v>50</v>
      </c>
      <c r="C52" s="2" t="s">
        <v>1736</v>
      </c>
      <c r="D52" s="2" t="s">
        <v>1227</v>
      </c>
      <c r="E52">
        <v>73</v>
      </c>
      <c r="F52" s="2" t="s">
        <v>1263</v>
      </c>
      <c r="G52" s="2" t="s">
        <v>1243</v>
      </c>
      <c r="H52" s="2" t="s">
        <v>1230</v>
      </c>
      <c r="I52" s="1">
        <v>43479</v>
      </c>
      <c r="J52">
        <v>2019</v>
      </c>
      <c r="K52" s="2" t="s">
        <v>1737</v>
      </c>
      <c r="L52" s="4">
        <v>135672</v>
      </c>
      <c r="M52" s="2" t="s">
        <v>1245</v>
      </c>
      <c r="N52" s="2" t="s">
        <v>1231</v>
      </c>
      <c r="O52" s="2" t="s">
        <v>13</v>
      </c>
      <c r="P52" s="3">
        <v>44694</v>
      </c>
      <c r="Q52" s="4">
        <v>106133</v>
      </c>
      <c r="R52">
        <v>347</v>
      </c>
      <c r="S52" t="str">
        <f>IF(Linked[[#This Row],[Credit Score]]&lt;=579,"Poor",IF(Linked[[#This Row],[Credit Score]]&lt;=669,"Fair",IF(Linked[[#This Row],[Credit Score]]&lt;=739,"Good",IF(Linked[[#This Row],[Credit Score]]&lt;=799,"Very Good",IF(Linked[[#This Row],[Credit Score]]&gt;=800,"Excellent")))))</f>
        <v>Poor</v>
      </c>
      <c r="T52" s="4">
        <v>0</v>
      </c>
      <c r="U52" s="2" t="s">
        <v>18</v>
      </c>
      <c r="V52" s="2"/>
    </row>
    <row r="53" spans="1:22" x14ac:dyDescent="0.25">
      <c r="A53" s="2" t="s">
        <v>51</v>
      </c>
      <c r="B53" s="2" t="s">
        <v>271</v>
      </c>
      <c r="C53" s="2" t="s">
        <v>1736</v>
      </c>
      <c r="D53" s="2" t="s">
        <v>1227</v>
      </c>
      <c r="E53">
        <v>73</v>
      </c>
      <c r="F53" s="2" t="s">
        <v>1263</v>
      </c>
      <c r="G53" s="2" t="s">
        <v>1243</v>
      </c>
      <c r="H53" s="2" t="s">
        <v>1230</v>
      </c>
      <c r="I53" s="1">
        <v>43479</v>
      </c>
      <c r="J53">
        <v>2019</v>
      </c>
      <c r="K53" s="2" t="s">
        <v>1737</v>
      </c>
      <c r="L53" s="4">
        <v>135672</v>
      </c>
      <c r="M53" s="2" t="s">
        <v>1245</v>
      </c>
      <c r="N53" s="2" t="s">
        <v>1231</v>
      </c>
      <c r="O53" s="2" t="s">
        <v>10</v>
      </c>
      <c r="P53" s="3">
        <v>44184</v>
      </c>
      <c r="Q53" s="4">
        <v>369360</v>
      </c>
      <c r="R53">
        <v>483</v>
      </c>
      <c r="S53" t="str">
        <f>IF(Linked[[#This Row],[Credit Score]]&lt;=579,"Poor",IF(Linked[[#This Row],[Credit Score]]&lt;=669,"Fair",IF(Linked[[#This Row],[Credit Score]]&lt;=739,"Good",IF(Linked[[#This Row],[Credit Score]]&lt;=799,"Very Good",IF(Linked[[#This Row],[Credit Score]]&gt;=800,"Excellent")))))</f>
        <v>Poor</v>
      </c>
      <c r="T53" s="4">
        <v>8681</v>
      </c>
      <c r="U53" s="2"/>
      <c r="V53" s="2"/>
    </row>
    <row r="54" spans="1:22" x14ac:dyDescent="0.25">
      <c r="A54" s="2" t="s">
        <v>53</v>
      </c>
      <c r="B54" s="2" t="s">
        <v>52</v>
      </c>
      <c r="C54" s="2" t="s">
        <v>1996</v>
      </c>
      <c r="D54" s="2" t="s">
        <v>1219</v>
      </c>
      <c r="E54">
        <v>43</v>
      </c>
      <c r="F54" s="2" t="s">
        <v>1220</v>
      </c>
      <c r="G54" s="2" t="s">
        <v>1249</v>
      </c>
      <c r="H54" s="2" t="s">
        <v>1235</v>
      </c>
      <c r="I54" s="1">
        <v>44926</v>
      </c>
      <c r="J54">
        <v>2022</v>
      </c>
      <c r="K54" s="2" t="s">
        <v>1997</v>
      </c>
      <c r="L54" s="4">
        <v>90316</v>
      </c>
      <c r="M54" s="2" t="s">
        <v>1245</v>
      </c>
      <c r="N54" s="2" t="s">
        <v>1231</v>
      </c>
      <c r="O54" s="2" t="s">
        <v>10</v>
      </c>
      <c r="P54" s="3">
        <v>43335</v>
      </c>
      <c r="Q54" s="4">
        <v>272895</v>
      </c>
      <c r="R54">
        <v>317</v>
      </c>
      <c r="S54" t="str">
        <f>IF(Linked[[#This Row],[Credit Score]]&lt;=579,"Poor",IF(Linked[[#This Row],[Credit Score]]&lt;=669,"Fair",IF(Linked[[#This Row],[Credit Score]]&lt;=739,"Good",IF(Linked[[#This Row],[Credit Score]]&lt;=799,"Very Good",IF(Linked[[#This Row],[Credit Score]]&gt;=800,"Excellent")))))</f>
        <v>Poor</v>
      </c>
      <c r="T54" s="4">
        <v>0</v>
      </c>
      <c r="U54" s="2"/>
      <c r="V54" s="2"/>
    </row>
    <row r="55" spans="1:22" x14ac:dyDescent="0.25">
      <c r="A55" s="2" t="s">
        <v>53</v>
      </c>
      <c r="B55" s="2" t="s">
        <v>134</v>
      </c>
      <c r="C55" s="2" t="s">
        <v>1996</v>
      </c>
      <c r="D55" s="2" t="s">
        <v>1219</v>
      </c>
      <c r="E55">
        <v>43</v>
      </c>
      <c r="F55" s="2" t="s">
        <v>1220</v>
      </c>
      <c r="G55" s="2" t="s">
        <v>1249</v>
      </c>
      <c r="H55" s="2" t="s">
        <v>1235</v>
      </c>
      <c r="I55" s="1">
        <v>44926</v>
      </c>
      <c r="J55">
        <v>2022</v>
      </c>
      <c r="K55" s="2" t="s">
        <v>1997</v>
      </c>
      <c r="L55" s="4">
        <v>90316</v>
      </c>
      <c r="M55" s="2" t="s">
        <v>1245</v>
      </c>
      <c r="N55" s="2" t="s">
        <v>1231</v>
      </c>
      <c r="O55" s="2" t="s">
        <v>13</v>
      </c>
      <c r="P55" s="3">
        <v>43714</v>
      </c>
      <c r="Q55" s="4">
        <v>128128</v>
      </c>
      <c r="R55">
        <v>824</v>
      </c>
      <c r="S55" t="str">
        <f>IF(Linked[[#This Row],[Credit Score]]&lt;=579,"Poor",IF(Linked[[#This Row],[Credit Score]]&lt;=669,"Fair",IF(Linked[[#This Row],[Credit Score]]&lt;=739,"Good",IF(Linked[[#This Row],[Credit Score]]&lt;=799,"Very Good",IF(Linked[[#This Row],[Credit Score]]&gt;=800,"Excellent")))))</f>
        <v>Excellent</v>
      </c>
      <c r="T55" s="4">
        <v>0</v>
      </c>
      <c r="U55" s="2"/>
      <c r="V55" s="2"/>
    </row>
    <row r="56" spans="1:22" x14ac:dyDescent="0.25">
      <c r="A56" s="2" t="s">
        <v>53</v>
      </c>
      <c r="B56" s="2" t="s">
        <v>746</v>
      </c>
      <c r="C56" s="2" t="s">
        <v>1996</v>
      </c>
      <c r="D56" s="2" t="s">
        <v>1219</v>
      </c>
      <c r="E56">
        <v>43</v>
      </c>
      <c r="F56" s="2" t="s">
        <v>1220</v>
      </c>
      <c r="G56" s="2" t="s">
        <v>1249</v>
      </c>
      <c r="H56" s="2" t="s">
        <v>1235</v>
      </c>
      <c r="I56" s="1">
        <v>44926</v>
      </c>
      <c r="J56">
        <v>2022</v>
      </c>
      <c r="K56" s="2" t="s">
        <v>1997</v>
      </c>
      <c r="L56" s="4">
        <v>90316</v>
      </c>
      <c r="M56" s="2" t="s">
        <v>1245</v>
      </c>
      <c r="N56" s="2" t="s">
        <v>1231</v>
      </c>
      <c r="O56" s="2" t="s">
        <v>10</v>
      </c>
      <c r="P56" s="3">
        <v>44015</v>
      </c>
      <c r="Q56" s="4">
        <v>430917</v>
      </c>
      <c r="R56">
        <v>479</v>
      </c>
      <c r="S56" t="str">
        <f>IF(Linked[[#This Row],[Credit Score]]&lt;=579,"Poor",IF(Linked[[#This Row],[Credit Score]]&lt;=669,"Fair",IF(Linked[[#This Row],[Credit Score]]&lt;=739,"Good",IF(Linked[[#This Row],[Credit Score]]&lt;=799,"Very Good",IF(Linked[[#This Row],[Credit Score]]&gt;=800,"Excellent")))))</f>
        <v>Poor</v>
      </c>
      <c r="T56" s="4">
        <v>0</v>
      </c>
      <c r="U56" s="2"/>
      <c r="V56" s="2"/>
    </row>
    <row r="57" spans="1:22" x14ac:dyDescent="0.25">
      <c r="A57" s="2" t="s">
        <v>460</v>
      </c>
      <c r="B57" s="2" t="s">
        <v>459</v>
      </c>
      <c r="C57" s="2" t="s">
        <v>1287</v>
      </c>
      <c r="D57" s="2" t="s">
        <v>1219</v>
      </c>
      <c r="E57">
        <v>19</v>
      </c>
      <c r="F57" s="2" t="s">
        <v>1242</v>
      </c>
      <c r="G57" s="2" t="s">
        <v>1249</v>
      </c>
      <c r="H57" s="2" t="s">
        <v>1253</v>
      </c>
      <c r="I57" s="1">
        <v>45058</v>
      </c>
      <c r="J57">
        <v>2023</v>
      </c>
      <c r="K57" s="2" t="s">
        <v>1288</v>
      </c>
      <c r="L57" s="4">
        <v>148583</v>
      </c>
      <c r="M57" s="2" t="s">
        <v>1223</v>
      </c>
      <c r="N57" s="2" t="s">
        <v>1231</v>
      </c>
      <c r="O57" s="2" t="s">
        <v>13</v>
      </c>
      <c r="P57" s="3">
        <v>45511</v>
      </c>
      <c r="Q57" s="4">
        <v>118696</v>
      </c>
      <c r="R57">
        <v>490</v>
      </c>
      <c r="S57" t="str">
        <f>IF(Linked[[#This Row],[Credit Score]]&lt;=579,"Poor",IF(Linked[[#This Row],[Credit Score]]&lt;=669,"Fair",IF(Linked[[#This Row],[Credit Score]]&lt;=739,"Good",IF(Linked[[#This Row],[Credit Score]]&lt;=799,"Very Good",IF(Linked[[#This Row],[Credit Score]]&gt;=800,"Excellent")))))</f>
        <v>Poor</v>
      </c>
      <c r="T57" s="4">
        <v>372508</v>
      </c>
      <c r="U57" s="2"/>
      <c r="V57" s="2"/>
    </row>
    <row r="58" spans="1:22" x14ac:dyDescent="0.25">
      <c r="A58" s="2" t="s">
        <v>55</v>
      </c>
      <c r="B58" s="2" t="s">
        <v>54</v>
      </c>
      <c r="C58" s="2" t="s">
        <v>1638</v>
      </c>
      <c r="D58" s="2" t="s">
        <v>1227</v>
      </c>
      <c r="E58">
        <v>37</v>
      </c>
      <c r="F58" s="2" t="s">
        <v>1220</v>
      </c>
      <c r="G58" s="2" t="s">
        <v>1229</v>
      </c>
      <c r="H58" s="2" t="s">
        <v>1244</v>
      </c>
      <c r="I58" s="1">
        <v>43202</v>
      </c>
      <c r="J58">
        <v>2018</v>
      </c>
      <c r="K58" s="2" t="s">
        <v>1639</v>
      </c>
      <c r="L58" s="4">
        <v>49241</v>
      </c>
      <c r="M58" s="2" t="s">
        <v>1250</v>
      </c>
      <c r="N58" s="2" t="s">
        <v>1224</v>
      </c>
      <c r="O58" s="2" t="s">
        <v>25</v>
      </c>
      <c r="P58" s="3">
        <v>43980</v>
      </c>
      <c r="Q58" s="4">
        <v>308362</v>
      </c>
      <c r="R58">
        <v>738</v>
      </c>
      <c r="S58" t="str">
        <f>IF(Linked[[#This Row],[Credit Score]]&lt;=579,"Poor",IF(Linked[[#This Row],[Credit Score]]&lt;=669,"Fair",IF(Linked[[#This Row],[Credit Score]]&lt;=739,"Good",IF(Linked[[#This Row],[Credit Score]]&lt;=799,"Very Good",IF(Linked[[#This Row],[Credit Score]]&gt;=800,"Excellent")))))</f>
        <v>Good</v>
      </c>
      <c r="T58" s="4">
        <v>0</v>
      </c>
      <c r="U58" s="2"/>
      <c r="V58" s="2"/>
    </row>
    <row r="59" spans="1:22" x14ac:dyDescent="0.25">
      <c r="A59" s="2" t="s">
        <v>55</v>
      </c>
      <c r="B59" s="2" t="s">
        <v>58</v>
      </c>
      <c r="C59" s="2" t="s">
        <v>1638</v>
      </c>
      <c r="D59" s="2" t="s">
        <v>1227</v>
      </c>
      <c r="E59">
        <v>37</v>
      </c>
      <c r="F59" s="2" t="s">
        <v>1220</v>
      </c>
      <c r="G59" s="2" t="s">
        <v>1229</v>
      </c>
      <c r="H59" s="2" t="s">
        <v>1244</v>
      </c>
      <c r="I59" s="1">
        <v>43202</v>
      </c>
      <c r="J59">
        <v>2018</v>
      </c>
      <c r="K59" s="2" t="s">
        <v>1639</v>
      </c>
      <c r="L59" s="4">
        <v>49241</v>
      </c>
      <c r="M59" s="2" t="s">
        <v>1250</v>
      </c>
      <c r="N59" s="2" t="s">
        <v>1224</v>
      </c>
      <c r="O59" s="2" t="s">
        <v>13</v>
      </c>
      <c r="P59" s="3">
        <v>45186</v>
      </c>
      <c r="Q59" s="4">
        <v>269496</v>
      </c>
      <c r="R59">
        <v>644</v>
      </c>
      <c r="S59" t="str">
        <f>IF(Linked[[#This Row],[Credit Score]]&lt;=579,"Poor",IF(Linked[[#This Row],[Credit Score]]&lt;=669,"Fair",IF(Linked[[#This Row],[Credit Score]]&lt;=739,"Good",IF(Linked[[#This Row],[Credit Score]]&lt;=799,"Very Good",IF(Linked[[#This Row],[Credit Score]]&gt;=800,"Excellent")))))</f>
        <v>Fair</v>
      </c>
      <c r="T59" s="4">
        <v>0</v>
      </c>
      <c r="U59" s="2" t="s">
        <v>59</v>
      </c>
      <c r="V59" s="2"/>
    </row>
    <row r="60" spans="1:22" x14ac:dyDescent="0.25">
      <c r="A60" s="2" t="s">
        <v>285</v>
      </c>
      <c r="B60" s="2" t="s">
        <v>284</v>
      </c>
      <c r="C60" s="2" t="s">
        <v>1289</v>
      </c>
      <c r="D60" s="2" t="s">
        <v>1227</v>
      </c>
      <c r="E60">
        <v>44</v>
      </c>
      <c r="F60" s="2" t="s">
        <v>1220</v>
      </c>
      <c r="G60" s="2" t="s">
        <v>1229</v>
      </c>
      <c r="H60" s="2" t="s">
        <v>1230</v>
      </c>
      <c r="I60" s="1">
        <v>45414</v>
      </c>
      <c r="J60">
        <v>2024</v>
      </c>
      <c r="K60" s="2" t="s">
        <v>1290</v>
      </c>
      <c r="L60" s="4">
        <v>189269</v>
      </c>
      <c r="M60" s="2" t="s">
        <v>1223</v>
      </c>
      <c r="N60" s="2" t="s">
        <v>1224</v>
      </c>
      <c r="O60" s="2" t="s">
        <v>25</v>
      </c>
      <c r="P60" s="3">
        <v>42302</v>
      </c>
      <c r="Q60" s="4">
        <v>99977</v>
      </c>
      <c r="R60">
        <v>476</v>
      </c>
      <c r="S60" t="str">
        <f>IF(Linked[[#This Row],[Credit Score]]&lt;=579,"Poor",IF(Linked[[#This Row],[Credit Score]]&lt;=669,"Fair",IF(Linked[[#This Row],[Credit Score]]&lt;=739,"Good",IF(Linked[[#This Row],[Credit Score]]&lt;=799,"Very Good",IF(Linked[[#This Row],[Credit Score]]&gt;=800,"Excellent")))))</f>
        <v>Poor</v>
      </c>
      <c r="T60" s="4">
        <v>0</v>
      </c>
      <c r="U60" s="2"/>
      <c r="V60" s="2"/>
    </row>
    <row r="61" spans="1:22" x14ac:dyDescent="0.25">
      <c r="A61" s="2" t="s">
        <v>285</v>
      </c>
      <c r="B61" s="2" t="s">
        <v>331</v>
      </c>
      <c r="C61" s="2" t="s">
        <v>1289</v>
      </c>
      <c r="D61" s="2" t="s">
        <v>1227</v>
      </c>
      <c r="E61">
        <v>44</v>
      </c>
      <c r="F61" s="2" t="s">
        <v>1220</v>
      </c>
      <c r="G61" s="2" t="s">
        <v>1229</v>
      </c>
      <c r="H61" s="2" t="s">
        <v>1230</v>
      </c>
      <c r="I61" s="1">
        <v>45414</v>
      </c>
      <c r="J61">
        <v>2024</v>
      </c>
      <c r="K61" s="2" t="s">
        <v>1290</v>
      </c>
      <c r="L61" s="4">
        <v>189269</v>
      </c>
      <c r="M61" s="2" t="s">
        <v>1223</v>
      </c>
      <c r="N61" s="2" t="s">
        <v>1224</v>
      </c>
      <c r="O61" s="2" t="s">
        <v>25</v>
      </c>
      <c r="P61" s="3">
        <v>44086</v>
      </c>
      <c r="Q61" s="4">
        <v>49170</v>
      </c>
      <c r="R61">
        <v>549</v>
      </c>
      <c r="S61" t="str">
        <f>IF(Linked[[#This Row],[Credit Score]]&lt;=579,"Poor",IF(Linked[[#This Row],[Credit Score]]&lt;=669,"Fair",IF(Linked[[#This Row],[Credit Score]]&lt;=739,"Good",IF(Linked[[#This Row],[Credit Score]]&lt;=799,"Very Good",IF(Linked[[#This Row],[Credit Score]]&gt;=800,"Excellent")))))</f>
        <v>Poor</v>
      </c>
      <c r="T61" s="4">
        <v>85730</v>
      </c>
      <c r="U61" s="2"/>
      <c r="V61" s="2"/>
    </row>
    <row r="62" spans="1:22" x14ac:dyDescent="0.25">
      <c r="A62" s="2" t="s">
        <v>285</v>
      </c>
      <c r="B62" s="2" t="s">
        <v>627</v>
      </c>
      <c r="C62" s="2" t="s">
        <v>1289</v>
      </c>
      <c r="D62" s="2" t="s">
        <v>1227</v>
      </c>
      <c r="E62">
        <v>44</v>
      </c>
      <c r="F62" s="2" t="s">
        <v>1220</v>
      </c>
      <c r="G62" s="2" t="s">
        <v>1229</v>
      </c>
      <c r="H62" s="2" t="s">
        <v>1230</v>
      </c>
      <c r="I62" s="1">
        <v>45414</v>
      </c>
      <c r="J62">
        <v>2024</v>
      </c>
      <c r="K62" s="2" t="s">
        <v>1290</v>
      </c>
      <c r="L62" s="4">
        <v>189269</v>
      </c>
      <c r="M62" s="2" t="s">
        <v>1223</v>
      </c>
      <c r="N62" s="2" t="s">
        <v>1224</v>
      </c>
      <c r="O62" s="2" t="s">
        <v>10</v>
      </c>
      <c r="P62" s="3">
        <v>42545</v>
      </c>
      <c r="Q62" s="4">
        <v>469890</v>
      </c>
      <c r="R62">
        <v>590</v>
      </c>
      <c r="S62" t="str">
        <f>IF(Linked[[#This Row],[Credit Score]]&lt;=579,"Poor",IF(Linked[[#This Row],[Credit Score]]&lt;=669,"Fair",IF(Linked[[#This Row],[Credit Score]]&lt;=739,"Good",IF(Linked[[#This Row],[Credit Score]]&lt;=799,"Very Good",IF(Linked[[#This Row],[Credit Score]]&gt;=800,"Excellent")))))</f>
        <v>Fair</v>
      </c>
      <c r="T62" s="4">
        <v>222364</v>
      </c>
      <c r="U62" s="2"/>
      <c r="V62" s="2"/>
    </row>
    <row r="63" spans="1:22" x14ac:dyDescent="0.25">
      <c r="A63" s="2" t="s">
        <v>285</v>
      </c>
      <c r="B63" s="2" t="s">
        <v>791</v>
      </c>
      <c r="C63" s="2" t="s">
        <v>1289</v>
      </c>
      <c r="D63" s="2" t="s">
        <v>1227</v>
      </c>
      <c r="E63">
        <v>44</v>
      </c>
      <c r="F63" s="2" t="s">
        <v>1220</v>
      </c>
      <c r="G63" s="2" t="s">
        <v>1229</v>
      </c>
      <c r="H63" s="2" t="s">
        <v>1230</v>
      </c>
      <c r="I63" s="1">
        <v>45414</v>
      </c>
      <c r="J63">
        <v>2024</v>
      </c>
      <c r="K63" s="2" t="s">
        <v>1290</v>
      </c>
      <c r="L63" s="4">
        <v>189269</v>
      </c>
      <c r="M63" s="2" t="s">
        <v>1223</v>
      </c>
      <c r="N63" s="2" t="s">
        <v>1224</v>
      </c>
      <c r="O63" s="2" t="s">
        <v>25</v>
      </c>
      <c r="P63" s="3">
        <v>43880</v>
      </c>
      <c r="Q63" s="4">
        <v>352156</v>
      </c>
      <c r="R63">
        <v>587</v>
      </c>
      <c r="S63" t="str">
        <f>IF(Linked[[#This Row],[Credit Score]]&lt;=579,"Poor",IF(Linked[[#This Row],[Credit Score]]&lt;=669,"Fair",IF(Linked[[#This Row],[Credit Score]]&lt;=739,"Good",IF(Linked[[#This Row],[Credit Score]]&lt;=799,"Very Good",IF(Linked[[#This Row],[Credit Score]]&gt;=800,"Excellent")))))</f>
        <v>Fair</v>
      </c>
      <c r="T63" s="4">
        <v>0</v>
      </c>
      <c r="U63" s="2" t="s">
        <v>18</v>
      </c>
      <c r="V63" s="2"/>
    </row>
    <row r="64" spans="1:22" x14ac:dyDescent="0.25">
      <c r="A64" s="2" t="s">
        <v>57</v>
      </c>
      <c r="B64" s="2" t="s">
        <v>56</v>
      </c>
      <c r="C64" s="2" t="s">
        <v>1488</v>
      </c>
      <c r="D64" s="2" t="s">
        <v>1227</v>
      </c>
      <c r="E64">
        <v>64</v>
      </c>
      <c r="F64" s="2" t="s">
        <v>1263</v>
      </c>
      <c r="G64" s="2" t="s">
        <v>1229</v>
      </c>
      <c r="H64" s="2" t="s">
        <v>1222</v>
      </c>
      <c r="I64" s="1">
        <v>42445</v>
      </c>
      <c r="J64">
        <v>2016</v>
      </c>
      <c r="K64" s="2" t="s">
        <v>1489</v>
      </c>
      <c r="L64" s="4">
        <v>73947</v>
      </c>
      <c r="M64" s="2" t="s">
        <v>1250</v>
      </c>
      <c r="N64" s="2" t="s">
        <v>1236</v>
      </c>
      <c r="O64" s="2" t="s">
        <v>13</v>
      </c>
      <c r="P64" s="3">
        <v>45635</v>
      </c>
      <c r="Q64" s="4">
        <v>388793</v>
      </c>
      <c r="R64">
        <v>486</v>
      </c>
      <c r="S64" t="str">
        <f>IF(Linked[[#This Row],[Credit Score]]&lt;=579,"Poor",IF(Linked[[#This Row],[Credit Score]]&lt;=669,"Fair",IF(Linked[[#This Row],[Credit Score]]&lt;=739,"Good",IF(Linked[[#This Row],[Credit Score]]&lt;=799,"Very Good",IF(Linked[[#This Row],[Credit Score]]&gt;=800,"Excellent")))))</f>
        <v>Poor</v>
      </c>
      <c r="T64" s="4">
        <v>258078</v>
      </c>
      <c r="U64" s="2"/>
      <c r="V64" s="2"/>
    </row>
    <row r="65" spans="1:22" x14ac:dyDescent="0.25">
      <c r="A65" s="2" t="s">
        <v>57</v>
      </c>
      <c r="B65" s="2" t="s">
        <v>67</v>
      </c>
      <c r="C65" s="2" t="s">
        <v>1488</v>
      </c>
      <c r="D65" s="2" t="s">
        <v>1227</v>
      </c>
      <c r="E65">
        <v>64</v>
      </c>
      <c r="F65" s="2" t="s">
        <v>1263</v>
      </c>
      <c r="G65" s="2" t="s">
        <v>1229</v>
      </c>
      <c r="H65" s="2" t="s">
        <v>1222</v>
      </c>
      <c r="I65" s="1">
        <v>42445</v>
      </c>
      <c r="J65">
        <v>2016</v>
      </c>
      <c r="K65" s="2" t="s">
        <v>1489</v>
      </c>
      <c r="L65" s="4">
        <v>73947</v>
      </c>
      <c r="M65" s="2" t="s">
        <v>1250</v>
      </c>
      <c r="N65" s="2" t="s">
        <v>1236</v>
      </c>
      <c r="O65" s="2" t="s">
        <v>25</v>
      </c>
      <c r="P65" s="3">
        <v>43189</v>
      </c>
      <c r="Q65" s="4">
        <v>172166</v>
      </c>
      <c r="R65">
        <v>487</v>
      </c>
      <c r="S65" t="str">
        <f>IF(Linked[[#This Row],[Credit Score]]&lt;=579,"Poor",IF(Linked[[#This Row],[Credit Score]]&lt;=669,"Fair",IF(Linked[[#This Row],[Credit Score]]&lt;=739,"Good",IF(Linked[[#This Row],[Credit Score]]&lt;=799,"Very Good",IF(Linked[[#This Row],[Credit Score]]&gt;=800,"Excellent")))))</f>
        <v>Poor</v>
      </c>
      <c r="T65" s="4">
        <v>0</v>
      </c>
      <c r="U65" s="2" t="s">
        <v>59</v>
      </c>
      <c r="V65" s="2"/>
    </row>
    <row r="66" spans="1:22" x14ac:dyDescent="0.25">
      <c r="A66" s="2" t="s">
        <v>57</v>
      </c>
      <c r="B66" s="2" t="s">
        <v>133</v>
      </c>
      <c r="C66" s="2" t="s">
        <v>1488</v>
      </c>
      <c r="D66" s="2" t="s">
        <v>1227</v>
      </c>
      <c r="E66">
        <v>64</v>
      </c>
      <c r="F66" s="2" t="s">
        <v>1263</v>
      </c>
      <c r="G66" s="2" t="s">
        <v>1229</v>
      </c>
      <c r="H66" s="2" t="s">
        <v>1222</v>
      </c>
      <c r="I66" s="1">
        <v>42445</v>
      </c>
      <c r="J66">
        <v>2016</v>
      </c>
      <c r="K66" s="2" t="s">
        <v>1489</v>
      </c>
      <c r="L66" s="4">
        <v>73947</v>
      </c>
      <c r="M66" s="2" t="s">
        <v>1250</v>
      </c>
      <c r="N66" s="2" t="s">
        <v>1236</v>
      </c>
      <c r="O66" s="2" t="s">
        <v>32</v>
      </c>
      <c r="P66" s="3">
        <v>43721</v>
      </c>
      <c r="Q66" s="4">
        <v>12356</v>
      </c>
      <c r="R66">
        <v>687</v>
      </c>
      <c r="S66" t="str">
        <f>IF(Linked[[#This Row],[Credit Score]]&lt;=579,"Poor",IF(Linked[[#This Row],[Credit Score]]&lt;=669,"Fair",IF(Linked[[#This Row],[Credit Score]]&lt;=739,"Good",IF(Linked[[#This Row],[Credit Score]]&lt;=799,"Very Good",IF(Linked[[#This Row],[Credit Score]]&gt;=800,"Excellent")))))</f>
        <v>Good</v>
      </c>
      <c r="T66" s="4">
        <v>0</v>
      </c>
      <c r="U66" s="2"/>
      <c r="V66" s="2"/>
    </row>
    <row r="67" spans="1:22" x14ac:dyDescent="0.25">
      <c r="A67" s="2" t="s">
        <v>412</v>
      </c>
      <c r="B67" s="2" t="s">
        <v>411</v>
      </c>
      <c r="C67" s="2" t="s">
        <v>1291</v>
      </c>
      <c r="D67" s="2" t="s">
        <v>1219</v>
      </c>
      <c r="E67">
        <v>59</v>
      </c>
      <c r="F67" s="2" t="s">
        <v>1228</v>
      </c>
      <c r="G67" s="2" t="s">
        <v>1229</v>
      </c>
      <c r="H67" s="2" t="s">
        <v>1259</v>
      </c>
      <c r="I67" s="1">
        <v>45118</v>
      </c>
      <c r="J67">
        <v>2023</v>
      </c>
      <c r="K67" s="2" t="s">
        <v>1292</v>
      </c>
      <c r="L67" s="4">
        <v>61844</v>
      </c>
      <c r="M67" s="2" t="s">
        <v>1250</v>
      </c>
      <c r="N67" s="2" t="s">
        <v>1231</v>
      </c>
      <c r="O67" s="2" t="s">
        <v>10</v>
      </c>
      <c r="P67" s="3">
        <v>42645</v>
      </c>
      <c r="Q67" s="4">
        <v>36468</v>
      </c>
      <c r="R67">
        <v>437</v>
      </c>
      <c r="S67" t="str">
        <f>IF(Linked[[#This Row],[Credit Score]]&lt;=579,"Poor",IF(Linked[[#This Row],[Credit Score]]&lt;=669,"Fair",IF(Linked[[#This Row],[Credit Score]]&lt;=739,"Good",IF(Linked[[#This Row],[Credit Score]]&lt;=799,"Very Good",IF(Linked[[#This Row],[Credit Score]]&gt;=800,"Excellent")))))</f>
        <v>Poor</v>
      </c>
      <c r="T67" s="4">
        <v>0</v>
      </c>
      <c r="U67" s="2"/>
      <c r="V67" s="2"/>
    </row>
    <row r="68" spans="1:22" x14ac:dyDescent="0.25">
      <c r="A68" s="2" t="s">
        <v>61</v>
      </c>
      <c r="B68" s="2" t="s">
        <v>60</v>
      </c>
      <c r="C68" s="2" t="s">
        <v>2267</v>
      </c>
      <c r="D68" s="2" t="s">
        <v>1227</v>
      </c>
      <c r="E68">
        <v>45</v>
      </c>
      <c r="F68" s="2" t="s">
        <v>1228</v>
      </c>
      <c r="G68" s="2" t="s">
        <v>1229</v>
      </c>
      <c r="H68" s="2" t="s">
        <v>1259</v>
      </c>
      <c r="I68" s="1">
        <v>42411</v>
      </c>
      <c r="J68">
        <v>2016</v>
      </c>
      <c r="K68" s="2" t="s">
        <v>2268</v>
      </c>
      <c r="L68" s="4">
        <v>152311</v>
      </c>
      <c r="M68" s="2" t="s">
        <v>1223</v>
      </c>
      <c r="N68" s="2" t="s">
        <v>1224</v>
      </c>
      <c r="O68" s="2" t="s">
        <v>25</v>
      </c>
      <c r="P68" s="3">
        <v>43146</v>
      </c>
      <c r="Q68" s="4">
        <v>210124</v>
      </c>
      <c r="R68">
        <v>523</v>
      </c>
      <c r="S68" t="str">
        <f>IF(Linked[[#This Row],[Credit Score]]&lt;=579,"Poor",IF(Linked[[#This Row],[Credit Score]]&lt;=669,"Fair",IF(Linked[[#This Row],[Credit Score]]&lt;=739,"Good",IF(Linked[[#This Row],[Credit Score]]&lt;=799,"Very Good",IF(Linked[[#This Row],[Credit Score]]&gt;=800,"Excellent")))))</f>
        <v>Poor</v>
      </c>
      <c r="T68" s="4">
        <v>0</v>
      </c>
      <c r="U68" s="2"/>
      <c r="V68" s="2"/>
    </row>
    <row r="69" spans="1:22" x14ac:dyDescent="0.25">
      <c r="A69" s="2" t="s">
        <v>63</v>
      </c>
      <c r="B69" s="2" t="s">
        <v>62</v>
      </c>
      <c r="C69" s="2" t="s">
        <v>1558</v>
      </c>
      <c r="D69" s="2" t="s">
        <v>1219</v>
      </c>
      <c r="E69">
        <v>22</v>
      </c>
      <c r="F69" s="2" t="s">
        <v>1242</v>
      </c>
      <c r="G69" s="2" t="s">
        <v>1221</v>
      </c>
      <c r="H69" s="2" t="s">
        <v>1235</v>
      </c>
      <c r="I69" s="1">
        <v>44029</v>
      </c>
      <c r="J69">
        <v>2020</v>
      </c>
      <c r="K69" s="2" t="s">
        <v>1559</v>
      </c>
      <c r="L69" s="4">
        <v>49257</v>
      </c>
      <c r="M69" s="2" t="s">
        <v>1250</v>
      </c>
      <c r="N69" s="2" t="s">
        <v>1224</v>
      </c>
      <c r="O69" s="2" t="s">
        <v>10</v>
      </c>
      <c r="P69" s="3">
        <v>42535</v>
      </c>
      <c r="Q69" s="4">
        <v>88835</v>
      </c>
      <c r="R69">
        <v>787</v>
      </c>
      <c r="S69" t="str">
        <f>IF(Linked[[#This Row],[Credit Score]]&lt;=579,"Poor",IF(Linked[[#This Row],[Credit Score]]&lt;=669,"Fair",IF(Linked[[#This Row],[Credit Score]]&lt;=739,"Good",IF(Linked[[#This Row],[Credit Score]]&lt;=799,"Very Good",IF(Linked[[#This Row],[Credit Score]]&gt;=800,"Excellent")))))</f>
        <v>Very Good</v>
      </c>
      <c r="T69" s="4">
        <v>485443</v>
      </c>
      <c r="U69" s="2"/>
      <c r="V69" s="2"/>
    </row>
    <row r="70" spans="1:22" x14ac:dyDescent="0.25">
      <c r="A70" s="2" t="s">
        <v>649</v>
      </c>
      <c r="B70" s="2" t="s">
        <v>648</v>
      </c>
      <c r="C70" s="2" t="s">
        <v>1299</v>
      </c>
      <c r="D70" s="2" t="s">
        <v>1227</v>
      </c>
      <c r="E70">
        <v>34</v>
      </c>
      <c r="F70" s="2" t="s">
        <v>1220</v>
      </c>
      <c r="G70" s="2" t="s">
        <v>1221</v>
      </c>
      <c r="H70" s="2" t="s">
        <v>1244</v>
      </c>
      <c r="I70" s="1">
        <v>43718</v>
      </c>
      <c r="J70">
        <v>2019</v>
      </c>
      <c r="K70" s="2" t="s">
        <v>1300</v>
      </c>
      <c r="L70" s="4">
        <v>97129</v>
      </c>
      <c r="M70" s="2" t="s">
        <v>1245</v>
      </c>
      <c r="N70" s="2" t="s">
        <v>1224</v>
      </c>
      <c r="O70" s="2" t="s">
        <v>25</v>
      </c>
      <c r="P70" s="3">
        <v>43396</v>
      </c>
      <c r="Q70" s="4">
        <v>232892</v>
      </c>
      <c r="R70">
        <v>532</v>
      </c>
      <c r="S70" t="str">
        <f>IF(Linked[[#This Row],[Credit Score]]&lt;=579,"Poor",IF(Linked[[#This Row],[Credit Score]]&lt;=669,"Fair",IF(Linked[[#This Row],[Credit Score]]&lt;=739,"Good",IF(Linked[[#This Row],[Credit Score]]&lt;=799,"Very Good",IF(Linked[[#This Row],[Credit Score]]&gt;=800,"Excellent")))))</f>
        <v>Poor</v>
      </c>
      <c r="T70" s="4">
        <v>0</v>
      </c>
      <c r="U70" s="2"/>
      <c r="V70" s="2"/>
    </row>
    <row r="71" spans="1:22" x14ac:dyDescent="0.25">
      <c r="A71" s="2" t="s">
        <v>495</v>
      </c>
      <c r="B71" s="2" t="s">
        <v>494</v>
      </c>
      <c r="C71" s="2" t="s">
        <v>1301</v>
      </c>
      <c r="D71" s="2" t="s">
        <v>1227</v>
      </c>
      <c r="E71">
        <v>57</v>
      </c>
      <c r="F71" s="2" t="s">
        <v>1228</v>
      </c>
      <c r="G71" s="2" t="s">
        <v>1249</v>
      </c>
      <c r="H71" s="2" t="s">
        <v>1222</v>
      </c>
      <c r="I71" s="1">
        <v>44469</v>
      </c>
      <c r="J71">
        <v>2021</v>
      </c>
      <c r="K71" s="2" t="s">
        <v>1302</v>
      </c>
      <c r="L71" s="4">
        <v>60042</v>
      </c>
      <c r="M71" s="2" t="s">
        <v>1250</v>
      </c>
      <c r="N71" s="2" t="s">
        <v>1231</v>
      </c>
      <c r="O71" s="2" t="s">
        <v>10</v>
      </c>
      <c r="P71" s="3">
        <v>42664</v>
      </c>
      <c r="Q71" s="4">
        <v>207139</v>
      </c>
      <c r="R71">
        <v>544</v>
      </c>
      <c r="S71" t="str">
        <f>IF(Linked[[#This Row],[Credit Score]]&lt;=579,"Poor",IF(Linked[[#This Row],[Credit Score]]&lt;=669,"Fair",IF(Linked[[#This Row],[Credit Score]]&lt;=739,"Good",IF(Linked[[#This Row],[Credit Score]]&lt;=799,"Very Good",IF(Linked[[#This Row],[Credit Score]]&gt;=800,"Excellent")))))</f>
        <v>Poor</v>
      </c>
      <c r="T71" s="4">
        <v>382411</v>
      </c>
      <c r="U71" s="2"/>
      <c r="V71" s="2"/>
    </row>
    <row r="72" spans="1:22" x14ac:dyDescent="0.25">
      <c r="A72" s="2" t="s">
        <v>66</v>
      </c>
      <c r="B72" s="2" t="s">
        <v>65</v>
      </c>
      <c r="C72" s="2" t="s">
        <v>1494</v>
      </c>
      <c r="D72" s="2" t="s">
        <v>1227</v>
      </c>
      <c r="E72">
        <v>71</v>
      </c>
      <c r="F72" s="2" t="s">
        <v>1263</v>
      </c>
      <c r="G72" s="2" t="s">
        <v>1249</v>
      </c>
      <c r="H72" s="2" t="s">
        <v>1244</v>
      </c>
      <c r="I72" s="1">
        <v>45797</v>
      </c>
      <c r="J72">
        <v>2025</v>
      </c>
      <c r="K72" s="2" t="s">
        <v>1495</v>
      </c>
      <c r="L72" s="4">
        <v>69708</v>
      </c>
      <c r="M72" s="2" t="s">
        <v>1250</v>
      </c>
      <c r="N72" s="2" t="s">
        <v>1231</v>
      </c>
      <c r="O72" s="2" t="s">
        <v>10</v>
      </c>
      <c r="P72" s="3">
        <v>45203</v>
      </c>
      <c r="Q72" s="4">
        <v>291071</v>
      </c>
      <c r="R72">
        <v>689</v>
      </c>
      <c r="S72" t="str">
        <f>IF(Linked[[#This Row],[Credit Score]]&lt;=579,"Poor",IF(Linked[[#This Row],[Credit Score]]&lt;=669,"Fair",IF(Linked[[#This Row],[Credit Score]]&lt;=739,"Good",IF(Linked[[#This Row],[Credit Score]]&lt;=799,"Very Good",IF(Linked[[#This Row],[Credit Score]]&gt;=800,"Excellent")))))</f>
        <v>Good</v>
      </c>
      <c r="T72" s="4">
        <v>196007</v>
      </c>
      <c r="U72" s="2"/>
      <c r="V72" s="2"/>
    </row>
    <row r="73" spans="1:22" x14ac:dyDescent="0.25">
      <c r="A73" s="2" t="s">
        <v>66</v>
      </c>
      <c r="B73" s="2" t="s">
        <v>478</v>
      </c>
      <c r="C73" s="2" t="s">
        <v>1494</v>
      </c>
      <c r="D73" s="2" t="s">
        <v>1227</v>
      </c>
      <c r="E73">
        <v>71</v>
      </c>
      <c r="F73" s="2" t="s">
        <v>1263</v>
      </c>
      <c r="G73" s="2" t="s">
        <v>1249</v>
      </c>
      <c r="H73" s="2" t="s">
        <v>1244</v>
      </c>
      <c r="I73" s="1">
        <v>45797</v>
      </c>
      <c r="J73">
        <v>2025</v>
      </c>
      <c r="K73" s="2" t="s">
        <v>1495</v>
      </c>
      <c r="L73" s="4">
        <v>69708</v>
      </c>
      <c r="M73" s="2" t="s">
        <v>1250</v>
      </c>
      <c r="N73" s="2" t="s">
        <v>1231</v>
      </c>
      <c r="O73" s="2" t="s">
        <v>13</v>
      </c>
      <c r="P73" s="3">
        <v>44000</v>
      </c>
      <c r="Q73" s="4">
        <v>303297</v>
      </c>
      <c r="R73">
        <v>462</v>
      </c>
      <c r="S73" t="str">
        <f>IF(Linked[[#This Row],[Credit Score]]&lt;=579,"Poor",IF(Linked[[#This Row],[Credit Score]]&lt;=669,"Fair",IF(Linked[[#This Row],[Credit Score]]&lt;=739,"Good",IF(Linked[[#This Row],[Credit Score]]&lt;=799,"Very Good",IF(Linked[[#This Row],[Credit Score]]&gt;=800,"Excellent")))))</f>
        <v>Poor</v>
      </c>
      <c r="T73" s="4">
        <v>0</v>
      </c>
      <c r="U73" s="2"/>
      <c r="V73" s="2"/>
    </row>
    <row r="74" spans="1:22" x14ac:dyDescent="0.25">
      <c r="A74" s="2" t="s">
        <v>380</v>
      </c>
      <c r="B74" s="2" t="s">
        <v>379</v>
      </c>
      <c r="C74" s="2" t="s">
        <v>1306</v>
      </c>
      <c r="D74" s="2" t="s">
        <v>1227</v>
      </c>
      <c r="E74">
        <v>26</v>
      </c>
      <c r="F74" s="2" t="s">
        <v>1242</v>
      </c>
      <c r="G74" s="2" t="s">
        <v>1221</v>
      </c>
      <c r="H74" s="2" t="s">
        <v>1244</v>
      </c>
      <c r="I74" s="1">
        <v>43698</v>
      </c>
      <c r="J74">
        <v>2019</v>
      </c>
      <c r="K74" s="2" t="s">
        <v>1307</v>
      </c>
      <c r="L74" s="4">
        <v>136953</v>
      </c>
      <c r="M74" s="2" t="s">
        <v>1245</v>
      </c>
      <c r="N74" s="2" t="s">
        <v>1224</v>
      </c>
      <c r="O74" s="2" t="s">
        <v>25</v>
      </c>
      <c r="P74" s="3">
        <v>43587</v>
      </c>
      <c r="Q74" s="4">
        <v>130841</v>
      </c>
      <c r="R74">
        <v>732</v>
      </c>
      <c r="S74" t="str">
        <f>IF(Linked[[#This Row],[Credit Score]]&lt;=579,"Poor",IF(Linked[[#This Row],[Credit Score]]&lt;=669,"Fair",IF(Linked[[#This Row],[Credit Score]]&lt;=739,"Good",IF(Linked[[#This Row],[Credit Score]]&lt;=799,"Very Good",IF(Linked[[#This Row],[Credit Score]]&gt;=800,"Excellent")))))</f>
        <v>Good</v>
      </c>
      <c r="T74" s="4">
        <v>0</v>
      </c>
      <c r="U74" s="2"/>
      <c r="V74" s="2"/>
    </row>
    <row r="75" spans="1:22" x14ac:dyDescent="0.25">
      <c r="A75" s="2" t="s">
        <v>69</v>
      </c>
      <c r="B75" s="2" t="s">
        <v>68</v>
      </c>
      <c r="C75" s="2" t="s">
        <v>1788</v>
      </c>
      <c r="D75" s="2" t="s">
        <v>1227</v>
      </c>
      <c r="E75">
        <v>29</v>
      </c>
      <c r="F75" s="2" t="s">
        <v>1220</v>
      </c>
      <c r="G75" s="2" t="s">
        <v>1221</v>
      </c>
      <c r="H75" s="2" t="s">
        <v>1235</v>
      </c>
      <c r="I75" s="1">
        <v>45422</v>
      </c>
      <c r="J75">
        <v>2024</v>
      </c>
      <c r="K75" s="2" t="s">
        <v>1643</v>
      </c>
      <c r="L75" s="4">
        <v>124101</v>
      </c>
      <c r="M75" s="2" t="s">
        <v>1245</v>
      </c>
      <c r="N75" s="2" t="s">
        <v>1231</v>
      </c>
      <c r="O75" s="2" t="s">
        <v>10</v>
      </c>
      <c r="P75" s="3">
        <v>43955</v>
      </c>
      <c r="Q75" s="4">
        <v>101948</v>
      </c>
      <c r="R75">
        <v>569</v>
      </c>
      <c r="S75" t="str">
        <f>IF(Linked[[#This Row],[Credit Score]]&lt;=579,"Poor",IF(Linked[[#This Row],[Credit Score]]&lt;=669,"Fair",IF(Linked[[#This Row],[Credit Score]]&lt;=739,"Good",IF(Linked[[#This Row],[Credit Score]]&lt;=799,"Very Good",IF(Linked[[#This Row],[Credit Score]]&gt;=800,"Excellent")))))</f>
        <v>Poor</v>
      </c>
      <c r="T75" s="4">
        <v>335724</v>
      </c>
      <c r="U75" s="2"/>
      <c r="V75" s="2"/>
    </row>
    <row r="76" spans="1:22" x14ac:dyDescent="0.25">
      <c r="A76" s="2" t="s">
        <v>69</v>
      </c>
      <c r="B76" s="2" t="s">
        <v>72</v>
      </c>
      <c r="C76" s="2" t="s">
        <v>1788</v>
      </c>
      <c r="D76" s="2" t="s">
        <v>1227</v>
      </c>
      <c r="E76">
        <v>29</v>
      </c>
      <c r="F76" s="2" t="s">
        <v>1220</v>
      </c>
      <c r="G76" s="2" t="s">
        <v>1221</v>
      </c>
      <c r="H76" s="2" t="s">
        <v>1235</v>
      </c>
      <c r="I76" s="1">
        <v>45422</v>
      </c>
      <c r="J76">
        <v>2024</v>
      </c>
      <c r="K76" s="2" t="s">
        <v>1643</v>
      </c>
      <c r="L76" s="4">
        <v>124101</v>
      </c>
      <c r="M76" s="2" t="s">
        <v>1245</v>
      </c>
      <c r="N76" s="2" t="s">
        <v>1231</v>
      </c>
      <c r="O76" s="2" t="s">
        <v>13</v>
      </c>
      <c r="P76" s="3">
        <v>44092</v>
      </c>
      <c r="Q76" s="4">
        <v>29493</v>
      </c>
      <c r="R76">
        <v>431</v>
      </c>
      <c r="S76" t="str">
        <f>IF(Linked[[#This Row],[Credit Score]]&lt;=579,"Poor",IF(Linked[[#This Row],[Credit Score]]&lt;=669,"Fair",IF(Linked[[#This Row],[Credit Score]]&lt;=739,"Good",IF(Linked[[#This Row],[Credit Score]]&lt;=799,"Very Good",IF(Linked[[#This Row],[Credit Score]]&gt;=800,"Excellent")))))</f>
        <v>Poor</v>
      </c>
      <c r="T76" s="4">
        <v>0</v>
      </c>
      <c r="U76" s="2"/>
      <c r="V76" s="2"/>
    </row>
    <row r="77" spans="1:22" x14ac:dyDescent="0.25">
      <c r="A77" s="2" t="s">
        <v>69</v>
      </c>
      <c r="B77" s="2" t="s">
        <v>822</v>
      </c>
      <c r="C77" s="2" t="s">
        <v>1788</v>
      </c>
      <c r="D77" s="2" t="s">
        <v>1227</v>
      </c>
      <c r="E77">
        <v>29</v>
      </c>
      <c r="F77" s="2" t="s">
        <v>1220</v>
      </c>
      <c r="G77" s="2" t="s">
        <v>1221</v>
      </c>
      <c r="H77" s="2" t="s">
        <v>1235</v>
      </c>
      <c r="I77" s="1">
        <v>45422</v>
      </c>
      <c r="J77">
        <v>2024</v>
      </c>
      <c r="K77" s="2" t="s">
        <v>1643</v>
      </c>
      <c r="L77" s="4">
        <v>124101</v>
      </c>
      <c r="M77" s="2" t="s">
        <v>1245</v>
      </c>
      <c r="N77" s="2" t="s">
        <v>1231</v>
      </c>
      <c r="O77" s="2" t="s">
        <v>13</v>
      </c>
      <c r="P77" s="3">
        <v>43590</v>
      </c>
      <c r="Q77" s="4">
        <v>104927</v>
      </c>
      <c r="R77">
        <v>429</v>
      </c>
      <c r="S77" t="str">
        <f>IF(Linked[[#This Row],[Credit Score]]&lt;=579,"Poor",IF(Linked[[#This Row],[Credit Score]]&lt;=669,"Fair",IF(Linked[[#This Row],[Credit Score]]&lt;=739,"Good",IF(Linked[[#This Row],[Credit Score]]&lt;=799,"Very Good",IF(Linked[[#This Row],[Credit Score]]&gt;=800,"Excellent")))))</f>
        <v>Poor</v>
      </c>
      <c r="T77" s="4">
        <v>0</v>
      </c>
      <c r="U77" s="2"/>
      <c r="V77" s="2"/>
    </row>
    <row r="78" spans="1:22" x14ac:dyDescent="0.25">
      <c r="A78" s="2" t="s">
        <v>71</v>
      </c>
      <c r="B78" s="2" t="s">
        <v>70</v>
      </c>
      <c r="C78" s="2" t="s">
        <v>2258</v>
      </c>
      <c r="D78" s="2" t="s">
        <v>1227</v>
      </c>
      <c r="E78">
        <v>18</v>
      </c>
      <c r="F78" s="2" t="s">
        <v>1242</v>
      </c>
      <c r="G78" s="2" t="s">
        <v>1243</v>
      </c>
      <c r="H78" s="2" t="s">
        <v>1244</v>
      </c>
      <c r="I78" s="1">
        <v>43488</v>
      </c>
      <c r="J78">
        <v>2019</v>
      </c>
      <c r="K78" s="2" t="s">
        <v>2259</v>
      </c>
      <c r="L78" s="4">
        <v>53997</v>
      </c>
      <c r="M78" s="2" t="s">
        <v>1250</v>
      </c>
      <c r="N78" s="2" t="s">
        <v>1224</v>
      </c>
      <c r="O78" s="2" t="s">
        <v>13</v>
      </c>
      <c r="P78" s="3">
        <v>43461</v>
      </c>
      <c r="Q78" s="4">
        <v>185194</v>
      </c>
      <c r="R78">
        <v>609</v>
      </c>
      <c r="S78" t="str">
        <f>IF(Linked[[#This Row],[Credit Score]]&lt;=579,"Poor",IF(Linked[[#This Row],[Credit Score]]&lt;=669,"Fair",IF(Linked[[#This Row],[Credit Score]]&lt;=739,"Good",IF(Linked[[#This Row],[Credit Score]]&lt;=799,"Very Good",IF(Linked[[#This Row],[Credit Score]]&gt;=800,"Excellent")))))</f>
        <v>Fair</v>
      </c>
      <c r="T78" s="4">
        <v>0</v>
      </c>
      <c r="U78" s="2"/>
      <c r="V78" s="2"/>
    </row>
    <row r="79" spans="1:22" x14ac:dyDescent="0.25">
      <c r="A79" s="2" t="s">
        <v>71</v>
      </c>
      <c r="B79" s="2" t="s">
        <v>544</v>
      </c>
      <c r="C79" s="2" t="s">
        <v>2258</v>
      </c>
      <c r="D79" s="2" t="s">
        <v>1227</v>
      </c>
      <c r="E79">
        <v>18</v>
      </c>
      <c r="F79" s="2" t="s">
        <v>1242</v>
      </c>
      <c r="G79" s="2" t="s">
        <v>1243</v>
      </c>
      <c r="H79" s="2" t="s">
        <v>1244</v>
      </c>
      <c r="I79" s="1">
        <v>43488</v>
      </c>
      <c r="J79">
        <v>2019</v>
      </c>
      <c r="K79" s="2" t="s">
        <v>2259</v>
      </c>
      <c r="L79" s="4">
        <v>53997</v>
      </c>
      <c r="M79" s="2" t="s">
        <v>1250</v>
      </c>
      <c r="N79" s="2" t="s">
        <v>1224</v>
      </c>
      <c r="O79" s="2" t="s">
        <v>10</v>
      </c>
      <c r="P79" s="3">
        <v>45366</v>
      </c>
      <c r="Q79" s="4">
        <v>417339</v>
      </c>
      <c r="R79">
        <v>662</v>
      </c>
      <c r="S79" t="str">
        <f>IF(Linked[[#This Row],[Credit Score]]&lt;=579,"Poor",IF(Linked[[#This Row],[Credit Score]]&lt;=669,"Fair",IF(Linked[[#This Row],[Credit Score]]&lt;=739,"Good",IF(Linked[[#This Row],[Credit Score]]&lt;=799,"Very Good",IF(Linked[[#This Row],[Credit Score]]&gt;=800,"Excellent")))))</f>
        <v>Fair</v>
      </c>
      <c r="T79" s="4">
        <v>0</v>
      </c>
      <c r="U79" s="2"/>
      <c r="V79" s="2"/>
    </row>
    <row r="80" spans="1:22" x14ac:dyDescent="0.25">
      <c r="A80" s="2" t="s">
        <v>71</v>
      </c>
      <c r="B80" s="2" t="s">
        <v>668</v>
      </c>
      <c r="C80" s="2" t="s">
        <v>2258</v>
      </c>
      <c r="D80" s="2" t="s">
        <v>1227</v>
      </c>
      <c r="E80">
        <v>18</v>
      </c>
      <c r="F80" s="2" t="s">
        <v>1242</v>
      </c>
      <c r="G80" s="2" t="s">
        <v>1243</v>
      </c>
      <c r="H80" s="2" t="s">
        <v>1244</v>
      </c>
      <c r="I80" s="1">
        <v>43488</v>
      </c>
      <c r="J80">
        <v>2019</v>
      </c>
      <c r="K80" s="2" t="s">
        <v>2259</v>
      </c>
      <c r="L80" s="4">
        <v>53997</v>
      </c>
      <c r="M80" s="2" t="s">
        <v>1250</v>
      </c>
      <c r="N80" s="2" t="s">
        <v>1224</v>
      </c>
      <c r="O80" s="2" t="s">
        <v>10</v>
      </c>
      <c r="P80" s="3">
        <v>43062</v>
      </c>
      <c r="Q80" s="4">
        <v>272769</v>
      </c>
      <c r="R80">
        <v>794</v>
      </c>
      <c r="S80" t="str">
        <f>IF(Linked[[#This Row],[Credit Score]]&lt;=579,"Poor",IF(Linked[[#This Row],[Credit Score]]&lt;=669,"Fair",IF(Linked[[#This Row],[Credit Score]]&lt;=739,"Good",IF(Linked[[#This Row],[Credit Score]]&lt;=799,"Very Good",IF(Linked[[#This Row],[Credit Score]]&gt;=800,"Excellent")))))</f>
        <v>Very Good</v>
      </c>
      <c r="T80" s="4">
        <v>0</v>
      </c>
      <c r="U80" s="2"/>
      <c r="V80" s="2"/>
    </row>
    <row r="81" spans="1:22" x14ac:dyDescent="0.25">
      <c r="A81" s="2" t="s">
        <v>71</v>
      </c>
      <c r="B81" s="2" t="s">
        <v>704</v>
      </c>
      <c r="C81" s="2" t="s">
        <v>2258</v>
      </c>
      <c r="D81" s="2" t="s">
        <v>1227</v>
      </c>
      <c r="E81">
        <v>18</v>
      </c>
      <c r="F81" s="2" t="s">
        <v>1242</v>
      </c>
      <c r="G81" s="2" t="s">
        <v>1243</v>
      </c>
      <c r="H81" s="2" t="s">
        <v>1244</v>
      </c>
      <c r="I81" s="1">
        <v>43488</v>
      </c>
      <c r="J81">
        <v>2019</v>
      </c>
      <c r="K81" s="2" t="s">
        <v>2259</v>
      </c>
      <c r="L81" s="4">
        <v>53997</v>
      </c>
      <c r="M81" s="2" t="s">
        <v>1250</v>
      </c>
      <c r="N81" s="2" t="s">
        <v>1224</v>
      </c>
      <c r="O81" s="2" t="s">
        <v>32</v>
      </c>
      <c r="P81" s="3">
        <v>44487</v>
      </c>
      <c r="Q81" s="4">
        <v>421669</v>
      </c>
      <c r="R81">
        <v>829</v>
      </c>
      <c r="S81" t="str">
        <f>IF(Linked[[#This Row],[Credit Score]]&lt;=579,"Poor",IF(Linked[[#This Row],[Credit Score]]&lt;=669,"Fair",IF(Linked[[#This Row],[Credit Score]]&lt;=739,"Good",IF(Linked[[#This Row],[Credit Score]]&lt;=799,"Very Good",IF(Linked[[#This Row],[Credit Score]]&gt;=800,"Excellent")))))</f>
        <v>Excellent</v>
      </c>
      <c r="T81" s="4">
        <v>0</v>
      </c>
      <c r="U81" s="2"/>
      <c r="V81" s="2"/>
    </row>
    <row r="82" spans="1:22" x14ac:dyDescent="0.25">
      <c r="A82" s="2" t="s">
        <v>219</v>
      </c>
      <c r="B82" s="2" t="s">
        <v>218</v>
      </c>
      <c r="C82" s="2" t="s">
        <v>1313</v>
      </c>
      <c r="D82" s="2" t="s">
        <v>1219</v>
      </c>
      <c r="E82">
        <v>65</v>
      </c>
      <c r="F82" s="2" t="s">
        <v>1263</v>
      </c>
      <c r="G82" s="2" t="s">
        <v>1229</v>
      </c>
      <c r="H82" s="2" t="s">
        <v>1222</v>
      </c>
      <c r="I82" s="1">
        <v>42742</v>
      </c>
      <c r="J82">
        <v>2017</v>
      </c>
      <c r="K82" s="2" t="s">
        <v>1314</v>
      </c>
      <c r="L82" s="4">
        <v>138533</v>
      </c>
      <c r="M82" s="2" t="s">
        <v>1245</v>
      </c>
      <c r="N82" s="2" t="s">
        <v>1231</v>
      </c>
      <c r="O82" s="2" t="s">
        <v>13</v>
      </c>
      <c r="P82" s="3">
        <v>44192</v>
      </c>
      <c r="Q82" s="4">
        <v>221135</v>
      </c>
      <c r="R82">
        <v>371</v>
      </c>
      <c r="S82" t="str">
        <f>IF(Linked[[#This Row],[Credit Score]]&lt;=579,"Poor",IF(Linked[[#This Row],[Credit Score]]&lt;=669,"Fair",IF(Linked[[#This Row],[Credit Score]]&lt;=739,"Good",IF(Linked[[#This Row],[Credit Score]]&lt;=799,"Very Good",IF(Linked[[#This Row],[Credit Score]]&gt;=800,"Excellent")))))</f>
        <v>Poor</v>
      </c>
      <c r="T82" s="4">
        <v>0</v>
      </c>
      <c r="U82" s="2"/>
      <c r="V82" s="2"/>
    </row>
    <row r="83" spans="1:22" x14ac:dyDescent="0.25">
      <c r="A83" s="2" t="s">
        <v>74</v>
      </c>
      <c r="B83" s="2" t="s">
        <v>73</v>
      </c>
      <c r="C83" s="2" t="s">
        <v>1900</v>
      </c>
      <c r="D83" s="2" t="s">
        <v>1219</v>
      </c>
      <c r="E83">
        <v>52</v>
      </c>
      <c r="F83" s="2" t="s">
        <v>1228</v>
      </c>
      <c r="G83" s="2" t="s">
        <v>1243</v>
      </c>
      <c r="H83" s="2" t="s">
        <v>1222</v>
      </c>
      <c r="I83" s="1">
        <v>44957</v>
      </c>
      <c r="J83">
        <v>2023</v>
      </c>
      <c r="K83" s="2" t="s">
        <v>1901</v>
      </c>
      <c r="L83" s="4">
        <v>147118</v>
      </c>
      <c r="M83" s="2" t="s">
        <v>1223</v>
      </c>
      <c r="N83" s="2" t="s">
        <v>1231</v>
      </c>
      <c r="O83" s="2" t="s">
        <v>10</v>
      </c>
      <c r="P83" s="3">
        <v>45191</v>
      </c>
      <c r="Q83" s="4">
        <v>485463</v>
      </c>
      <c r="R83">
        <v>371</v>
      </c>
      <c r="S83" t="str">
        <f>IF(Linked[[#This Row],[Credit Score]]&lt;=579,"Poor",IF(Linked[[#This Row],[Credit Score]]&lt;=669,"Fair",IF(Linked[[#This Row],[Credit Score]]&lt;=739,"Good",IF(Linked[[#This Row],[Credit Score]]&lt;=799,"Very Good",IF(Linked[[#This Row],[Credit Score]]&gt;=800,"Excellent")))))</f>
        <v>Poor</v>
      </c>
      <c r="T83" s="4">
        <v>0</v>
      </c>
      <c r="U83" s="2"/>
      <c r="V83" s="2"/>
    </row>
    <row r="84" spans="1:22" x14ac:dyDescent="0.25">
      <c r="A84" s="2" t="s">
        <v>74</v>
      </c>
      <c r="B84" s="2" t="s">
        <v>787</v>
      </c>
      <c r="C84" s="2" t="s">
        <v>1900</v>
      </c>
      <c r="D84" s="2" t="s">
        <v>1219</v>
      </c>
      <c r="E84">
        <v>52</v>
      </c>
      <c r="F84" s="2" t="s">
        <v>1228</v>
      </c>
      <c r="G84" s="2" t="s">
        <v>1243</v>
      </c>
      <c r="H84" s="2" t="s">
        <v>1222</v>
      </c>
      <c r="I84" s="1">
        <v>44957</v>
      </c>
      <c r="J84">
        <v>2023</v>
      </c>
      <c r="K84" s="2" t="s">
        <v>1901</v>
      </c>
      <c r="L84" s="4">
        <v>147118</v>
      </c>
      <c r="M84" s="2" t="s">
        <v>1223</v>
      </c>
      <c r="N84" s="2" t="s">
        <v>1231</v>
      </c>
      <c r="O84" s="2" t="s">
        <v>13</v>
      </c>
      <c r="P84" s="3">
        <v>43318</v>
      </c>
      <c r="Q84" s="4">
        <v>243386</v>
      </c>
      <c r="R84">
        <v>634</v>
      </c>
      <c r="S84" t="str">
        <f>IF(Linked[[#This Row],[Credit Score]]&lt;=579,"Poor",IF(Linked[[#This Row],[Credit Score]]&lt;=669,"Fair",IF(Linked[[#This Row],[Credit Score]]&lt;=739,"Good",IF(Linked[[#This Row],[Credit Score]]&lt;=799,"Very Good",IF(Linked[[#This Row],[Credit Score]]&gt;=800,"Excellent")))))</f>
        <v>Fair</v>
      </c>
      <c r="T84" s="4">
        <v>0</v>
      </c>
      <c r="U84" s="2" t="s">
        <v>59</v>
      </c>
      <c r="V84" s="2"/>
    </row>
    <row r="85" spans="1:22" x14ac:dyDescent="0.25">
      <c r="A85" s="2" t="s">
        <v>455</v>
      </c>
      <c r="B85" s="2" t="s">
        <v>454</v>
      </c>
      <c r="C85" s="2" t="s">
        <v>1315</v>
      </c>
      <c r="D85" s="2" t="s">
        <v>1219</v>
      </c>
      <c r="E85">
        <v>56</v>
      </c>
      <c r="F85" s="2" t="s">
        <v>1228</v>
      </c>
      <c r="G85" s="2" t="s">
        <v>1221</v>
      </c>
      <c r="H85" s="2" t="s">
        <v>1259</v>
      </c>
      <c r="I85" s="1">
        <v>42565</v>
      </c>
      <c r="J85">
        <v>2016</v>
      </c>
      <c r="K85" s="2" t="s">
        <v>1316</v>
      </c>
      <c r="L85" s="4">
        <v>93781</v>
      </c>
      <c r="M85" s="2" t="s">
        <v>1245</v>
      </c>
      <c r="N85" s="2" t="s">
        <v>1231</v>
      </c>
      <c r="O85" s="2" t="s">
        <v>25</v>
      </c>
      <c r="P85" s="3">
        <v>42316</v>
      </c>
      <c r="Q85" s="4">
        <v>397650</v>
      </c>
      <c r="R85">
        <v>577</v>
      </c>
      <c r="S85" t="str">
        <f>IF(Linked[[#This Row],[Credit Score]]&lt;=579,"Poor",IF(Linked[[#This Row],[Credit Score]]&lt;=669,"Fair",IF(Linked[[#This Row],[Credit Score]]&lt;=739,"Good",IF(Linked[[#This Row],[Credit Score]]&lt;=799,"Very Good",IF(Linked[[#This Row],[Credit Score]]&gt;=800,"Excellent")))))</f>
        <v>Poor</v>
      </c>
      <c r="T85" s="4">
        <v>0</v>
      </c>
      <c r="U85" s="2"/>
      <c r="V85" s="2"/>
    </row>
    <row r="86" spans="1:22" x14ac:dyDescent="0.25">
      <c r="A86" s="2" t="s">
        <v>455</v>
      </c>
      <c r="B86" s="2" t="s">
        <v>611</v>
      </c>
      <c r="C86" s="2" t="s">
        <v>1315</v>
      </c>
      <c r="D86" s="2" t="s">
        <v>1219</v>
      </c>
      <c r="E86">
        <v>56</v>
      </c>
      <c r="F86" s="2" t="s">
        <v>1228</v>
      </c>
      <c r="G86" s="2" t="s">
        <v>1221</v>
      </c>
      <c r="H86" s="2" t="s">
        <v>1259</v>
      </c>
      <c r="I86" s="1">
        <v>42565</v>
      </c>
      <c r="J86">
        <v>2016</v>
      </c>
      <c r="K86" s="2" t="s">
        <v>1316</v>
      </c>
      <c r="L86" s="4">
        <v>93781</v>
      </c>
      <c r="M86" s="2" t="s">
        <v>1245</v>
      </c>
      <c r="N86" s="2" t="s">
        <v>1231</v>
      </c>
      <c r="O86" s="2" t="s">
        <v>25</v>
      </c>
      <c r="P86" s="3">
        <v>42667</v>
      </c>
      <c r="Q86" s="4">
        <v>35931</v>
      </c>
      <c r="R86">
        <v>305</v>
      </c>
      <c r="S86" t="str">
        <f>IF(Linked[[#This Row],[Credit Score]]&lt;=579,"Poor",IF(Linked[[#This Row],[Credit Score]]&lt;=669,"Fair",IF(Linked[[#This Row],[Credit Score]]&lt;=739,"Good",IF(Linked[[#This Row],[Credit Score]]&lt;=799,"Very Good",IF(Linked[[#This Row],[Credit Score]]&gt;=800,"Excellent")))))</f>
        <v>Poor</v>
      </c>
      <c r="T86" s="4">
        <v>0</v>
      </c>
      <c r="U86" s="2"/>
      <c r="V86" s="2"/>
    </row>
    <row r="87" spans="1:22" x14ac:dyDescent="0.25">
      <c r="A87" s="2" t="s">
        <v>76</v>
      </c>
      <c r="B87" s="2" t="s">
        <v>75</v>
      </c>
      <c r="C87" s="2" t="s">
        <v>2222</v>
      </c>
      <c r="D87" s="2" t="s">
        <v>1219</v>
      </c>
      <c r="E87">
        <v>18</v>
      </c>
      <c r="F87" s="2" t="s">
        <v>1242</v>
      </c>
      <c r="G87" s="2" t="s">
        <v>1249</v>
      </c>
      <c r="H87" s="2" t="s">
        <v>1235</v>
      </c>
      <c r="I87" s="1">
        <v>43849</v>
      </c>
      <c r="J87">
        <v>2020</v>
      </c>
      <c r="K87" s="2" t="s">
        <v>2223</v>
      </c>
      <c r="L87" s="4">
        <v>103310</v>
      </c>
      <c r="M87" s="2" t="s">
        <v>1245</v>
      </c>
      <c r="N87" s="2" t="s">
        <v>1231</v>
      </c>
      <c r="O87" s="2" t="s">
        <v>10</v>
      </c>
      <c r="P87" s="3">
        <v>45495</v>
      </c>
      <c r="Q87" s="4">
        <v>466755</v>
      </c>
      <c r="R87">
        <v>486</v>
      </c>
      <c r="S87" t="str">
        <f>IF(Linked[[#This Row],[Credit Score]]&lt;=579,"Poor",IF(Linked[[#This Row],[Credit Score]]&lt;=669,"Fair",IF(Linked[[#This Row],[Credit Score]]&lt;=739,"Good",IF(Linked[[#This Row],[Credit Score]]&lt;=799,"Very Good",IF(Linked[[#This Row],[Credit Score]]&gt;=800,"Excellent")))))</f>
        <v>Poor</v>
      </c>
      <c r="T87" s="4">
        <v>0</v>
      </c>
      <c r="U87" s="2" t="s">
        <v>59</v>
      </c>
      <c r="V87" s="2"/>
    </row>
    <row r="88" spans="1:22" x14ac:dyDescent="0.25">
      <c r="A88" s="2" t="s">
        <v>78</v>
      </c>
      <c r="B88" s="2" t="s">
        <v>77</v>
      </c>
      <c r="C88" s="2" t="s">
        <v>1919</v>
      </c>
      <c r="D88" s="2" t="s">
        <v>1227</v>
      </c>
      <c r="E88">
        <v>61</v>
      </c>
      <c r="F88" s="2" t="s">
        <v>1263</v>
      </c>
      <c r="G88" s="2" t="s">
        <v>1249</v>
      </c>
      <c r="H88" s="2" t="s">
        <v>1253</v>
      </c>
      <c r="I88" s="1">
        <v>43566</v>
      </c>
      <c r="J88">
        <v>2019</v>
      </c>
      <c r="K88" s="2" t="s">
        <v>1920</v>
      </c>
      <c r="L88" s="4">
        <v>150406</v>
      </c>
      <c r="M88" s="2" t="s">
        <v>1223</v>
      </c>
      <c r="N88" s="2" t="s">
        <v>1224</v>
      </c>
      <c r="O88" s="2" t="s">
        <v>25</v>
      </c>
      <c r="P88" s="3">
        <v>42433</v>
      </c>
      <c r="Q88" s="4">
        <v>293851</v>
      </c>
      <c r="R88">
        <v>785</v>
      </c>
      <c r="S88" t="str">
        <f>IF(Linked[[#This Row],[Credit Score]]&lt;=579,"Poor",IF(Linked[[#This Row],[Credit Score]]&lt;=669,"Fair",IF(Linked[[#This Row],[Credit Score]]&lt;=739,"Good",IF(Linked[[#This Row],[Credit Score]]&lt;=799,"Very Good",IF(Linked[[#This Row],[Credit Score]]&gt;=800,"Excellent")))))</f>
        <v>Very Good</v>
      </c>
      <c r="T88" s="4">
        <v>0</v>
      </c>
      <c r="U88" s="2"/>
      <c r="V88" s="2"/>
    </row>
    <row r="89" spans="1:22" x14ac:dyDescent="0.25">
      <c r="A89" s="2" t="s">
        <v>78</v>
      </c>
      <c r="B89" s="2" t="s">
        <v>199</v>
      </c>
      <c r="C89" s="2" t="s">
        <v>1919</v>
      </c>
      <c r="D89" s="2" t="s">
        <v>1227</v>
      </c>
      <c r="E89">
        <v>61</v>
      </c>
      <c r="F89" s="2" t="s">
        <v>1263</v>
      </c>
      <c r="G89" s="2" t="s">
        <v>1249</v>
      </c>
      <c r="H89" s="2" t="s">
        <v>1253</v>
      </c>
      <c r="I89" s="1">
        <v>43566</v>
      </c>
      <c r="J89">
        <v>2019</v>
      </c>
      <c r="K89" s="2" t="s">
        <v>1920</v>
      </c>
      <c r="L89" s="4">
        <v>150406</v>
      </c>
      <c r="M89" s="2" t="s">
        <v>1223</v>
      </c>
      <c r="N89" s="2" t="s">
        <v>1224</v>
      </c>
      <c r="O89" s="2" t="s">
        <v>10</v>
      </c>
      <c r="P89" s="3">
        <v>45303</v>
      </c>
      <c r="Q89" s="4">
        <v>346658</v>
      </c>
      <c r="R89">
        <v>716</v>
      </c>
      <c r="S89" t="str">
        <f>IF(Linked[[#This Row],[Credit Score]]&lt;=579,"Poor",IF(Linked[[#This Row],[Credit Score]]&lt;=669,"Fair",IF(Linked[[#This Row],[Credit Score]]&lt;=739,"Good",IF(Linked[[#This Row],[Credit Score]]&lt;=799,"Very Good",IF(Linked[[#This Row],[Credit Score]]&gt;=800,"Excellent")))))</f>
        <v>Good</v>
      </c>
      <c r="T89" s="4">
        <v>0</v>
      </c>
      <c r="U89" s="2"/>
      <c r="V89" s="2"/>
    </row>
    <row r="90" spans="1:22" x14ac:dyDescent="0.25">
      <c r="A90" s="2" t="s">
        <v>78</v>
      </c>
      <c r="B90" s="2" t="s">
        <v>327</v>
      </c>
      <c r="C90" s="2" t="s">
        <v>1919</v>
      </c>
      <c r="D90" s="2" t="s">
        <v>1227</v>
      </c>
      <c r="E90">
        <v>61</v>
      </c>
      <c r="F90" s="2" t="s">
        <v>1263</v>
      </c>
      <c r="G90" s="2" t="s">
        <v>1249</v>
      </c>
      <c r="H90" s="2" t="s">
        <v>1253</v>
      </c>
      <c r="I90" s="1">
        <v>43566</v>
      </c>
      <c r="J90">
        <v>2019</v>
      </c>
      <c r="K90" s="2" t="s">
        <v>1920</v>
      </c>
      <c r="L90" s="4">
        <v>150406</v>
      </c>
      <c r="M90" s="2" t="s">
        <v>1223</v>
      </c>
      <c r="N90" s="2" t="s">
        <v>1224</v>
      </c>
      <c r="O90" s="2" t="s">
        <v>10</v>
      </c>
      <c r="P90" s="3">
        <v>45000</v>
      </c>
      <c r="Q90" s="4">
        <v>347424</v>
      </c>
      <c r="R90">
        <v>674</v>
      </c>
      <c r="S90" t="str">
        <f>IF(Linked[[#This Row],[Credit Score]]&lt;=579,"Poor",IF(Linked[[#This Row],[Credit Score]]&lt;=669,"Fair",IF(Linked[[#This Row],[Credit Score]]&lt;=739,"Good",IF(Linked[[#This Row],[Credit Score]]&lt;=799,"Very Good",IF(Linked[[#This Row],[Credit Score]]&gt;=800,"Excellent")))))</f>
        <v>Good</v>
      </c>
      <c r="T90" s="4">
        <v>0</v>
      </c>
      <c r="U90" s="2" t="s">
        <v>18</v>
      </c>
      <c r="V90" s="2"/>
    </row>
    <row r="91" spans="1:22" x14ac:dyDescent="0.25">
      <c r="A91" s="2" t="s">
        <v>78</v>
      </c>
      <c r="B91" s="2" t="s">
        <v>793</v>
      </c>
      <c r="C91" s="2" t="s">
        <v>1919</v>
      </c>
      <c r="D91" s="2" t="s">
        <v>1227</v>
      </c>
      <c r="E91">
        <v>61</v>
      </c>
      <c r="F91" s="2" t="s">
        <v>1263</v>
      </c>
      <c r="G91" s="2" t="s">
        <v>1249</v>
      </c>
      <c r="H91" s="2" t="s">
        <v>1253</v>
      </c>
      <c r="I91" s="1">
        <v>43566</v>
      </c>
      <c r="J91">
        <v>2019</v>
      </c>
      <c r="K91" s="2" t="s">
        <v>1920</v>
      </c>
      <c r="L91" s="4">
        <v>150406</v>
      </c>
      <c r="M91" s="2" t="s">
        <v>1223</v>
      </c>
      <c r="N91" s="2" t="s">
        <v>1224</v>
      </c>
      <c r="O91" s="2" t="s">
        <v>10</v>
      </c>
      <c r="P91" s="3">
        <v>43856</v>
      </c>
      <c r="Q91" s="4">
        <v>274535</v>
      </c>
      <c r="R91">
        <v>349</v>
      </c>
      <c r="S91" t="str">
        <f>IF(Linked[[#This Row],[Credit Score]]&lt;=579,"Poor",IF(Linked[[#This Row],[Credit Score]]&lt;=669,"Fair",IF(Linked[[#This Row],[Credit Score]]&lt;=739,"Good",IF(Linked[[#This Row],[Credit Score]]&lt;=799,"Very Good",IF(Linked[[#This Row],[Credit Score]]&gt;=800,"Excellent")))))</f>
        <v>Poor</v>
      </c>
      <c r="T91" s="4">
        <v>246766</v>
      </c>
      <c r="U91" s="2" t="s">
        <v>18</v>
      </c>
      <c r="V91" s="2"/>
    </row>
    <row r="92" spans="1:22" x14ac:dyDescent="0.25">
      <c r="A92" s="2" t="s">
        <v>725</v>
      </c>
      <c r="B92" s="2" t="s">
        <v>724</v>
      </c>
      <c r="C92" s="2" t="s">
        <v>1319</v>
      </c>
      <c r="D92" s="2" t="s">
        <v>1227</v>
      </c>
      <c r="E92">
        <v>59</v>
      </c>
      <c r="F92" s="2" t="s">
        <v>1228</v>
      </c>
      <c r="G92" s="2" t="s">
        <v>1243</v>
      </c>
      <c r="H92" s="2" t="s">
        <v>1244</v>
      </c>
      <c r="I92" s="1">
        <v>44513</v>
      </c>
      <c r="J92">
        <v>2021</v>
      </c>
      <c r="K92" s="2" t="s">
        <v>1320</v>
      </c>
      <c r="L92" s="4">
        <v>66600</v>
      </c>
      <c r="M92" s="2" t="s">
        <v>1250</v>
      </c>
      <c r="N92" s="2" t="s">
        <v>1231</v>
      </c>
      <c r="O92" s="2" t="s">
        <v>10</v>
      </c>
      <c r="P92" s="3">
        <v>45521</v>
      </c>
      <c r="Q92" s="4">
        <v>438164</v>
      </c>
      <c r="R92">
        <v>582</v>
      </c>
      <c r="S92" t="str">
        <f>IF(Linked[[#This Row],[Credit Score]]&lt;=579,"Poor",IF(Linked[[#This Row],[Credit Score]]&lt;=669,"Fair",IF(Linked[[#This Row],[Credit Score]]&lt;=739,"Good",IF(Linked[[#This Row],[Credit Score]]&lt;=799,"Very Good",IF(Linked[[#This Row],[Credit Score]]&gt;=800,"Excellent")))))</f>
        <v>Fair</v>
      </c>
      <c r="T92" s="4">
        <v>0</v>
      </c>
      <c r="U92" s="2" t="s">
        <v>39</v>
      </c>
      <c r="V92" s="2"/>
    </row>
    <row r="93" spans="1:22" x14ac:dyDescent="0.25">
      <c r="A93" s="2" t="s">
        <v>80</v>
      </c>
      <c r="B93" s="2" t="s">
        <v>79</v>
      </c>
      <c r="C93" s="2" t="s">
        <v>1498</v>
      </c>
      <c r="D93" s="2" t="s">
        <v>1227</v>
      </c>
      <c r="E93">
        <v>42</v>
      </c>
      <c r="F93" s="2" t="s">
        <v>1220</v>
      </c>
      <c r="G93" s="2" t="s">
        <v>1249</v>
      </c>
      <c r="H93" s="2" t="s">
        <v>1239</v>
      </c>
      <c r="I93" s="1">
        <v>45720</v>
      </c>
      <c r="J93">
        <v>2025</v>
      </c>
      <c r="K93" s="2" t="s">
        <v>1476</v>
      </c>
      <c r="L93" s="4">
        <v>88344</v>
      </c>
      <c r="M93" s="2" t="s">
        <v>1245</v>
      </c>
      <c r="N93" s="2" t="s">
        <v>1224</v>
      </c>
      <c r="O93" s="2" t="s">
        <v>13</v>
      </c>
      <c r="P93" s="3">
        <v>43495</v>
      </c>
      <c r="Q93" s="4">
        <v>199886</v>
      </c>
      <c r="R93">
        <v>490</v>
      </c>
      <c r="S93" t="str">
        <f>IF(Linked[[#This Row],[Credit Score]]&lt;=579,"Poor",IF(Linked[[#This Row],[Credit Score]]&lt;=669,"Fair",IF(Linked[[#This Row],[Credit Score]]&lt;=739,"Good",IF(Linked[[#This Row],[Credit Score]]&lt;=799,"Very Good",IF(Linked[[#This Row],[Credit Score]]&gt;=800,"Excellent")))))</f>
        <v>Poor</v>
      </c>
      <c r="T93" s="4">
        <v>0</v>
      </c>
      <c r="U93" s="2"/>
      <c r="V93" s="2"/>
    </row>
    <row r="94" spans="1:22" x14ac:dyDescent="0.25">
      <c r="A94" s="2" t="s">
        <v>80</v>
      </c>
      <c r="B94" s="2" t="s">
        <v>137</v>
      </c>
      <c r="C94" s="2" t="s">
        <v>1498</v>
      </c>
      <c r="D94" s="2" t="s">
        <v>1227</v>
      </c>
      <c r="E94">
        <v>42</v>
      </c>
      <c r="F94" s="2" t="s">
        <v>1220</v>
      </c>
      <c r="G94" s="2" t="s">
        <v>1249</v>
      </c>
      <c r="H94" s="2" t="s">
        <v>1239</v>
      </c>
      <c r="I94" s="1">
        <v>45720</v>
      </c>
      <c r="J94">
        <v>2025</v>
      </c>
      <c r="K94" s="2" t="s">
        <v>1476</v>
      </c>
      <c r="L94" s="4">
        <v>88344</v>
      </c>
      <c r="M94" s="2" t="s">
        <v>1245</v>
      </c>
      <c r="N94" s="2" t="s">
        <v>1224</v>
      </c>
      <c r="O94" s="2" t="s">
        <v>10</v>
      </c>
      <c r="P94" s="3">
        <v>45846</v>
      </c>
      <c r="Q94" s="4">
        <v>2187</v>
      </c>
      <c r="R94">
        <v>799</v>
      </c>
      <c r="S94" t="str">
        <f>IF(Linked[[#This Row],[Credit Score]]&lt;=579,"Poor",IF(Linked[[#This Row],[Credit Score]]&lt;=669,"Fair",IF(Linked[[#This Row],[Credit Score]]&lt;=739,"Good",IF(Linked[[#This Row],[Credit Score]]&lt;=799,"Very Good",IF(Linked[[#This Row],[Credit Score]]&gt;=800,"Excellent")))))</f>
        <v>Very Good</v>
      </c>
      <c r="T94" s="4">
        <v>0</v>
      </c>
      <c r="U94" s="2"/>
      <c r="V94" s="2"/>
    </row>
    <row r="95" spans="1:22" x14ac:dyDescent="0.25">
      <c r="A95" s="2" t="s">
        <v>154</v>
      </c>
      <c r="B95" s="2" t="s">
        <v>153</v>
      </c>
      <c r="C95" s="2" t="s">
        <v>1321</v>
      </c>
      <c r="D95" s="2" t="s">
        <v>1227</v>
      </c>
      <c r="E95">
        <v>72</v>
      </c>
      <c r="F95" s="2" t="s">
        <v>1263</v>
      </c>
      <c r="G95" s="2" t="s">
        <v>1229</v>
      </c>
      <c r="H95" s="2" t="s">
        <v>1239</v>
      </c>
      <c r="I95" s="1">
        <v>42533</v>
      </c>
      <c r="J95">
        <v>2016</v>
      </c>
      <c r="K95" s="2" t="s">
        <v>1322</v>
      </c>
      <c r="L95" s="4">
        <v>96898</v>
      </c>
      <c r="M95" s="2" t="s">
        <v>1245</v>
      </c>
      <c r="N95" s="2" t="s">
        <v>1231</v>
      </c>
      <c r="O95" s="2" t="s">
        <v>10</v>
      </c>
      <c r="P95" s="3">
        <v>43741</v>
      </c>
      <c r="Q95" s="4">
        <v>419705</v>
      </c>
      <c r="R95">
        <v>614</v>
      </c>
      <c r="S95" t="str">
        <f>IF(Linked[[#This Row],[Credit Score]]&lt;=579,"Poor",IF(Linked[[#This Row],[Credit Score]]&lt;=669,"Fair",IF(Linked[[#This Row],[Credit Score]]&lt;=739,"Good",IF(Linked[[#This Row],[Credit Score]]&lt;=799,"Very Good",IF(Linked[[#This Row],[Credit Score]]&gt;=800,"Excellent")))))</f>
        <v>Fair</v>
      </c>
      <c r="T95" s="4">
        <v>0</v>
      </c>
      <c r="U95" s="2"/>
      <c r="V95" s="2"/>
    </row>
    <row r="96" spans="1:22" x14ac:dyDescent="0.25">
      <c r="A96" s="2" t="s">
        <v>82</v>
      </c>
      <c r="B96" s="2" t="s">
        <v>81</v>
      </c>
      <c r="C96" s="2" t="s">
        <v>1896</v>
      </c>
      <c r="D96" s="2" t="s">
        <v>1219</v>
      </c>
      <c r="E96">
        <v>48</v>
      </c>
      <c r="F96" s="2" t="s">
        <v>1228</v>
      </c>
      <c r="G96" s="2" t="s">
        <v>1249</v>
      </c>
      <c r="H96" s="2" t="s">
        <v>1222</v>
      </c>
      <c r="I96" s="1">
        <v>45334</v>
      </c>
      <c r="J96">
        <v>2024</v>
      </c>
      <c r="K96" s="2" t="s">
        <v>1897</v>
      </c>
      <c r="L96" s="4">
        <v>70861</v>
      </c>
      <c r="M96" s="2" t="s">
        <v>1250</v>
      </c>
      <c r="N96" s="2" t="s">
        <v>1224</v>
      </c>
      <c r="O96" s="2" t="s">
        <v>25</v>
      </c>
      <c r="P96" s="3">
        <v>44385</v>
      </c>
      <c r="Q96" s="4">
        <v>138368</v>
      </c>
      <c r="R96">
        <v>721</v>
      </c>
      <c r="S96" t="str">
        <f>IF(Linked[[#This Row],[Credit Score]]&lt;=579,"Poor",IF(Linked[[#This Row],[Credit Score]]&lt;=669,"Fair",IF(Linked[[#This Row],[Credit Score]]&lt;=739,"Good",IF(Linked[[#This Row],[Credit Score]]&lt;=799,"Very Good",IF(Linked[[#This Row],[Credit Score]]&gt;=800,"Excellent")))))</f>
        <v>Good</v>
      </c>
      <c r="T96" s="4">
        <v>0</v>
      </c>
      <c r="U96" s="2"/>
      <c r="V96" s="2"/>
    </row>
    <row r="97" spans="1:22" x14ac:dyDescent="0.25">
      <c r="A97" s="2" t="s">
        <v>82</v>
      </c>
      <c r="B97" s="2" t="s">
        <v>270</v>
      </c>
      <c r="C97" s="2" t="s">
        <v>1896</v>
      </c>
      <c r="D97" s="2" t="s">
        <v>1219</v>
      </c>
      <c r="E97">
        <v>48</v>
      </c>
      <c r="F97" s="2" t="s">
        <v>1228</v>
      </c>
      <c r="G97" s="2" t="s">
        <v>1249</v>
      </c>
      <c r="H97" s="2" t="s">
        <v>1222</v>
      </c>
      <c r="I97" s="1">
        <v>45334</v>
      </c>
      <c r="J97">
        <v>2024</v>
      </c>
      <c r="K97" s="2" t="s">
        <v>1897</v>
      </c>
      <c r="L97" s="4">
        <v>70861</v>
      </c>
      <c r="M97" s="2" t="s">
        <v>1250</v>
      </c>
      <c r="N97" s="2" t="s">
        <v>1224</v>
      </c>
      <c r="O97" s="2" t="s">
        <v>13</v>
      </c>
      <c r="P97" s="3">
        <v>44660</v>
      </c>
      <c r="Q97" s="4">
        <v>64925</v>
      </c>
      <c r="R97">
        <v>446</v>
      </c>
      <c r="S97" t="str">
        <f>IF(Linked[[#This Row],[Credit Score]]&lt;=579,"Poor",IF(Linked[[#This Row],[Credit Score]]&lt;=669,"Fair",IF(Linked[[#This Row],[Credit Score]]&lt;=739,"Good",IF(Linked[[#This Row],[Credit Score]]&lt;=799,"Very Good",IF(Linked[[#This Row],[Credit Score]]&gt;=800,"Excellent")))))</f>
        <v>Poor</v>
      </c>
      <c r="T97" s="4">
        <v>0</v>
      </c>
      <c r="U97" s="2"/>
      <c r="V97" s="2"/>
    </row>
    <row r="98" spans="1:22" x14ac:dyDescent="0.25">
      <c r="A98" s="2" t="s">
        <v>226</v>
      </c>
      <c r="B98" s="2" t="s">
        <v>225</v>
      </c>
      <c r="C98" s="2" t="s">
        <v>1323</v>
      </c>
      <c r="D98" s="2" t="s">
        <v>1219</v>
      </c>
      <c r="E98">
        <v>43</v>
      </c>
      <c r="F98" s="2" t="s">
        <v>1220</v>
      </c>
      <c r="G98" s="2" t="s">
        <v>1229</v>
      </c>
      <c r="H98" s="2" t="s">
        <v>1239</v>
      </c>
      <c r="I98" s="1">
        <v>42902</v>
      </c>
      <c r="J98">
        <v>2017</v>
      </c>
      <c r="K98" s="2" t="s">
        <v>1324</v>
      </c>
      <c r="L98" s="4">
        <v>169369</v>
      </c>
      <c r="M98" s="2" t="s">
        <v>1223</v>
      </c>
      <c r="N98" s="2" t="s">
        <v>1224</v>
      </c>
      <c r="O98" s="2" t="s">
        <v>13</v>
      </c>
      <c r="P98" s="3">
        <v>44873</v>
      </c>
      <c r="Q98" s="4">
        <v>289662</v>
      </c>
      <c r="R98">
        <v>406</v>
      </c>
      <c r="S98" t="str">
        <f>IF(Linked[[#This Row],[Credit Score]]&lt;=579,"Poor",IF(Linked[[#This Row],[Credit Score]]&lt;=669,"Fair",IF(Linked[[#This Row],[Credit Score]]&lt;=739,"Good",IF(Linked[[#This Row],[Credit Score]]&lt;=799,"Very Good",IF(Linked[[#This Row],[Credit Score]]&gt;=800,"Excellent")))))</f>
        <v>Poor</v>
      </c>
      <c r="T98" s="4">
        <v>0</v>
      </c>
      <c r="U98" s="2"/>
      <c r="V98" s="2"/>
    </row>
    <row r="99" spans="1:22" x14ac:dyDescent="0.25">
      <c r="A99" s="2" t="s">
        <v>84</v>
      </c>
      <c r="B99" s="2" t="s">
        <v>83</v>
      </c>
      <c r="C99" s="2" t="s">
        <v>1590</v>
      </c>
      <c r="D99" s="2" t="s">
        <v>1219</v>
      </c>
      <c r="E99">
        <v>22</v>
      </c>
      <c r="F99" s="2" t="s">
        <v>1242</v>
      </c>
      <c r="G99" s="2" t="s">
        <v>1229</v>
      </c>
      <c r="H99" s="2" t="s">
        <v>1222</v>
      </c>
      <c r="I99" s="1">
        <v>44252</v>
      </c>
      <c r="J99">
        <v>2021</v>
      </c>
      <c r="K99" s="2" t="s">
        <v>1591</v>
      </c>
      <c r="L99" s="4">
        <v>93609</v>
      </c>
      <c r="M99" s="2" t="s">
        <v>1245</v>
      </c>
      <c r="N99" s="2" t="s">
        <v>1224</v>
      </c>
      <c r="O99" s="2" t="s">
        <v>13</v>
      </c>
      <c r="P99" s="3">
        <v>44430</v>
      </c>
      <c r="Q99" s="4">
        <v>156470</v>
      </c>
      <c r="R99">
        <v>419</v>
      </c>
      <c r="S99" t="str">
        <f>IF(Linked[[#This Row],[Credit Score]]&lt;=579,"Poor",IF(Linked[[#This Row],[Credit Score]]&lt;=669,"Fair",IF(Linked[[#This Row],[Credit Score]]&lt;=739,"Good",IF(Linked[[#This Row],[Credit Score]]&lt;=799,"Very Good",IF(Linked[[#This Row],[Credit Score]]&gt;=800,"Excellent")))))</f>
        <v>Poor</v>
      </c>
      <c r="T99" s="4">
        <v>0</v>
      </c>
      <c r="U99" s="2"/>
      <c r="V99" s="2"/>
    </row>
    <row r="100" spans="1:22" x14ac:dyDescent="0.25">
      <c r="A100" s="2" t="s">
        <v>84</v>
      </c>
      <c r="B100" s="2" t="s">
        <v>358</v>
      </c>
      <c r="C100" s="2" t="s">
        <v>1590</v>
      </c>
      <c r="D100" s="2" t="s">
        <v>1219</v>
      </c>
      <c r="E100">
        <v>22</v>
      </c>
      <c r="F100" s="2" t="s">
        <v>1242</v>
      </c>
      <c r="G100" s="2" t="s">
        <v>1229</v>
      </c>
      <c r="H100" s="2" t="s">
        <v>1222</v>
      </c>
      <c r="I100" s="1">
        <v>44252</v>
      </c>
      <c r="J100">
        <v>2021</v>
      </c>
      <c r="K100" s="2" t="s">
        <v>1591</v>
      </c>
      <c r="L100" s="4">
        <v>93609</v>
      </c>
      <c r="M100" s="2" t="s">
        <v>1245</v>
      </c>
      <c r="N100" s="2" t="s">
        <v>1224</v>
      </c>
      <c r="O100" s="2" t="s">
        <v>25</v>
      </c>
      <c r="P100" s="3">
        <v>44176</v>
      </c>
      <c r="Q100" s="4">
        <v>404015</v>
      </c>
      <c r="R100">
        <v>581</v>
      </c>
      <c r="S100" t="str">
        <f>IF(Linked[[#This Row],[Credit Score]]&lt;=579,"Poor",IF(Linked[[#This Row],[Credit Score]]&lt;=669,"Fair",IF(Linked[[#This Row],[Credit Score]]&lt;=739,"Good",IF(Linked[[#This Row],[Credit Score]]&lt;=799,"Very Good",IF(Linked[[#This Row],[Credit Score]]&gt;=800,"Excellent")))))</f>
        <v>Fair</v>
      </c>
      <c r="T100" s="4">
        <v>0</v>
      </c>
      <c r="U100" s="2"/>
      <c r="V100" s="2"/>
    </row>
    <row r="101" spans="1:22" x14ac:dyDescent="0.25">
      <c r="A101" s="2" t="s">
        <v>86</v>
      </c>
      <c r="B101" s="2" t="s">
        <v>85</v>
      </c>
      <c r="C101" s="2" t="s">
        <v>2107</v>
      </c>
      <c r="D101" s="2" t="s">
        <v>1227</v>
      </c>
      <c r="E101">
        <v>71</v>
      </c>
      <c r="F101" s="2" t="s">
        <v>1263</v>
      </c>
      <c r="G101" s="2" t="s">
        <v>1243</v>
      </c>
      <c r="H101" s="2" t="s">
        <v>1259</v>
      </c>
      <c r="I101" s="1">
        <v>44100</v>
      </c>
      <c r="J101">
        <v>2020</v>
      </c>
      <c r="K101" s="2" t="s">
        <v>2108</v>
      </c>
      <c r="L101" s="4">
        <v>199436</v>
      </c>
      <c r="M101" s="2" t="s">
        <v>1223</v>
      </c>
      <c r="N101" s="2" t="s">
        <v>1236</v>
      </c>
      <c r="O101" s="2" t="s">
        <v>13</v>
      </c>
      <c r="P101" s="3">
        <v>43619</v>
      </c>
      <c r="Q101" s="4">
        <v>297986</v>
      </c>
      <c r="R101">
        <v>519</v>
      </c>
      <c r="S101" t="str">
        <f>IF(Linked[[#This Row],[Credit Score]]&lt;=579,"Poor",IF(Linked[[#This Row],[Credit Score]]&lt;=669,"Fair",IF(Linked[[#This Row],[Credit Score]]&lt;=739,"Good",IF(Linked[[#This Row],[Credit Score]]&lt;=799,"Very Good",IF(Linked[[#This Row],[Credit Score]]&gt;=800,"Excellent")))))</f>
        <v>Poor</v>
      </c>
      <c r="T101" s="4">
        <v>5654</v>
      </c>
      <c r="U101" s="2"/>
      <c r="V101" s="2"/>
    </row>
    <row r="102" spans="1:22" x14ac:dyDescent="0.25">
      <c r="A102" s="2" t="s">
        <v>86</v>
      </c>
      <c r="B102" s="2" t="s">
        <v>804</v>
      </c>
      <c r="C102" s="2" t="s">
        <v>2107</v>
      </c>
      <c r="D102" s="2" t="s">
        <v>1227</v>
      </c>
      <c r="E102">
        <v>71</v>
      </c>
      <c r="F102" s="2" t="s">
        <v>1263</v>
      </c>
      <c r="G102" s="2" t="s">
        <v>1243</v>
      </c>
      <c r="H102" s="2" t="s">
        <v>1259</v>
      </c>
      <c r="I102" s="1">
        <v>44100</v>
      </c>
      <c r="J102">
        <v>2020</v>
      </c>
      <c r="K102" s="2" t="s">
        <v>2108</v>
      </c>
      <c r="L102" s="4">
        <v>199436</v>
      </c>
      <c r="M102" s="2" t="s">
        <v>1223</v>
      </c>
      <c r="N102" s="2" t="s">
        <v>1236</v>
      </c>
      <c r="O102" s="2" t="s">
        <v>13</v>
      </c>
      <c r="P102" s="3">
        <v>44719</v>
      </c>
      <c r="Q102" s="4">
        <v>181429</v>
      </c>
      <c r="R102">
        <v>458</v>
      </c>
      <c r="S102" t="str">
        <f>IF(Linked[[#This Row],[Credit Score]]&lt;=579,"Poor",IF(Linked[[#This Row],[Credit Score]]&lt;=669,"Fair",IF(Linked[[#This Row],[Credit Score]]&lt;=739,"Good",IF(Linked[[#This Row],[Credit Score]]&lt;=799,"Very Good",IF(Linked[[#This Row],[Credit Score]]&gt;=800,"Excellent")))))</f>
        <v>Poor</v>
      </c>
      <c r="T102" s="4">
        <v>0</v>
      </c>
      <c r="U102" s="2"/>
      <c r="V102" s="2"/>
    </row>
    <row r="103" spans="1:22" x14ac:dyDescent="0.25">
      <c r="A103" s="2" t="s">
        <v>88</v>
      </c>
      <c r="B103" s="2" t="s">
        <v>87</v>
      </c>
      <c r="C103" s="2" t="s">
        <v>1672</v>
      </c>
      <c r="D103" s="2" t="s">
        <v>1227</v>
      </c>
      <c r="E103">
        <v>27</v>
      </c>
      <c r="F103" s="2" t="s">
        <v>1242</v>
      </c>
      <c r="G103" s="2" t="s">
        <v>1221</v>
      </c>
      <c r="H103" s="2" t="s">
        <v>1230</v>
      </c>
      <c r="I103" s="1">
        <v>43945</v>
      </c>
      <c r="J103">
        <v>2020</v>
      </c>
      <c r="K103" s="2" t="s">
        <v>1673</v>
      </c>
      <c r="L103" s="4">
        <v>72307</v>
      </c>
      <c r="M103" s="2" t="s">
        <v>1250</v>
      </c>
      <c r="N103" s="2" t="s">
        <v>1224</v>
      </c>
      <c r="O103" s="2" t="s">
        <v>13</v>
      </c>
      <c r="P103" s="3">
        <v>45596</v>
      </c>
      <c r="Q103" s="4">
        <v>13261</v>
      </c>
      <c r="R103">
        <v>352</v>
      </c>
      <c r="S103" t="str">
        <f>IF(Linked[[#This Row],[Credit Score]]&lt;=579,"Poor",IF(Linked[[#This Row],[Credit Score]]&lt;=669,"Fair",IF(Linked[[#This Row],[Credit Score]]&lt;=739,"Good",IF(Linked[[#This Row],[Credit Score]]&lt;=799,"Very Good",IF(Linked[[#This Row],[Credit Score]]&gt;=800,"Excellent")))))</f>
        <v>Poor</v>
      </c>
      <c r="T103" s="4">
        <v>59633</v>
      </c>
      <c r="U103" s="2"/>
      <c r="V103" s="2"/>
    </row>
    <row r="104" spans="1:22" x14ac:dyDescent="0.25">
      <c r="A104" s="2" t="s">
        <v>88</v>
      </c>
      <c r="B104" s="2" t="s">
        <v>101</v>
      </c>
      <c r="C104" s="2" t="s">
        <v>1672</v>
      </c>
      <c r="D104" s="2" t="s">
        <v>1227</v>
      </c>
      <c r="E104">
        <v>27</v>
      </c>
      <c r="F104" s="2" t="s">
        <v>1242</v>
      </c>
      <c r="G104" s="2" t="s">
        <v>1221</v>
      </c>
      <c r="H104" s="2" t="s">
        <v>1230</v>
      </c>
      <c r="I104" s="1">
        <v>43945</v>
      </c>
      <c r="J104">
        <v>2020</v>
      </c>
      <c r="K104" s="2" t="s">
        <v>1673</v>
      </c>
      <c r="L104" s="4">
        <v>72307</v>
      </c>
      <c r="M104" s="2" t="s">
        <v>1250</v>
      </c>
      <c r="N104" s="2" t="s">
        <v>1224</v>
      </c>
      <c r="O104" s="2" t="s">
        <v>25</v>
      </c>
      <c r="P104" s="3">
        <v>45413</v>
      </c>
      <c r="Q104" s="4">
        <v>275796</v>
      </c>
      <c r="R104">
        <v>371</v>
      </c>
      <c r="S104" t="str">
        <f>IF(Linked[[#This Row],[Credit Score]]&lt;=579,"Poor",IF(Linked[[#This Row],[Credit Score]]&lt;=669,"Fair",IF(Linked[[#This Row],[Credit Score]]&lt;=739,"Good",IF(Linked[[#This Row],[Credit Score]]&lt;=799,"Very Good",IF(Linked[[#This Row],[Credit Score]]&gt;=800,"Excellent")))))</f>
        <v>Poor</v>
      </c>
      <c r="T104" s="4">
        <v>0</v>
      </c>
      <c r="U104" s="2"/>
      <c r="V104" s="2"/>
    </row>
    <row r="105" spans="1:22" x14ac:dyDescent="0.25">
      <c r="A105" s="2" t="s">
        <v>88</v>
      </c>
      <c r="B105" s="2" t="s">
        <v>140</v>
      </c>
      <c r="C105" s="2" t="s">
        <v>1672</v>
      </c>
      <c r="D105" s="2" t="s">
        <v>1227</v>
      </c>
      <c r="E105">
        <v>27</v>
      </c>
      <c r="F105" s="2" t="s">
        <v>1242</v>
      </c>
      <c r="G105" s="2" t="s">
        <v>1221</v>
      </c>
      <c r="H105" s="2" t="s">
        <v>1230</v>
      </c>
      <c r="I105" s="1">
        <v>43945</v>
      </c>
      <c r="J105">
        <v>2020</v>
      </c>
      <c r="K105" s="2" t="s">
        <v>1673</v>
      </c>
      <c r="L105" s="4">
        <v>72307</v>
      </c>
      <c r="M105" s="2" t="s">
        <v>1250</v>
      </c>
      <c r="N105" s="2" t="s">
        <v>1224</v>
      </c>
      <c r="O105" s="2" t="s">
        <v>13</v>
      </c>
      <c r="P105" s="3">
        <v>42605</v>
      </c>
      <c r="Q105" s="4">
        <v>297242</v>
      </c>
      <c r="R105">
        <v>780</v>
      </c>
      <c r="S105" t="str">
        <f>IF(Linked[[#This Row],[Credit Score]]&lt;=579,"Poor",IF(Linked[[#This Row],[Credit Score]]&lt;=669,"Fair",IF(Linked[[#This Row],[Credit Score]]&lt;=739,"Good",IF(Linked[[#This Row],[Credit Score]]&lt;=799,"Very Good",IF(Linked[[#This Row],[Credit Score]]&gt;=800,"Excellent")))))</f>
        <v>Very Good</v>
      </c>
      <c r="T105" s="4">
        <v>0</v>
      </c>
      <c r="U105" s="2" t="s">
        <v>59</v>
      </c>
      <c r="V105" s="2"/>
    </row>
    <row r="106" spans="1:22" x14ac:dyDescent="0.25">
      <c r="A106" s="2" t="s">
        <v>88</v>
      </c>
      <c r="B106" s="2" t="s">
        <v>400</v>
      </c>
      <c r="C106" s="2" t="s">
        <v>1672</v>
      </c>
      <c r="D106" s="2" t="s">
        <v>1227</v>
      </c>
      <c r="E106">
        <v>27</v>
      </c>
      <c r="F106" s="2" t="s">
        <v>1242</v>
      </c>
      <c r="G106" s="2" t="s">
        <v>1221</v>
      </c>
      <c r="H106" s="2" t="s">
        <v>1230</v>
      </c>
      <c r="I106" s="1">
        <v>43945</v>
      </c>
      <c r="J106">
        <v>2020</v>
      </c>
      <c r="K106" s="2" t="s">
        <v>1673</v>
      </c>
      <c r="L106" s="4">
        <v>72307</v>
      </c>
      <c r="M106" s="2" t="s">
        <v>1250</v>
      </c>
      <c r="N106" s="2" t="s">
        <v>1224</v>
      </c>
      <c r="O106" s="2" t="s">
        <v>10</v>
      </c>
      <c r="P106" s="3">
        <v>45547</v>
      </c>
      <c r="Q106" s="4">
        <v>143888</v>
      </c>
      <c r="R106">
        <v>663</v>
      </c>
      <c r="S106" t="str">
        <f>IF(Linked[[#This Row],[Credit Score]]&lt;=579,"Poor",IF(Linked[[#This Row],[Credit Score]]&lt;=669,"Fair",IF(Linked[[#This Row],[Credit Score]]&lt;=739,"Good",IF(Linked[[#This Row],[Credit Score]]&lt;=799,"Very Good",IF(Linked[[#This Row],[Credit Score]]&gt;=800,"Excellent")))))</f>
        <v>Fair</v>
      </c>
      <c r="T106" s="4">
        <v>0</v>
      </c>
      <c r="U106" s="2"/>
      <c r="V106" s="2"/>
    </row>
    <row r="107" spans="1:22" x14ac:dyDescent="0.25">
      <c r="A107" s="2" t="s">
        <v>806</v>
      </c>
      <c r="B107" s="2" t="s">
        <v>805</v>
      </c>
      <c r="C107" s="2" t="s">
        <v>1329</v>
      </c>
      <c r="D107" s="2" t="s">
        <v>1219</v>
      </c>
      <c r="E107">
        <v>42</v>
      </c>
      <c r="F107" s="2" t="s">
        <v>1220</v>
      </c>
      <c r="G107" s="2" t="s">
        <v>1221</v>
      </c>
      <c r="H107" s="2" t="s">
        <v>1230</v>
      </c>
      <c r="I107" s="1">
        <v>44074</v>
      </c>
      <c r="J107">
        <v>2020</v>
      </c>
      <c r="K107" s="2" t="s">
        <v>1330</v>
      </c>
      <c r="L107" s="4">
        <v>193946</v>
      </c>
      <c r="M107" s="2" t="s">
        <v>1223</v>
      </c>
      <c r="N107" s="2" t="s">
        <v>1231</v>
      </c>
      <c r="O107" s="2" t="s">
        <v>32</v>
      </c>
      <c r="P107" s="3">
        <v>44899</v>
      </c>
      <c r="Q107" s="4">
        <v>217980</v>
      </c>
      <c r="R107">
        <v>683</v>
      </c>
      <c r="S107" t="str">
        <f>IF(Linked[[#This Row],[Credit Score]]&lt;=579,"Poor",IF(Linked[[#This Row],[Credit Score]]&lt;=669,"Fair",IF(Linked[[#This Row],[Credit Score]]&lt;=739,"Good",IF(Linked[[#This Row],[Credit Score]]&lt;=799,"Very Good",IF(Linked[[#This Row],[Credit Score]]&gt;=800,"Excellent")))))</f>
        <v>Good</v>
      </c>
      <c r="T107" s="4">
        <v>0</v>
      </c>
      <c r="U107" s="2" t="s">
        <v>39</v>
      </c>
      <c r="V107" s="2"/>
    </row>
    <row r="108" spans="1:22" x14ac:dyDescent="0.25">
      <c r="A108" s="2" t="s">
        <v>90</v>
      </c>
      <c r="B108" s="2" t="s">
        <v>89</v>
      </c>
      <c r="C108" s="2" t="s">
        <v>1807</v>
      </c>
      <c r="D108" s="2" t="s">
        <v>1219</v>
      </c>
      <c r="E108">
        <v>34</v>
      </c>
      <c r="F108" s="2" t="s">
        <v>1220</v>
      </c>
      <c r="G108" s="2" t="s">
        <v>1249</v>
      </c>
      <c r="H108" s="2" t="s">
        <v>1235</v>
      </c>
      <c r="I108" s="1">
        <v>44588</v>
      </c>
      <c r="J108">
        <v>2022</v>
      </c>
      <c r="K108" s="2" t="s">
        <v>1808</v>
      </c>
      <c r="L108" s="4">
        <v>105708</v>
      </c>
      <c r="M108" s="2" t="s">
        <v>1245</v>
      </c>
      <c r="N108" s="2" t="s">
        <v>1224</v>
      </c>
      <c r="O108" s="2" t="s">
        <v>13</v>
      </c>
      <c r="P108" s="3">
        <v>44121</v>
      </c>
      <c r="Q108" s="4">
        <v>76709</v>
      </c>
      <c r="R108">
        <v>750</v>
      </c>
      <c r="S108" t="str">
        <f>IF(Linked[[#This Row],[Credit Score]]&lt;=579,"Poor",IF(Linked[[#This Row],[Credit Score]]&lt;=669,"Fair",IF(Linked[[#This Row],[Credit Score]]&lt;=739,"Good",IF(Linked[[#This Row],[Credit Score]]&lt;=799,"Very Good",IF(Linked[[#This Row],[Credit Score]]&gt;=800,"Excellent")))))</f>
        <v>Very Good</v>
      </c>
      <c r="T108" s="4">
        <v>0</v>
      </c>
      <c r="U108" s="2" t="s">
        <v>18</v>
      </c>
      <c r="V108" s="2"/>
    </row>
    <row r="109" spans="1:22" x14ac:dyDescent="0.25">
      <c r="A109" s="2" t="s">
        <v>90</v>
      </c>
      <c r="B109" s="2" t="s">
        <v>184</v>
      </c>
      <c r="C109" s="2" t="s">
        <v>1807</v>
      </c>
      <c r="D109" s="2" t="s">
        <v>1219</v>
      </c>
      <c r="E109">
        <v>34</v>
      </c>
      <c r="F109" s="2" t="s">
        <v>1220</v>
      </c>
      <c r="G109" s="2" t="s">
        <v>1249</v>
      </c>
      <c r="H109" s="2" t="s">
        <v>1235</v>
      </c>
      <c r="I109" s="1">
        <v>44588</v>
      </c>
      <c r="J109">
        <v>2022</v>
      </c>
      <c r="K109" s="2" t="s">
        <v>1808</v>
      </c>
      <c r="L109" s="4">
        <v>105708</v>
      </c>
      <c r="M109" s="2" t="s">
        <v>1245</v>
      </c>
      <c r="N109" s="2" t="s">
        <v>1224</v>
      </c>
      <c r="O109" s="2" t="s">
        <v>10</v>
      </c>
      <c r="P109" s="3">
        <v>43749</v>
      </c>
      <c r="Q109" s="4">
        <v>424032</v>
      </c>
      <c r="R109">
        <v>766</v>
      </c>
      <c r="S109" t="str">
        <f>IF(Linked[[#This Row],[Credit Score]]&lt;=579,"Poor",IF(Linked[[#This Row],[Credit Score]]&lt;=669,"Fair",IF(Linked[[#This Row],[Credit Score]]&lt;=739,"Good",IF(Linked[[#This Row],[Credit Score]]&lt;=799,"Very Good",IF(Linked[[#This Row],[Credit Score]]&gt;=800,"Excellent")))))</f>
        <v>Very Good</v>
      </c>
      <c r="T109" s="4">
        <v>0</v>
      </c>
      <c r="U109" s="2"/>
      <c r="V109" s="2"/>
    </row>
    <row r="110" spans="1:22" x14ac:dyDescent="0.25">
      <c r="A110" s="2" t="s">
        <v>90</v>
      </c>
      <c r="B110" s="2" t="s">
        <v>602</v>
      </c>
      <c r="C110" s="2" t="s">
        <v>1807</v>
      </c>
      <c r="D110" s="2" t="s">
        <v>1219</v>
      </c>
      <c r="E110">
        <v>34</v>
      </c>
      <c r="F110" s="2" t="s">
        <v>1220</v>
      </c>
      <c r="G110" s="2" t="s">
        <v>1249</v>
      </c>
      <c r="H110" s="2" t="s">
        <v>1235</v>
      </c>
      <c r="I110" s="1">
        <v>44588</v>
      </c>
      <c r="J110">
        <v>2022</v>
      </c>
      <c r="K110" s="2" t="s">
        <v>1808</v>
      </c>
      <c r="L110" s="4">
        <v>105708</v>
      </c>
      <c r="M110" s="2" t="s">
        <v>1245</v>
      </c>
      <c r="N110" s="2" t="s">
        <v>1224</v>
      </c>
      <c r="O110" s="2" t="s">
        <v>13</v>
      </c>
      <c r="P110" s="3">
        <v>43171</v>
      </c>
      <c r="Q110" s="4">
        <v>382162</v>
      </c>
      <c r="R110">
        <v>587</v>
      </c>
      <c r="S110" t="str">
        <f>IF(Linked[[#This Row],[Credit Score]]&lt;=579,"Poor",IF(Linked[[#This Row],[Credit Score]]&lt;=669,"Fair",IF(Linked[[#This Row],[Credit Score]]&lt;=739,"Good",IF(Linked[[#This Row],[Credit Score]]&lt;=799,"Very Good",IF(Linked[[#This Row],[Credit Score]]&gt;=800,"Excellent")))))</f>
        <v>Fair</v>
      </c>
      <c r="T110" s="4">
        <v>277869</v>
      </c>
      <c r="U110" s="2"/>
      <c r="V110" s="2"/>
    </row>
    <row r="111" spans="1:22" x14ac:dyDescent="0.25">
      <c r="A111" s="2" t="s">
        <v>90</v>
      </c>
      <c r="B111" s="2" t="s">
        <v>634</v>
      </c>
      <c r="C111" s="2" t="s">
        <v>1807</v>
      </c>
      <c r="D111" s="2" t="s">
        <v>1219</v>
      </c>
      <c r="E111">
        <v>34</v>
      </c>
      <c r="F111" s="2" t="s">
        <v>1220</v>
      </c>
      <c r="G111" s="2" t="s">
        <v>1249</v>
      </c>
      <c r="H111" s="2" t="s">
        <v>1235</v>
      </c>
      <c r="I111" s="1">
        <v>44588</v>
      </c>
      <c r="J111">
        <v>2022</v>
      </c>
      <c r="K111" s="2" t="s">
        <v>1808</v>
      </c>
      <c r="L111" s="4">
        <v>105708</v>
      </c>
      <c r="M111" s="2" t="s">
        <v>1245</v>
      </c>
      <c r="N111" s="2" t="s">
        <v>1224</v>
      </c>
      <c r="O111" s="2" t="s">
        <v>10</v>
      </c>
      <c r="P111" s="3">
        <v>42538</v>
      </c>
      <c r="Q111" s="4">
        <v>385827</v>
      </c>
      <c r="R111">
        <v>814</v>
      </c>
      <c r="S111" t="str">
        <f>IF(Linked[[#This Row],[Credit Score]]&lt;=579,"Poor",IF(Linked[[#This Row],[Credit Score]]&lt;=669,"Fair",IF(Linked[[#This Row],[Credit Score]]&lt;=739,"Good",IF(Linked[[#This Row],[Credit Score]]&lt;=799,"Very Good",IF(Linked[[#This Row],[Credit Score]]&gt;=800,"Excellent")))))</f>
        <v>Excellent</v>
      </c>
      <c r="T111" s="4">
        <v>0</v>
      </c>
      <c r="U111" s="2" t="s">
        <v>18</v>
      </c>
      <c r="V111" s="2"/>
    </row>
    <row r="112" spans="1:22" x14ac:dyDescent="0.25">
      <c r="A112" s="2" t="s">
        <v>586</v>
      </c>
      <c r="B112" s="2" t="s">
        <v>585</v>
      </c>
      <c r="C112" s="2" t="s">
        <v>1331</v>
      </c>
      <c r="D112" s="2" t="s">
        <v>1219</v>
      </c>
      <c r="E112">
        <v>41</v>
      </c>
      <c r="F112" s="2" t="s">
        <v>1220</v>
      </c>
      <c r="G112" s="2" t="s">
        <v>1221</v>
      </c>
      <c r="H112" s="2" t="s">
        <v>1244</v>
      </c>
      <c r="I112" s="1">
        <v>42296</v>
      </c>
      <c r="J112">
        <v>2015</v>
      </c>
      <c r="K112" s="2" t="s">
        <v>1332</v>
      </c>
      <c r="L112" s="4">
        <v>27657</v>
      </c>
      <c r="M112" s="2" t="s">
        <v>1250</v>
      </c>
      <c r="N112" s="2" t="s">
        <v>1231</v>
      </c>
      <c r="O112" s="2" t="s">
        <v>32</v>
      </c>
      <c r="P112" s="3">
        <v>44934</v>
      </c>
      <c r="Q112" s="4">
        <v>252217</v>
      </c>
      <c r="R112">
        <v>529</v>
      </c>
      <c r="S112" t="str">
        <f>IF(Linked[[#This Row],[Credit Score]]&lt;=579,"Poor",IF(Linked[[#This Row],[Credit Score]]&lt;=669,"Fair",IF(Linked[[#This Row],[Credit Score]]&lt;=739,"Good",IF(Linked[[#This Row],[Credit Score]]&lt;=799,"Very Good",IF(Linked[[#This Row],[Credit Score]]&gt;=800,"Excellent")))))</f>
        <v>Poor</v>
      </c>
      <c r="T112" s="4">
        <v>0</v>
      </c>
      <c r="U112" s="2"/>
      <c r="V112" s="2"/>
    </row>
    <row r="113" spans="1:22" x14ac:dyDescent="0.25">
      <c r="A113" s="2" t="s">
        <v>92</v>
      </c>
      <c r="B113" s="2" t="s">
        <v>91</v>
      </c>
      <c r="C113" s="2" t="s">
        <v>1562</v>
      </c>
      <c r="D113" s="2" t="s">
        <v>1219</v>
      </c>
      <c r="E113">
        <v>33</v>
      </c>
      <c r="F113" s="2" t="s">
        <v>1220</v>
      </c>
      <c r="G113" s="2" t="s">
        <v>1229</v>
      </c>
      <c r="H113" s="2" t="s">
        <v>1244</v>
      </c>
      <c r="I113" s="1">
        <v>43337</v>
      </c>
      <c r="J113">
        <v>2018</v>
      </c>
      <c r="K113" s="2" t="s">
        <v>1563</v>
      </c>
      <c r="L113" s="4">
        <v>164353</v>
      </c>
      <c r="M113" s="2" t="s">
        <v>1223</v>
      </c>
      <c r="N113" s="2" t="s">
        <v>1224</v>
      </c>
      <c r="O113" s="2" t="s">
        <v>10</v>
      </c>
      <c r="P113" s="3">
        <v>45740</v>
      </c>
      <c r="Q113" s="4">
        <v>95985</v>
      </c>
      <c r="R113">
        <v>711</v>
      </c>
      <c r="S113" t="str">
        <f>IF(Linked[[#This Row],[Credit Score]]&lt;=579,"Poor",IF(Linked[[#This Row],[Credit Score]]&lt;=669,"Fair",IF(Linked[[#This Row],[Credit Score]]&lt;=739,"Good",IF(Linked[[#This Row],[Credit Score]]&lt;=799,"Very Good",IF(Linked[[#This Row],[Credit Score]]&gt;=800,"Excellent")))))</f>
        <v>Good</v>
      </c>
      <c r="T113" s="4">
        <v>0</v>
      </c>
      <c r="U113" s="2"/>
      <c r="V113" s="2"/>
    </row>
    <row r="114" spans="1:22" x14ac:dyDescent="0.25">
      <c r="A114" s="2" t="s">
        <v>92</v>
      </c>
      <c r="B114" s="2" t="s">
        <v>307</v>
      </c>
      <c r="C114" s="2" t="s">
        <v>1562</v>
      </c>
      <c r="D114" s="2" t="s">
        <v>1219</v>
      </c>
      <c r="E114">
        <v>33</v>
      </c>
      <c r="F114" s="2" t="s">
        <v>1220</v>
      </c>
      <c r="G114" s="2" t="s">
        <v>1229</v>
      </c>
      <c r="H114" s="2" t="s">
        <v>1244</v>
      </c>
      <c r="I114" s="1">
        <v>43337</v>
      </c>
      <c r="J114">
        <v>2018</v>
      </c>
      <c r="K114" s="2" t="s">
        <v>1563</v>
      </c>
      <c r="L114" s="4">
        <v>164353</v>
      </c>
      <c r="M114" s="2" t="s">
        <v>1223</v>
      </c>
      <c r="N114" s="2" t="s">
        <v>1224</v>
      </c>
      <c r="O114" s="2" t="s">
        <v>13</v>
      </c>
      <c r="P114" s="3">
        <v>44193</v>
      </c>
      <c r="Q114" s="4">
        <v>97406</v>
      </c>
      <c r="R114">
        <v>654</v>
      </c>
      <c r="S114" t="str">
        <f>IF(Linked[[#This Row],[Credit Score]]&lt;=579,"Poor",IF(Linked[[#This Row],[Credit Score]]&lt;=669,"Fair",IF(Linked[[#This Row],[Credit Score]]&lt;=739,"Good",IF(Linked[[#This Row],[Credit Score]]&lt;=799,"Very Good",IF(Linked[[#This Row],[Credit Score]]&gt;=800,"Excellent")))))</f>
        <v>Fair</v>
      </c>
      <c r="T114" s="4">
        <v>0</v>
      </c>
      <c r="U114" s="2"/>
      <c r="V114" s="2"/>
    </row>
    <row r="115" spans="1:22" x14ac:dyDescent="0.25">
      <c r="A115" s="2" t="s">
        <v>92</v>
      </c>
      <c r="B115" s="2" t="s">
        <v>770</v>
      </c>
      <c r="C115" s="2" t="s">
        <v>1562</v>
      </c>
      <c r="D115" s="2" t="s">
        <v>1219</v>
      </c>
      <c r="E115">
        <v>33</v>
      </c>
      <c r="F115" s="2" t="s">
        <v>1220</v>
      </c>
      <c r="G115" s="2" t="s">
        <v>1229</v>
      </c>
      <c r="H115" s="2" t="s">
        <v>1244</v>
      </c>
      <c r="I115" s="1">
        <v>43337</v>
      </c>
      <c r="J115">
        <v>2018</v>
      </c>
      <c r="K115" s="2" t="s">
        <v>1563</v>
      </c>
      <c r="L115" s="4">
        <v>164353</v>
      </c>
      <c r="M115" s="2" t="s">
        <v>1223</v>
      </c>
      <c r="N115" s="2" t="s">
        <v>1224</v>
      </c>
      <c r="O115" s="2" t="s">
        <v>25</v>
      </c>
      <c r="P115" s="3">
        <v>44948</v>
      </c>
      <c r="Q115" s="4">
        <v>474786</v>
      </c>
      <c r="R115">
        <v>445</v>
      </c>
      <c r="S115" t="str">
        <f>IF(Linked[[#This Row],[Credit Score]]&lt;=579,"Poor",IF(Linked[[#This Row],[Credit Score]]&lt;=669,"Fair",IF(Linked[[#This Row],[Credit Score]]&lt;=739,"Good",IF(Linked[[#This Row],[Credit Score]]&lt;=799,"Very Good",IF(Linked[[#This Row],[Credit Score]]&gt;=800,"Excellent")))))</f>
        <v>Poor</v>
      </c>
      <c r="T115" s="4">
        <v>0</v>
      </c>
      <c r="U115" s="2"/>
      <c r="V115" s="2"/>
    </row>
    <row r="116" spans="1:22" x14ac:dyDescent="0.25">
      <c r="A116" s="2" t="s">
        <v>727</v>
      </c>
      <c r="B116" s="2" t="s">
        <v>726</v>
      </c>
      <c r="C116" s="2" t="s">
        <v>1333</v>
      </c>
      <c r="D116" s="2" t="s">
        <v>1219</v>
      </c>
      <c r="E116">
        <v>30</v>
      </c>
      <c r="F116" s="2" t="s">
        <v>1220</v>
      </c>
      <c r="G116" s="2" t="s">
        <v>1249</v>
      </c>
      <c r="H116" s="2" t="s">
        <v>1259</v>
      </c>
      <c r="I116" s="1">
        <v>42853</v>
      </c>
      <c r="J116">
        <v>2017</v>
      </c>
      <c r="K116" s="2" t="s">
        <v>1334</v>
      </c>
      <c r="L116" s="4">
        <v>176497</v>
      </c>
      <c r="M116" s="2" t="s">
        <v>1223</v>
      </c>
      <c r="N116" s="2" t="s">
        <v>1231</v>
      </c>
      <c r="O116" s="2" t="s">
        <v>13</v>
      </c>
      <c r="P116" s="3">
        <v>44348</v>
      </c>
      <c r="Q116" s="4">
        <v>261497</v>
      </c>
      <c r="R116">
        <v>371</v>
      </c>
      <c r="S116" t="str">
        <f>IF(Linked[[#This Row],[Credit Score]]&lt;=579,"Poor",IF(Linked[[#This Row],[Credit Score]]&lt;=669,"Fair",IF(Linked[[#This Row],[Credit Score]]&lt;=739,"Good",IF(Linked[[#This Row],[Credit Score]]&lt;=799,"Very Good",IF(Linked[[#This Row],[Credit Score]]&gt;=800,"Excellent")))))</f>
        <v>Poor</v>
      </c>
      <c r="T116" s="4">
        <v>0</v>
      </c>
      <c r="U116" s="2"/>
      <c r="V116" s="2"/>
    </row>
    <row r="117" spans="1:22" x14ac:dyDescent="0.25">
      <c r="A117" s="2" t="s">
        <v>94</v>
      </c>
      <c r="B117" s="2" t="s">
        <v>93</v>
      </c>
      <c r="C117" s="2" t="s">
        <v>1764</v>
      </c>
      <c r="D117" s="2" t="s">
        <v>1227</v>
      </c>
      <c r="E117">
        <v>52</v>
      </c>
      <c r="F117" s="2" t="s">
        <v>1228</v>
      </c>
      <c r="G117" s="2" t="s">
        <v>1249</v>
      </c>
      <c r="H117" s="2" t="s">
        <v>1253</v>
      </c>
      <c r="I117" s="1">
        <v>44544</v>
      </c>
      <c r="J117">
        <v>2021</v>
      </c>
      <c r="K117" s="2" t="s">
        <v>1765</v>
      </c>
      <c r="L117" s="4">
        <v>72098</v>
      </c>
      <c r="M117" s="2" t="s">
        <v>1250</v>
      </c>
      <c r="N117" s="2" t="s">
        <v>1224</v>
      </c>
      <c r="O117" s="2" t="s">
        <v>10</v>
      </c>
      <c r="P117" s="3">
        <v>44171</v>
      </c>
      <c r="Q117" s="4">
        <v>368760</v>
      </c>
      <c r="R117">
        <v>536</v>
      </c>
      <c r="S117" t="str">
        <f>IF(Linked[[#This Row],[Credit Score]]&lt;=579,"Poor",IF(Linked[[#This Row],[Credit Score]]&lt;=669,"Fair",IF(Linked[[#This Row],[Credit Score]]&lt;=739,"Good",IF(Linked[[#This Row],[Credit Score]]&lt;=799,"Very Good",IF(Linked[[#This Row],[Credit Score]]&gt;=800,"Excellent")))))</f>
        <v>Poor</v>
      </c>
      <c r="T117" s="4">
        <v>0</v>
      </c>
      <c r="U117" s="2"/>
      <c r="V117" s="2"/>
    </row>
    <row r="118" spans="1:22" x14ac:dyDescent="0.25">
      <c r="A118" s="2" t="s">
        <v>513</v>
      </c>
      <c r="B118" s="2" t="s">
        <v>512</v>
      </c>
      <c r="C118" s="2" t="s">
        <v>1335</v>
      </c>
      <c r="D118" s="2" t="s">
        <v>1219</v>
      </c>
      <c r="E118">
        <v>24</v>
      </c>
      <c r="F118" s="2" t="s">
        <v>1242</v>
      </c>
      <c r="G118" s="2" t="s">
        <v>1249</v>
      </c>
      <c r="H118" s="2" t="s">
        <v>1253</v>
      </c>
      <c r="I118" s="1">
        <v>42576</v>
      </c>
      <c r="J118">
        <v>2016</v>
      </c>
      <c r="K118" s="2" t="s">
        <v>1336</v>
      </c>
      <c r="L118" s="4">
        <v>177757</v>
      </c>
      <c r="M118" s="2" t="s">
        <v>1223</v>
      </c>
      <c r="N118" s="2" t="s">
        <v>1224</v>
      </c>
      <c r="O118" s="2" t="s">
        <v>13</v>
      </c>
      <c r="P118" s="3">
        <v>43618</v>
      </c>
      <c r="Q118" s="4">
        <v>352245</v>
      </c>
      <c r="R118">
        <v>687</v>
      </c>
      <c r="S118" t="str">
        <f>IF(Linked[[#This Row],[Credit Score]]&lt;=579,"Poor",IF(Linked[[#This Row],[Credit Score]]&lt;=669,"Fair",IF(Linked[[#This Row],[Credit Score]]&lt;=739,"Good",IF(Linked[[#This Row],[Credit Score]]&lt;=799,"Very Good",IF(Linked[[#This Row],[Credit Score]]&gt;=800,"Excellent")))))</f>
        <v>Good</v>
      </c>
      <c r="T118" s="4">
        <v>0</v>
      </c>
      <c r="U118" s="2"/>
      <c r="V118" s="2"/>
    </row>
    <row r="119" spans="1:22" x14ac:dyDescent="0.25">
      <c r="A119" s="2" t="s">
        <v>513</v>
      </c>
      <c r="B119" s="2" t="s">
        <v>567</v>
      </c>
      <c r="C119" s="2" t="s">
        <v>1335</v>
      </c>
      <c r="D119" s="2" t="s">
        <v>1219</v>
      </c>
      <c r="E119">
        <v>24</v>
      </c>
      <c r="F119" s="2" t="s">
        <v>1242</v>
      </c>
      <c r="G119" s="2" t="s">
        <v>1249</v>
      </c>
      <c r="H119" s="2" t="s">
        <v>1253</v>
      </c>
      <c r="I119" s="1">
        <v>42576</v>
      </c>
      <c r="J119">
        <v>2016</v>
      </c>
      <c r="K119" s="2" t="s">
        <v>1336</v>
      </c>
      <c r="L119" s="4">
        <v>177757</v>
      </c>
      <c r="M119" s="2" t="s">
        <v>1223</v>
      </c>
      <c r="N119" s="2" t="s">
        <v>1224</v>
      </c>
      <c r="O119" s="2" t="s">
        <v>32</v>
      </c>
      <c r="P119" s="3">
        <v>43862</v>
      </c>
      <c r="Q119" s="4">
        <v>310152</v>
      </c>
      <c r="R119">
        <v>536</v>
      </c>
      <c r="S119" t="str">
        <f>IF(Linked[[#This Row],[Credit Score]]&lt;=579,"Poor",IF(Linked[[#This Row],[Credit Score]]&lt;=669,"Fair",IF(Linked[[#This Row],[Credit Score]]&lt;=739,"Good",IF(Linked[[#This Row],[Credit Score]]&lt;=799,"Very Good",IF(Linked[[#This Row],[Credit Score]]&gt;=800,"Excellent")))))</f>
        <v>Poor</v>
      </c>
      <c r="T119" s="4">
        <v>0</v>
      </c>
      <c r="U119" s="2"/>
      <c r="V119" s="2"/>
    </row>
    <row r="120" spans="1:22" x14ac:dyDescent="0.25">
      <c r="A120" s="2" t="s">
        <v>96</v>
      </c>
      <c r="B120" s="2" t="s">
        <v>95</v>
      </c>
      <c r="C120" s="2" t="s">
        <v>1345</v>
      </c>
      <c r="D120" s="2" t="s">
        <v>1227</v>
      </c>
      <c r="E120">
        <v>18</v>
      </c>
      <c r="F120" s="2" t="s">
        <v>1242</v>
      </c>
      <c r="G120" s="2" t="s">
        <v>1243</v>
      </c>
      <c r="H120" s="2" t="s">
        <v>1222</v>
      </c>
      <c r="I120" s="1">
        <v>42831</v>
      </c>
      <c r="J120">
        <v>2017</v>
      </c>
      <c r="K120" s="2" t="s">
        <v>1346</v>
      </c>
      <c r="L120" s="4">
        <v>81413</v>
      </c>
      <c r="M120" s="2" t="s">
        <v>1245</v>
      </c>
      <c r="N120" s="2" t="s">
        <v>1224</v>
      </c>
      <c r="O120" s="2" t="s">
        <v>13</v>
      </c>
      <c r="P120" s="3">
        <v>45200</v>
      </c>
      <c r="Q120" s="4">
        <v>449920</v>
      </c>
      <c r="R120">
        <v>705</v>
      </c>
      <c r="S120" t="str">
        <f>IF(Linked[[#This Row],[Credit Score]]&lt;=579,"Poor",IF(Linked[[#This Row],[Credit Score]]&lt;=669,"Fair",IF(Linked[[#This Row],[Credit Score]]&lt;=739,"Good",IF(Linked[[#This Row],[Credit Score]]&lt;=799,"Very Good",IF(Linked[[#This Row],[Credit Score]]&gt;=800,"Excellent")))))</f>
        <v>Good</v>
      </c>
      <c r="T120" s="4">
        <v>0</v>
      </c>
      <c r="U120" s="2"/>
      <c r="V120" s="2"/>
    </row>
    <row r="121" spans="1:22" x14ac:dyDescent="0.25">
      <c r="A121" s="2" t="s">
        <v>96</v>
      </c>
      <c r="B121" s="2" t="s">
        <v>102</v>
      </c>
      <c r="C121" s="2" t="s">
        <v>1345</v>
      </c>
      <c r="D121" s="2" t="s">
        <v>1227</v>
      </c>
      <c r="E121">
        <v>18</v>
      </c>
      <c r="F121" s="2" t="s">
        <v>1242</v>
      </c>
      <c r="G121" s="2" t="s">
        <v>1243</v>
      </c>
      <c r="H121" s="2" t="s">
        <v>1222</v>
      </c>
      <c r="I121" s="1">
        <v>42831</v>
      </c>
      <c r="J121">
        <v>2017</v>
      </c>
      <c r="K121" s="2" t="s">
        <v>1346</v>
      </c>
      <c r="L121" s="4">
        <v>81413</v>
      </c>
      <c r="M121" s="2" t="s">
        <v>1245</v>
      </c>
      <c r="N121" s="2" t="s">
        <v>1224</v>
      </c>
      <c r="O121" s="2" t="s">
        <v>32</v>
      </c>
      <c r="P121" s="3">
        <v>44782</v>
      </c>
      <c r="Q121" s="4">
        <v>267247</v>
      </c>
      <c r="R121">
        <v>484</v>
      </c>
      <c r="S121" t="str">
        <f>IF(Linked[[#This Row],[Credit Score]]&lt;=579,"Poor",IF(Linked[[#This Row],[Credit Score]]&lt;=669,"Fair",IF(Linked[[#This Row],[Credit Score]]&lt;=739,"Good",IF(Linked[[#This Row],[Credit Score]]&lt;=799,"Very Good",IF(Linked[[#This Row],[Credit Score]]&gt;=800,"Excellent")))))</f>
        <v>Poor</v>
      </c>
      <c r="T121" s="4">
        <v>0</v>
      </c>
      <c r="U121" s="2"/>
      <c r="V121" s="2"/>
    </row>
    <row r="122" spans="1:22" x14ac:dyDescent="0.25">
      <c r="A122" s="2" t="s">
        <v>96</v>
      </c>
      <c r="B122" s="2" t="s">
        <v>558</v>
      </c>
      <c r="C122" s="2" t="s">
        <v>1345</v>
      </c>
      <c r="D122" s="2" t="s">
        <v>1227</v>
      </c>
      <c r="E122">
        <v>18</v>
      </c>
      <c r="F122" s="2" t="s">
        <v>1242</v>
      </c>
      <c r="G122" s="2" t="s">
        <v>1243</v>
      </c>
      <c r="H122" s="2" t="s">
        <v>1222</v>
      </c>
      <c r="I122" s="1">
        <v>42831</v>
      </c>
      <c r="J122">
        <v>2017</v>
      </c>
      <c r="K122" s="2" t="s">
        <v>1346</v>
      </c>
      <c r="L122" s="4">
        <v>81413</v>
      </c>
      <c r="M122" s="2" t="s">
        <v>1245</v>
      </c>
      <c r="N122" s="2" t="s">
        <v>1224</v>
      </c>
      <c r="O122" s="2" t="s">
        <v>25</v>
      </c>
      <c r="P122" s="3">
        <v>44821</v>
      </c>
      <c r="Q122" s="4">
        <v>327069</v>
      </c>
      <c r="R122">
        <v>762</v>
      </c>
      <c r="S122" t="str">
        <f>IF(Linked[[#This Row],[Credit Score]]&lt;=579,"Poor",IF(Linked[[#This Row],[Credit Score]]&lt;=669,"Fair",IF(Linked[[#This Row],[Credit Score]]&lt;=739,"Good",IF(Linked[[#This Row],[Credit Score]]&lt;=799,"Very Good",IF(Linked[[#This Row],[Credit Score]]&gt;=800,"Excellent")))))</f>
        <v>Very Good</v>
      </c>
      <c r="T122" s="4">
        <v>0</v>
      </c>
      <c r="U122" s="2"/>
      <c r="V122" s="2"/>
    </row>
    <row r="123" spans="1:22" x14ac:dyDescent="0.25">
      <c r="A123" s="2" t="s">
        <v>96</v>
      </c>
      <c r="B123" s="2" t="s">
        <v>765</v>
      </c>
      <c r="C123" s="2" t="s">
        <v>1345</v>
      </c>
      <c r="D123" s="2" t="s">
        <v>1227</v>
      </c>
      <c r="E123">
        <v>18</v>
      </c>
      <c r="F123" s="2" t="s">
        <v>1242</v>
      </c>
      <c r="G123" s="2" t="s">
        <v>1243</v>
      </c>
      <c r="H123" s="2" t="s">
        <v>1222</v>
      </c>
      <c r="I123" s="1">
        <v>42831</v>
      </c>
      <c r="J123">
        <v>2017</v>
      </c>
      <c r="K123" s="2" t="s">
        <v>1346</v>
      </c>
      <c r="L123" s="4">
        <v>81413</v>
      </c>
      <c r="M123" s="2" t="s">
        <v>1245</v>
      </c>
      <c r="N123" s="2" t="s">
        <v>1224</v>
      </c>
      <c r="O123" s="2" t="s">
        <v>13</v>
      </c>
      <c r="P123" s="3">
        <v>42841</v>
      </c>
      <c r="Q123" s="4">
        <v>459845</v>
      </c>
      <c r="R123">
        <v>584</v>
      </c>
      <c r="S123" t="str">
        <f>IF(Linked[[#This Row],[Credit Score]]&lt;=579,"Poor",IF(Linked[[#This Row],[Credit Score]]&lt;=669,"Fair",IF(Linked[[#This Row],[Credit Score]]&lt;=739,"Good",IF(Linked[[#This Row],[Credit Score]]&lt;=799,"Very Good",IF(Linked[[#This Row],[Credit Score]]&gt;=800,"Excellent")))))</f>
        <v>Fair</v>
      </c>
      <c r="T123" s="4">
        <v>0</v>
      </c>
      <c r="U123" s="2" t="s">
        <v>18</v>
      </c>
      <c r="V123" s="2"/>
    </row>
    <row r="124" spans="1:22" x14ac:dyDescent="0.25">
      <c r="A124" s="2" t="s">
        <v>384</v>
      </c>
      <c r="B124" s="2" t="s">
        <v>383</v>
      </c>
      <c r="C124" s="2" t="s">
        <v>1337</v>
      </c>
      <c r="D124" s="2" t="s">
        <v>1227</v>
      </c>
      <c r="E124">
        <v>74</v>
      </c>
      <c r="F124" s="2" t="s">
        <v>1263</v>
      </c>
      <c r="G124" s="2" t="s">
        <v>1229</v>
      </c>
      <c r="H124" s="2" t="s">
        <v>1253</v>
      </c>
      <c r="I124" s="1">
        <v>44752</v>
      </c>
      <c r="J124">
        <v>2022</v>
      </c>
      <c r="K124" s="2" t="s">
        <v>1338</v>
      </c>
      <c r="L124" s="4">
        <v>132855</v>
      </c>
      <c r="M124" s="2" t="s">
        <v>1245</v>
      </c>
      <c r="N124" s="2" t="s">
        <v>1231</v>
      </c>
      <c r="O124" s="2" t="s">
        <v>13</v>
      </c>
      <c r="P124" s="3">
        <v>43962</v>
      </c>
      <c r="Q124" s="4">
        <v>277954</v>
      </c>
      <c r="R124">
        <v>745</v>
      </c>
      <c r="S124" t="str">
        <f>IF(Linked[[#This Row],[Credit Score]]&lt;=579,"Poor",IF(Linked[[#This Row],[Credit Score]]&lt;=669,"Fair",IF(Linked[[#This Row],[Credit Score]]&lt;=739,"Good",IF(Linked[[#This Row],[Credit Score]]&lt;=799,"Very Good",IF(Linked[[#This Row],[Credit Score]]&gt;=800,"Excellent")))))</f>
        <v>Very Good</v>
      </c>
      <c r="T124" s="4">
        <v>0</v>
      </c>
      <c r="U124" s="2"/>
      <c r="V124" s="2"/>
    </row>
    <row r="125" spans="1:22" x14ac:dyDescent="0.25">
      <c r="A125" s="2" t="s">
        <v>98</v>
      </c>
      <c r="B125" s="2" t="s">
        <v>97</v>
      </c>
      <c r="C125" s="2" t="s">
        <v>2256</v>
      </c>
      <c r="D125" s="2" t="s">
        <v>1219</v>
      </c>
      <c r="E125">
        <v>52</v>
      </c>
      <c r="F125" s="2" t="s">
        <v>1228</v>
      </c>
      <c r="G125" s="2" t="s">
        <v>1243</v>
      </c>
      <c r="H125" s="2" t="s">
        <v>1239</v>
      </c>
      <c r="I125" s="1">
        <v>44123</v>
      </c>
      <c r="J125">
        <v>2020</v>
      </c>
      <c r="K125" s="2" t="s">
        <v>2257</v>
      </c>
      <c r="L125" s="4">
        <v>84178</v>
      </c>
      <c r="M125" s="2" t="s">
        <v>1245</v>
      </c>
      <c r="N125" s="2" t="s">
        <v>1236</v>
      </c>
      <c r="O125" s="2" t="s">
        <v>10</v>
      </c>
      <c r="P125" s="3">
        <v>42460</v>
      </c>
      <c r="Q125" s="4">
        <v>329317</v>
      </c>
      <c r="R125">
        <v>721</v>
      </c>
      <c r="S125" t="str">
        <f>IF(Linked[[#This Row],[Credit Score]]&lt;=579,"Poor",IF(Linked[[#This Row],[Credit Score]]&lt;=669,"Fair",IF(Linked[[#This Row],[Credit Score]]&lt;=739,"Good",IF(Linked[[#This Row],[Credit Score]]&lt;=799,"Very Good",IF(Linked[[#This Row],[Credit Score]]&gt;=800,"Excellent")))))</f>
        <v>Good</v>
      </c>
      <c r="T125" s="4">
        <v>0</v>
      </c>
      <c r="U125" s="2"/>
      <c r="V125" s="2"/>
    </row>
    <row r="126" spans="1:22" x14ac:dyDescent="0.25">
      <c r="A126" s="2" t="s">
        <v>98</v>
      </c>
      <c r="B126" s="2" t="s">
        <v>292</v>
      </c>
      <c r="C126" s="2" t="s">
        <v>2256</v>
      </c>
      <c r="D126" s="2" t="s">
        <v>1219</v>
      </c>
      <c r="E126">
        <v>52</v>
      </c>
      <c r="F126" s="2" t="s">
        <v>1228</v>
      </c>
      <c r="G126" s="2" t="s">
        <v>1243</v>
      </c>
      <c r="H126" s="2" t="s">
        <v>1239</v>
      </c>
      <c r="I126" s="1">
        <v>44123</v>
      </c>
      <c r="J126">
        <v>2020</v>
      </c>
      <c r="K126" s="2" t="s">
        <v>2257</v>
      </c>
      <c r="L126" s="4">
        <v>84178</v>
      </c>
      <c r="M126" s="2" t="s">
        <v>1245</v>
      </c>
      <c r="N126" s="2" t="s">
        <v>1236</v>
      </c>
      <c r="O126" s="2" t="s">
        <v>10</v>
      </c>
      <c r="P126" s="3">
        <v>44820</v>
      </c>
      <c r="Q126" s="4">
        <v>255688</v>
      </c>
      <c r="R126">
        <v>607</v>
      </c>
      <c r="S126" t="str">
        <f>IF(Linked[[#This Row],[Credit Score]]&lt;=579,"Poor",IF(Linked[[#This Row],[Credit Score]]&lt;=669,"Fair",IF(Linked[[#This Row],[Credit Score]]&lt;=739,"Good",IF(Linked[[#This Row],[Credit Score]]&lt;=799,"Very Good",IF(Linked[[#This Row],[Credit Score]]&gt;=800,"Excellent")))))</f>
        <v>Fair</v>
      </c>
      <c r="T126" s="4">
        <v>0</v>
      </c>
      <c r="U126" s="2"/>
      <c r="V126" s="2"/>
    </row>
    <row r="127" spans="1:22" x14ac:dyDescent="0.25">
      <c r="A127" s="2" t="s">
        <v>267</v>
      </c>
      <c r="B127" s="2" t="s">
        <v>266</v>
      </c>
      <c r="C127" s="2" t="s">
        <v>1339</v>
      </c>
      <c r="D127" s="2" t="s">
        <v>1227</v>
      </c>
      <c r="E127">
        <v>53</v>
      </c>
      <c r="F127" s="2" t="s">
        <v>1228</v>
      </c>
      <c r="G127" s="2" t="s">
        <v>1229</v>
      </c>
      <c r="H127" s="2" t="s">
        <v>1259</v>
      </c>
      <c r="I127" s="1">
        <v>44427</v>
      </c>
      <c r="J127">
        <v>2021</v>
      </c>
      <c r="K127" s="2" t="s">
        <v>1340</v>
      </c>
      <c r="L127" s="4">
        <v>175650</v>
      </c>
      <c r="M127" s="2" t="s">
        <v>1223</v>
      </c>
      <c r="N127" s="2" t="s">
        <v>1224</v>
      </c>
      <c r="O127" s="2" t="s">
        <v>25</v>
      </c>
      <c r="P127" s="3">
        <v>44990</v>
      </c>
      <c r="Q127" s="4">
        <v>471797</v>
      </c>
      <c r="R127">
        <v>572</v>
      </c>
      <c r="S127" t="str">
        <f>IF(Linked[[#This Row],[Credit Score]]&lt;=579,"Poor",IF(Linked[[#This Row],[Credit Score]]&lt;=669,"Fair",IF(Linked[[#This Row],[Credit Score]]&lt;=739,"Good",IF(Linked[[#This Row],[Credit Score]]&lt;=799,"Very Good",IF(Linked[[#This Row],[Credit Score]]&gt;=800,"Excellent")))))</f>
        <v>Poor</v>
      </c>
      <c r="T127" s="4">
        <v>0</v>
      </c>
      <c r="U127" s="2"/>
      <c r="V127" s="2"/>
    </row>
    <row r="128" spans="1:22" x14ac:dyDescent="0.25">
      <c r="A128" s="2" t="s">
        <v>267</v>
      </c>
      <c r="B128" s="2" t="s">
        <v>509</v>
      </c>
      <c r="C128" s="2" t="s">
        <v>1339</v>
      </c>
      <c r="D128" s="2" t="s">
        <v>1227</v>
      </c>
      <c r="E128">
        <v>53</v>
      </c>
      <c r="F128" s="2" t="s">
        <v>1228</v>
      </c>
      <c r="G128" s="2" t="s">
        <v>1229</v>
      </c>
      <c r="H128" s="2" t="s">
        <v>1259</v>
      </c>
      <c r="I128" s="1">
        <v>44427</v>
      </c>
      <c r="J128">
        <v>2021</v>
      </c>
      <c r="K128" s="2" t="s">
        <v>1340</v>
      </c>
      <c r="L128" s="4">
        <v>175650</v>
      </c>
      <c r="M128" s="2" t="s">
        <v>1223</v>
      </c>
      <c r="N128" s="2" t="s">
        <v>1224</v>
      </c>
      <c r="O128" s="2" t="s">
        <v>25</v>
      </c>
      <c r="P128" s="3">
        <v>45395</v>
      </c>
      <c r="Q128" s="4">
        <v>268620</v>
      </c>
      <c r="R128">
        <v>747</v>
      </c>
      <c r="S128" t="str">
        <f>IF(Linked[[#This Row],[Credit Score]]&lt;=579,"Poor",IF(Linked[[#This Row],[Credit Score]]&lt;=669,"Fair",IF(Linked[[#This Row],[Credit Score]]&lt;=739,"Good",IF(Linked[[#This Row],[Credit Score]]&lt;=799,"Very Good",IF(Linked[[#This Row],[Credit Score]]&gt;=800,"Excellent")))))</f>
        <v>Very Good</v>
      </c>
      <c r="T128" s="4">
        <v>0</v>
      </c>
      <c r="U128" s="2"/>
      <c r="V128" s="2"/>
    </row>
    <row r="129" spans="1:22" x14ac:dyDescent="0.25">
      <c r="A129" s="2" t="s">
        <v>100</v>
      </c>
      <c r="B129" s="2" t="s">
        <v>99</v>
      </c>
      <c r="C129" s="2" t="s">
        <v>2103</v>
      </c>
      <c r="D129" s="2" t="s">
        <v>1227</v>
      </c>
      <c r="E129">
        <v>70</v>
      </c>
      <c r="F129" s="2" t="s">
        <v>1263</v>
      </c>
      <c r="G129" s="2" t="s">
        <v>1243</v>
      </c>
      <c r="H129" s="2" t="s">
        <v>1259</v>
      </c>
      <c r="I129" s="1">
        <v>45702</v>
      </c>
      <c r="J129">
        <v>2025</v>
      </c>
      <c r="K129" s="2" t="s">
        <v>2104</v>
      </c>
      <c r="L129" s="4">
        <v>106652</v>
      </c>
      <c r="M129" s="2" t="s">
        <v>1245</v>
      </c>
      <c r="N129" s="2" t="s">
        <v>1224</v>
      </c>
      <c r="O129" s="2" t="s">
        <v>13</v>
      </c>
      <c r="P129" s="3">
        <v>45290</v>
      </c>
      <c r="Q129" s="4">
        <v>293925</v>
      </c>
      <c r="R129">
        <v>546</v>
      </c>
      <c r="S129" t="str">
        <f>IF(Linked[[#This Row],[Credit Score]]&lt;=579,"Poor",IF(Linked[[#This Row],[Credit Score]]&lt;=669,"Fair",IF(Linked[[#This Row],[Credit Score]]&lt;=739,"Good",IF(Linked[[#This Row],[Credit Score]]&lt;=799,"Very Good",IF(Linked[[#This Row],[Credit Score]]&gt;=800,"Excellent")))))</f>
        <v>Poor</v>
      </c>
      <c r="T129" s="4">
        <v>0</v>
      </c>
      <c r="U129" s="2"/>
      <c r="V129" s="2"/>
    </row>
    <row r="130" spans="1:22" x14ac:dyDescent="0.25">
      <c r="A130" s="2" t="s">
        <v>100</v>
      </c>
      <c r="B130" s="2" t="s">
        <v>298</v>
      </c>
      <c r="C130" s="2" t="s">
        <v>2103</v>
      </c>
      <c r="D130" s="2" t="s">
        <v>1227</v>
      </c>
      <c r="E130">
        <v>70</v>
      </c>
      <c r="F130" s="2" t="s">
        <v>1263</v>
      </c>
      <c r="G130" s="2" t="s">
        <v>1243</v>
      </c>
      <c r="H130" s="2" t="s">
        <v>1259</v>
      </c>
      <c r="I130" s="1">
        <v>45702</v>
      </c>
      <c r="J130">
        <v>2025</v>
      </c>
      <c r="K130" s="2" t="s">
        <v>2104</v>
      </c>
      <c r="L130" s="4">
        <v>106652</v>
      </c>
      <c r="M130" s="2" t="s">
        <v>1245</v>
      </c>
      <c r="N130" s="2" t="s">
        <v>1224</v>
      </c>
      <c r="O130" s="2" t="s">
        <v>13</v>
      </c>
      <c r="P130" s="3">
        <v>43354</v>
      </c>
      <c r="Q130" s="4">
        <v>485581</v>
      </c>
      <c r="R130">
        <v>546</v>
      </c>
      <c r="S130" t="str">
        <f>IF(Linked[[#This Row],[Credit Score]]&lt;=579,"Poor",IF(Linked[[#This Row],[Credit Score]]&lt;=669,"Fair",IF(Linked[[#This Row],[Credit Score]]&lt;=739,"Good",IF(Linked[[#This Row],[Credit Score]]&lt;=799,"Very Good",IF(Linked[[#This Row],[Credit Score]]&gt;=800,"Excellent")))))</f>
        <v>Poor</v>
      </c>
      <c r="T130" s="4">
        <v>0</v>
      </c>
      <c r="U130" s="2"/>
      <c r="V130" s="2"/>
    </row>
    <row r="131" spans="1:22" x14ac:dyDescent="0.25">
      <c r="A131" s="2" t="s">
        <v>100</v>
      </c>
      <c r="B131" s="2" t="s">
        <v>559</v>
      </c>
      <c r="C131" s="2" t="s">
        <v>2103</v>
      </c>
      <c r="D131" s="2" t="s">
        <v>1227</v>
      </c>
      <c r="E131">
        <v>70</v>
      </c>
      <c r="F131" s="2" t="s">
        <v>1263</v>
      </c>
      <c r="G131" s="2" t="s">
        <v>1243</v>
      </c>
      <c r="H131" s="2" t="s">
        <v>1259</v>
      </c>
      <c r="I131" s="1">
        <v>45702</v>
      </c>
      <c r="J131">
        <v>2025</v>
      </c>
      <c r="K131" s="2" t="s">
        <v>2104</v>
      </c>
      <c r="L131" s="4">
        <v>106652</v>
      </c>
      <c r="M131" s="2" t="s">
        <v>1245</v>
      </c>
      <c r="N131" s="2" t="s">
        <v>1224</v>
      </c>
      <c r="O131" s="2" t="s">
        <v>13</v>
      </c>
      <c r="P131" s="3">
        <v>42853</v>
      </c>
      <c r="Q131" s="4">
        <v>68842</v>
      </c>
      <c r="R131">
        <v>486</v>
      </c>
      <c r="S131" t="str">
        <f>IF(Linked[[#This Row],[Credit Score]]&lt;=579,"Poor",IF(Linked[[#This Row],[Credit Score]]&lt;=669,"Fair",IF(Linked[[#This Row],[Credit Score]]&lt;=739,"Good",IF(Linked[[#This Row],[Credit Score]]&lt;=799,"Very Good",IF(Linked[[#This Row],[Credit Score]]&gt;=800,"Excellent")))))</f>
        <v>Poor</v>
      </c>
      <c r="T131" s="4">
        <v>127026</v>
      </c>
      <c r="U131" s="2"/>
      <c r="V131" s="2"/>
    </row>
    <row r="132" spans="1:22" x14ac:dyDescent="0.25">
      <c r="A132" s="2" t="s">
        <v>104</v>
      </c>
      <c r="B132" s="2" t="s">
        <v>103</v>
      </c>
      <c r="C132" s="2" t="s">
        <v>1413</v>
      </c>
      <c r="D132" s="2" t="s">
        <v>1227</v>
      </c>
      <c r="E132">
        <v>61</v>
      </c>
      <c r="F132" s="2" t="s">
        <v>1263</v>
      </c>
      <c r="G132" s="2" t="s">
        <v>1249</v>
      </c>
      <c r="H132" s="2" t="s">
        <v>1222</v>
      </c>
      <c r="I132" s="1">
        <v>43302</v>
      </c>
      <c r="J132">
        <v>2018</v>
      </c>
      <c r="K132" s="2" t="s">
        <v>1414</v>
      </c>
      <c r="L132" s="4">
        <v>90831</v>
      </c>
      <c r="M132" s="2" t="s">
        <v>1245</v>
      </c>
      <c r="N132" s="2" t="s">
        <v>1224</v>
      </c>
      <c r="O132" s="2" t="s">
        <v>13</v>
      </c>
      <c r="P132" s="3">
        <v>45583</v>
      </c>
      <c r="Q132" s="4">
        <v>287644</v>
      </c>
      <c r="R132">
        <v>305</v>
      </c>
      <c r="S132" t="str">
        <f>IF(Linked[[#This Row],[Credit Score]]&lt;=579,"Poor",IF(Linked[[#This Row],[Credit Score]]&lt;=669,"Fair",IF(Linked[[#This Row],[Credit Score]]&lt;=739,"Good",IF(Linked[[#This Row],[Credit Score]]&lt;=799,"Very Good",IF(Linked[[#This Row],[Credit Score]]&gt;=800,"Excellent")))))</f>
        <v>Poor</v>
      </c>
      <c r="T132" s="4">
        <v>485398</v>
      </c>
      <c r="U132" s="2"/>
      <c r="V132" s="2"/>
    </row>
    <row r="133" spans="1:22" x14ac:dyDescent="0.25">
      <c r="A133" s="2" t="s">
        <v>106</v>
      </c>
      <c r="B133" s="2" t="s">
        <v>105</v>
      </c>
      <c r="C133" s="2" t="s">
        <v>1512</v>
      </c>
      <c r="D133" s="2" t="s">
        <v>1219</v>
      </c>
      <c r="E133">
        <v>56</v>
      </c>
      <c r="F133" s="2" t="s">
        <v>1228</v>
      </c>
      <c r="G133" s="2" t="s">
        <v>1243</v>
      </c>
      <c r="H133" s="2" t="s">
        <v>1235</v>
      </c>
      <c r="I133" s="1">
        <v>44752</v>
      </c>
      <c r="J133">
        <v>2022</v>
      </c>
      <c r="K133" s="2" t="s">
        <v>1338</v>
      </c>
      <c r="L133" s="4">
        <v>173962</v>
      </c>
      <c r="M133" s="2" t="s">
        <v>1223</v>
      </c>
      <c r="N133" s="2" t="s">
        <v>1224</v>
      </c>
      <c r="O133" s="2" t="s">
        <v>10</v>
      </c>
      <c r="P133" s="3">
        <v>43835</v>
      </c>
      <c r="Q133" s="4">
        <v>246404</v>
      </c>
      <c r="R133">
        <v>505</v>
      </c>
      <c r="S133" t="str">
        <f>IF(Linked[[#This Row],[Credit Score]]&lt;=579,"Poor",IF(Linked[[#This Row],[Credit Score]]&lt;=669,"Fair",IF(Linked[[#This Row],[Credit Score]]&lt;=739,"Good",IF(Linked[[#This Row],[Credit Score]]&lt;=799,"Very Good",IF(Linked[[#This Row],[Credit Score]]&gt;=800,"Excellent")))))</f>
        <v>Poor</v>
      </c>
      <c r="T133" s="4">
        <v>0</v>
      </c>
      <c r="U133" s="2"/>
      <c r="V133" s="2"/>
    </row>
    <row r="134" spans="1:22" x14ac:dyDescent="0.25">
      <c r="A134" s="2" t="s">
        <v>106</v>
      </c>
      <c r="B134" s="2" t="s">
        <v>771</v>
      </c>
      <c r="C134" s="2" t="s">
        <v>1512</v>
      </c>
      <c r="D134" s="2" t="s">
        <v>1219</v>
      </c>
      <c r="E134">
        <v>56</v>
      </c>
      <c r="F134" s="2" t="s">
        <v>1228</v>
      </c>
      <c r="G134" s="2" t="s">
        <v>1243</v>
      </c>
      <c r="H134" s="2" t="s">
        <v>1235</v>
      </c>
      <c r="I134" s="1">
        <v>44752</v>
      </c>
      <c r="J134">
        <v>2022</v>
      </c>
      <c r="K134" s="2" t="s">
        <v>1338</v>
      </c>
      <c r="L134" s="4">
        <v>173962</v>
      </c>
      <c r="M134" s="2" t="s">
        <v>1223</v>
      </c>
      <c r="N134" s="2" t="s">
        <v>1224</v>
      </c>
      <c r="O134" s="2" t="s">
        <v>25</v>
      </c>
      <c r="P134" s="3">
        <v>45766</v>
      </c>
      <c r="Q134" s="4">
        <v>464462</v>
      </c>
      <c r="R134">
        <v>329</v>
      </c>
      <c r="S134" t="str">
        <f>IF(Linked[[#This Row],[Credit Score]]&lt;=579,"Poor",IF(Linked[[#This Row],[Credit Score]]&lt;=669,"Fair",IF(Linked[[#This Row],[Credit Score]]&lt;=739,"Good",IF(Linked[[#This Row],[Credit Score]]&lt;=799,"Very Good",IF(Linked[[#This Row],[Credit Score]]&gt;=800,"Excellent")))))</f>
        <v>Poor</v>
      </c>
      <c r="T134" s="4">
        <v>0</v>
      </c>
      <c r="U134" s="2"/>
      <c r="V134" s="2"/>
    </row>
    <row r="135" spans="1:22" x14ac:dyDescent="0.25">
      <c r="A135" s="2" t="s">
        <v>172</v>
      </c>
      <c r="B135" s="2" t="s">
        <v>171</v>
      </c>
      <c r="C135" s="2" t="s">
        <v>1350</v>
      </c>
      <c r="D135" s="2" t="s">
        <v>1227</v>
      </c>
      <c r="E135">
        <v>63</v>
      </c>
      <c r="F135" s="2" t="s">
        <v>1263</v>
      </c>
      <c r="G135" s="2" t="s">
        <v>1249</v>
      </c>
      <c r="H135" s="2" t="s">
        <v>1239</v>
      </c>
      <c r="I135" s="1">
        <v>42750</v>
      </c>
      <c r="J135">
        <v>2017</v>
      </c>
      <c r="K135" s="2" t="s">
        <v>1351</v>
      </c>
      <c r="L135" s="4">
        <v>27287</v>
      </c>
      <c r="M135" s="2" t="s">
        <v>1250</v>
      </c>
      <c r="N135" s="2" t="s">
        <v>1224</v>
      </c>
      <c r="O135" s="2" t="s">
        <v>13</v>
      </c>
      <c r="P135" s="3">
        <v>43176</v>
      </c>
      <c r="Q135" s="4">
        <v>353827</v>
      </c>
      <c r="R135">
        <v>810</v>
      </c>
      <c r="S135" t="str">
        <f>IF(Linked[[#This Row],[Credit Score]]&lt;=579,"Poor",IF(Linked[[#This Row],[Credit Score]]&lt;=669,"Fair",IF(Linked[[#This Row],[Credit Score]]&lt;=739,"Good",IF(Linked[[#This Row],[Credit Score]]&lt;=799,"Very Good",IF(Linked[[#This Row],[Credit Score]]&gt;=800,"Excellent")))))</f>
        <v>Excellent</v>
      </c>
      <c r="T135" s="4">
        <v>0</v>
      </c>
      <c r="U135" s="2"/>
      <c r="V135" s="2"/>
    </row>
    <row r="136" spans="1:22" x14ac:dyDescent="0.25">
      <c r="A136" s="2" t="s">
        <v>172</v>
      </c>
      <c r="B136" s="2" t="s">
        <v>451</v>
      </c>
      <c r="C136" s="2" t="s">
        <v>1350</v>
      </c>
      <c r="D136" s="2" t="s">
        <v>1227</v>
      </c>
      <c r="E136">
        <v>63</v>
      </c>
      <c r="F136" s="2" t="s">
        <v>1263</v>
      </c>
      <c r="G136" s="2" t="s">
        <v>1249</v>
      </c>
      <c r="H136" s="2" t="s">
        <v>1239</v>
      </c>
      <c r="I136" s="1">
        <v>42750</v>
      </c>
      <c r="J136">
        <v>2017</v>
      </c>
      <c r="K136" s="2" t="s">
        <v>1351</v>
      </c>
      <c r="L136" s="4">
        <v>27287</v>
      </c>
      <c r="M136" s="2" t="s">
        <v>1250</v>
      </c>
      <c r="N136" s="2" t="s">
        <v>1224</v>
      </c>
      <c r="O136" s="2" t="s">
        <v>25</v>
      </c>
      <c r="P136" s="3">
        <v>44785</v>
      </c>
      <c r="Q136" s="4">
        <v>717</v>
      </c>
      <c r="R136">
        <v>842</v>
      </c>
      <c r="S136" t="str">
        <f>IF(Linked[[#This Row],[Credit Score]]&lt;=579,"Poor",IF(Linked[[#This Row],[Credit Score]]&lt;=669,"Fair",IF(Linked[[#This Row],[Credit Score]]&lt;=739,"Good",IF(Linked[[#This Row],[Credit Score]]&lt;=799,"Very Good",IF(Linked[[#This Row],[Credit Score]]&gt;=800,"Excellent")))))</f>
        <v>Excellent</v>
      </c>
      <c r="T136" s="4">
        <v>197718</v>
      </c>
      <c r="U136" s="2"/>
      <c r="V136" s="2"/>
    </row>
    <row r="137" spans="1:22" x14ac:dyDescent="0.25">
      <c r="A137" s="2" t="s">
        <v>108</v>
      </c>
      <c r="B137" s="2" t="s">
        <v>107</v>
      </c>
      <c r="C137" s="2" t="s">
        <v>1407</v>
      </c>
      <c r="D137" s="2" t="s">
        <v>1219</v>
      </c>
      <c r="E137">
        <v>25</v>
      </c>
      <c r="F137" s="2" t="s">
        <v>1242</v>
      </c>
      <c r="G137" s="2" t="s">
        <v>1249</v>
      </c>
      <c r="H137" s="2" t="s">
        <v>1222</v>
      </c>
      <c r="I137" s="1">
        <v>43309</v>
      </c>
      <c r="J137">
        <v>2018</v>
      </c>
      <c r="K137" s="2" t="s">
        <v>1246</v>
      </c>
      <c r="L137" s="4">
        <v>89669</v>
      </c>
      <c r="M137" s="2" t="s">
        <v>1245</v>
      </c>
      <c r="N137" s="2" t="s">
        <v>1236</v>
      </c>
      <c r="O137" s="2" t="s">
        <v>13</v>
      </c>
      <c r="P137" s="3">
        <v>45414</v>
      </c>
      <c r="Q137" s="4">
        <v>100336</v>
      </c>
      <c r="R137">
        <v>843</v>
      </c>
      <c r="S137" t="str">
        <f>IF(Linked[[#This Row],[Credit Score]]&lt;=579,"Poor",IF(Linked[[#This Row],[Credit Score]]&lt;=669,"Fair",IF(Linked[[#This Row],[Credit Score]]&lt;=739,"Good",IF(Linked[[#This Row],[Credit Score]]&lt;=799,"Very Good",IF(Linked[[#This Row],[Credit Score]]&gt;=800,"Excellent")))))</f>
        <v>Excellent</v>
      </c>
      <c r="T137" s="4">
        <v>316011</v>
      </c>
      <c r="U137" s="2" t="s">
        <v>18</v>
      </c>
      <c r="V137" s="2"/>
    </row>
    <row r="138" spans="1:22" x14ac:dyDescent="0.25">
      <c r="A138" s="2" t="s">
        <v>108</v>
      </c>
      <c r="B138" s="2" t="s">
        <v>732</v>
      </c>
      <c r="C138" s="2" t="s">
        <v>1407</v>
      </c>
      <c r="D138" s="2" t="s">
        <v>1219</v>
      </c>
      <c r="E138">
        <v>25</v>
      </c>
      <c r="F138" s="2" t="s">
        <v>1242</v>
      </c>
      <c r="G138" s="2" t="s">
        <v>1249</v>
      </c>
      <c r="H138" s="2" t="s">
        <v>1222</v>
      </c>
      <c r="I138" s="1">
        <v>43309</v>
      </c>
      <c r="J138">
        <v>2018</v>
      </c>
      <c r="K138" s="2" t="s">
        <v>1246</v>
      </c>
      <c r="L138" s="4">
        <v>89669</v>
      </c>
      <c r="M138" s="2" t="s">
        <v>1245</v>
      </c>
      <c r="N138" s="2" t="s">
        <v>1236</v>
      </c>
      <c r="O138" s="2" t="s">
        <v>25</v>
      </c>
      <c r="P138" s="3">
        <v>45166</v>
      </c>
      <c r="Q138" s="4">
        <v>158598</v>
      </c>
      <c r="R138">
        <v>362</v>
      </c>
      <c r="S138" t="str">
        <f>IF(Linked[[#This Row],[Credit Score]]&lt;=579,"Poor",IF(Linked[[#This Row],[Credit Score]]&lt;=669,"Fair",IF(Linked[[#This Row],[Credit Score]]&lt;=739,"Good",IF(Linked[[#This Row],[Credit Score]]&lt;=799,"Very Good",IF(Linked[[#This Row],[Credit Score]]&gt;=800,"Excellent")))))</f>
        <v>Poor</v>
      </c>
      <c r="T138" s="4">
        <v>0</v>
      </c>
      <c r="U138" s="2" t="s">
        <v>18</v>
      </c>
      <c r="V138" s="2"/>
    </row>
    <row r="139" spans="1:22" x14ac:dyDescent="0.25">
      <c r="A139" s="2" t="s">
        <v>126</v>
      </c>
      <c r="B139" s="2" t="s">
        <v>125</v>
      </c>
      <c r="C139" s="2" t="s">
        <v>1352</v>
      </c>
      <c r="D139" s="2" t="s">
        <v>1227</v>
      </c>
      <c r="E139">
        <v>33</v>
      </c>
      <c r="F139" s="2" t="s">
        <v>1220</v>
      </c>
      <c r="G139" s="2" t="s">
        <v>1249</v>
      </c>
      <c r="H139" s="2" t="s">
        <v>1259</v>
      </c>
      <c r="I139" s="1">
        <v>44992</v>
      </c>
      <c r="J139">
        <v>2023</v>
      </c>
      <c r="K139" s="2" t="s">
        <v>1353</v>
      </c>
      <c r="L139" s="4">
        <v>53660</v>
      </c>
      <c r="M139" s="2" t="s">
        <v>1250</v>
      </c>
      <c r="N139" s="2" t="s">
        <v>1231</v>
      </c>
      <c r="O139" s="2" t="s">
        <v>10</v>
      </c>
      <c r="P139" s="3">
        <v>43744</v>
      </c>
      <c r="Q139" s="4">
        <v>325203</v>
      </c>
      <c r="R139">
        <v>586</v>
      </c>
      <c r="S139" t="str">
        <f>IF(Linked[[#This Row],[Credit Score]]&lt;=579,"Poor",IF(Linked[[#This Row],[Credit Score]]&lt;=669,"Fair",IF(Linked[[#This Row],[Credit Score]]&lt;=739,"Good",IF(Linked[[#This Row],[Credit Score]]&lt;=799,"Very Good",IF(Linked[[#This Row],[Credit Score]]&gt;=800,"Excellent")))))</f>
        <v>Fair</v>
      </c>
      <c r="T139" s="4">
        <v>0</v>
      </c>
      <c r="U139" s="2"/>
      <c r="V139" s="2"/>
    </row>
    <row r="140" spans="1:22" x14ac:dyDescent="0.25">
      <c r="A140" s="2" t="s">
        <v>110</v>
      </c>
      <c r="B140" s="2" t="s">
        <v>109</v>
      </c>
      <c r="C140" s="2" t="s">
        <v>2016</v>
      </c>
      <c r="D140" s="2" t="s">
        <v>1219</v>
      </c>
      <c r="E140">
        <v>45</v>
      </c>
      <c r="F140" s="2" t="s">
        <v>1228</v>
      </c>
      <c r="G140" s="2" t="s">
        <v>1221</v>
      </c>
      <c r="H140" s="2" t="s">
        <v>1222</v>
      </c>
      <c r="I140" s="1">
        <v>44954</v>
      </c>
      <c r="J140">
        <v>2023</v>
      </c>
      <c r="K140" s="2" t="s">
        <v>2017</v>
      </c>
      <c r="L140" s="4">
        <v>36082</v>
      </c>
      <c r="M140" s="2" t="s">
        <v>1250</v>
      </c>
      <c r="N140" s="2" t="s">
        <v>1231</v>
      </c>
      <c r="O140" s="2" t="s">
        <v>13</v>
      </c>
      <c r="P140" s="3">
        <v>43810</v>
      </c>
      <c r="Q140" s="4">
        <v>428745</v>
      </c>
      <c r="R140">
        <v>686</v>
      </c>
      <c r="S140" t="str">
        <f>IF(Linked[[#This Row],[Credit Score]]&lt;=579,"Poor",IF(Linked[[#This Row],[Credit Score]]&lt;=669,"Fair",IF(Linked[[#This Row],[Credit Score]]&lt;=739,"Good",IF(Linked[[#This Row],[Credit Score]]&lt;=799,"Very Good",IF(Linked[[#This Row],[Credit Score]]&gt;=800,"Excellent")))))</f>
        <v>Good</v>
      </c>
      <c r="T140" s="4">
        <v>449244</v>
      </c>
      <c r="U140" s="2"/>
      <c r="V140" s="2"/>
    </row>
    <row r="141" spans="1:22" x14ac:dyDescent="0.25">
      <c r="A141" s="2" t="s">
        <v>146</v>
      </c>
      <c r="B141" s="2" t="s">
        <v>145</v>
      </c>
      <c r="C141" s="2" t="s">
        <v>1354</v>
      </c>
      <c r="D141" s="2" t="s">
        <v>1219</v>
      </c>
      <c r="E141">
        <v>31</v>
      </c>
      <c r="F141" s="2" t="s">
        <v>1220</v>
      </c>
      <c r="G141" s="2" t="s">
        <v>1249</v>
      </c>
      <c r="H141" s="2" t="s">
        <v>1253</v>
      </c>
      <c r="I141" s="1">
        <v>42622</v>
      </c>
      <c r="J141">
        <v>2016</v>
      </c>
      <c r="K141" s="2" t="s">
        <v>1355</v>
      </c>
      <c r="L141" s="4">
        <v>80504</v>
      </c>
      <c r="M141" s="2" t="s">
        <v>1245</v>
      </c>
      <c r="N141" s="2" t="s">
        <v>1224</v>
      </c>
      <c r="O141" s="2" t="s">
        <v>10</v>
      </c>
      <c r="P141" s="3">
        <v>42702</v>
      </c>
      <c r="Q141" s="4">
        <v>134678</v>
      </c>
      <c r="R141">
        <v>627</v>
      </c>
      <c r="S141" t="str">
        <f>IF(Linked[[#This Row],[Credit Score]]&lt;=579,"Poor",IF(Linked[[#This Row],[Credit Score]]&lt;=669,"Fair",IF(Linked[[#This Row],[Credit Score]]&lt;=739,"Good",IF(Linked[[#This Row],[Credit Score]]&lt;=799,"Very Good",IF(Linked[[#This Row],[Credit Score]]&gt;=800,"Excellent")))))</f>
        <v>Fair</v>
      </c>
      <c r="T141" s="4">
        <v>0</v>
      </c>
      <c r="U141" s="2"/>
      <c r="V141" s="2"/>
    </row>
    <row r="142" spans="1:22" x14ac:dyDescent="0.25">
      <c r="A142" s="2" t="s">
        <v>112</v>
      </c>
      <c r="B142" s="2" t="s">
        <v>111</v>
      </c>
      <c r="C142" s="2" t="s">
        <v>1538</v>
      </c>
      <c r="D142" s="2" t="s">
        <v>1219</v>
      </c>
      <c r="E142">
        <v>46</v>
      </c>
      <c r="F142" s="2" t="s">
        <v>1228</v>
      </c>
      <c r="G142" s="2" t="s">
        <v>1221</v>
      </c>
      <c r="H142" s="2" t="s">
        <v>1222</v>
      </c>
      <c r="I142" s="1">
        <v>43594</v>
      </c>
      <c r="J142">
        <v>2019</v>
      </c>
      <c r="K142" s="2" t="s">
        <v>1539</v>
      </c>
      <c r="L142" s="4">
        <v>185904</v>
      </c>
      <c r="M142" s="2" t="s">
        <v>1223</v>
      </c>
      <c r="N142" s="2" t="s">
        <v>1224</v>
      </c>
      <c r="O142" s="2" t="s">
        <v>13</v>
      </c>
      <c r="P142" s="3">
        <v>42425</v>
      </c>
      <c r="Q142" s="4">
        <v>113499</v>
      </c>
      <c r="R142">
        <v>375</v>
      </c>
      <c r="S142" t="str">
        <f>IF(Linked[[#This Row],[Credit Score]]&lt;=579,"Poor",IF(Linked[[#This Row],[Credit Score]]&lt;=669,"Fair",IF(Linked[[#This Row],[Credit Score]]&lt;=739,"Good",IF(Linked[[#This Row],[Credit Score]]&lt;=799,"Very Good",IF(Linked[[#This Row],[Credit Score]]&gt;=800,"Excellent")))))</f>
        <v>Poor</v>
      </c>
      <c r="T142" s="4">
        <v>0</v>
      </c>
      <c r="U142" s="2" t="s">
        <v>18</v>
      </c>
      <c r="V142" s="2"/>
    </row>
    <row r="143" spans="1:22" x14ac:dyDescent="0.25">
      <c r="A143" s="2" t="s">
        <v>112</v>
      </c>
      <c r="B143" s="2" t="s">
        <v>612</v>
      </c>
      <c r="C143" s="2" t="s">
        <v>1538</v>
      </c>
      <c r="D143" s="2" t="s">
        <v>1219</v>
      </c>
      <c r="E143">
        <v>46</v>
      </c>
      <c r="F143" s="2" t="s">
        <v>1228</v>
      </c>
      <c r="G143" s="2" t="s">
        <v>1221</v>
      </c>
      <c r="H143" s="2" t="s">
        <v>1222</v>
      </c>
      <c r="I143" s="1">
        <v>43594</v>
      </c>
      <c r="J143">
        <v>2019</v>
      </c>
      <c r="K143" s="2" t="s">
        <v>1539</v>
      </c>
      <c r="L143" s="4">
        <v>185904</v>
      </c>
      <c r="M143" s="2" t="s">
        <v>1223</v>
      </c>
      <c r="N143" s="2" t="s">
        <v>1224</v>
      </c>
      <c r="O143" s="2" t="s">
        <v>10</v>
      </c>
      <c r="P143" s="3">
        <v>43668</v>
      </c>
      <c r="Q143" s="4">
        <v>124168</v>
      </c>
      <c r="R143">
        <v>675</v>
      </c>
      <c r="S143" t="str">
        <f>IF(Linked[[#This Row],[Credit Score]]&lt;=579,"Poor",IF(Linked[[#This Row],[Credit Score]]&lt;=669,"Fair",IF(Linked[[#This Row],[Credit Score]]&lt;=739,"Good",IF(Linked[[#This Row],[Credit Score]]&lt;=799,"Very Good",IF(Linked[[#This Row],[Credit Score]]&gt;=800,"Excellent")))))</f>
        <v>Good</v>
      </c>
      <c r="T143" s="4">
        <v>478006</v>
      </c>
      <c r="U143" s="2"/>
      <c r="V143" s="2"/>
    </row>
    <row r="144" spans="1:22" x14ac:dyDescent="0.25">
      <c r="A144" s="2" t="s">
        <v>114</v>
      </c>
      <c r="B144" s="2" t="s">
        <v>113</v>
      </c>
      <c r="C144" s="2" t="s">
        <v>1439</v>
      </c>
      <c r="D144" s="2" t="s">
        <v>1227</v>
      </c>
      <c r="E144">
        <v>57</v>
      </c>
      <c r="F144" s="2" t="s">
        <v>1228</v>
      </c>
      <c r="G144" s="2" t="s">
        <v>1229</v>
      </c>
      <c r="H144" s="2" t="s">
        <v>1244</v>
      </c>
      <c r="I144" s="1">
        <v>42239</v>
      </c>
      <c r="J144">
        <v>2015</v>
      </c>
      <c r="K144" s="2" t="s">
        <v>1440</v>
      </c>
      <c r="L144" s="4">
        <v>160588</v>
      </c>
      <c r="M144" s="2" t="s">
        <v>1223</v>
      </c>
      <c r="N144" s="2" t="s">
        <v>1224</v>
      </c>
      <c r="O144" s="2" t="s">
        <v>25</v>
      </c>
      <c r="P144" s="3">
        <v>43028</v>
      </c>
      <c r="Q144" s="4">
        <v>149524</v>
      </c>
      <c r="R144">
        <v>476</v>
      </c>
      <c r="S144" t="str">
        <f>IF(Linked[[#This Row],[Credit Score]]&lt;=579,"Poor",IF(Linked[[#This Row],[Credit Score]]&lt;=669,"Fair",IF(Linked[[#This Row],[Credit Score]]&lt;=739,"Good",IF(Linked[[#This Row],[Credit Score]]&lt;=799,"Very Good",IF(Linked[[#This Row],[Credit Score]]&gt;=800,"Excellent")))))</f>
        <v>Poor</v>
      </c>
      <c r="T144" s="4">
        <v>0</v>
      </c>
      <c r="U144" s="2"/>
      <c r="V144" s="2"/>
    </row>
    <row r="145" spans="1:22" x14ac:dyDescent="0.25">
      <c r="A145" s="2" t="s">
        <v>114</v>
      </c>
      <c r="B145" s="2" t="s">
        <v>183</v>
      </c>
      <c r="C145" s="2" t="s">
        <v>1439</v>
      </c>
      <c r="D145" s="2" t="s">
        <v>1227</v>
      </c>
      <c r="E145">
        <v>57</v>
      </c>
      <c r="F145" s="2" t="s">
        <v>1228</v>
      </c>
      <c r="G145" s="2" t="s">
        <v>1229</v>
      </c>
      <c r="H145" s="2" t="s">
        <v>1244</v>
      </c>
      <c r="I145" s="1">
        <v>42239</v>
      </c>
      <c r="J145">
        <v>2015</v>
      </c>
      <c r="K145" s="2" t="s">
        <v>1440</v>
      </c>
      <c r="L145" s="4">
        <v>160588</v>
      </c>
      <c r="M145" s="2" t="s">
        <v>1223</v>
      </c>
      <c r="N145" s="2" t="s">
        <v>1224</v>
      </c>
      <c r="O145" s="2" t="s">
        <v>10</v>
      </c>
      <c r="P145" s="3">
        <v>44681</v>
      </c>
      <c r="Q145" s="4">
        <v>404303</v>
      </c>
      <c r="R145">
        <v>470</v>
      </c>
      <c r="S145" t="str">
        <f>IF(Linked[[#This Row],[Credit Score]]&lt;=579,"Poor",IF(Linked[[#This Row],[Credit Score]]&lt;=669,"Fair",IF(Linked[[#This Row],[Credit Score]]&lt;=739,"Good",IF(Linked[[#This Row],[Credit Score]]&lt;=799,"Very Good",IF(Linked[[#This Row],[Credit Score]]&gt;=800,"Excellent")))))</f>
        <v>Poor</v>
      </c>
      <c r="T145" s="4">
        <v>98109</v>
      </c>
      <c r="U145" s="2"/>
      <c r="V145" s="2"/>
    </row>
    <row r="146" spans="1:22" x14ac:dyDescent="0.25">
      <c r="A146" s="2" t="s">
        <v>116</v>
      </c>
      <c r="B146" s="2" t="s">
        <v>115</v>
      </c>
      <c r="C146" s="2" t="s">
        <v>2105</v>
      </c>
      <c r="D146" s="2" t="s">
        <v>1219</v>
      </c>
      <c r="E146">
        <v>71</v>
      </c>
      <c r="F146" s="2" t="s">
        <v>1263</v>
      </c>
      <c r="G146" s="2" t="s">
        <v>1249</v>
      </c>
      <c r="H146" s="2" t="s">
        <v>1253</v>
      </c>
      <c r="I146" s="1">
        <v>42789</v>
      </c>
      <c r="J146">
        <v>2017</v>
      </c>
      <c r="K146" s="2" t="s">
        <v>2106</v>
      </c>
      <c r="L146" s="4">
        <v>148267</v>
      </c>
      <c r="M146" s="2" t="s">
        <v>1223</v>
      </c>
      <c r="N146" s="2" t="s">
        <v>1224</v>
      </c>
      <c r="O146" s="2" t="s">
        <v>10</v>
      </c>
      <c r="P146" s="3">
        <v>42626</v>
      </c>
      <c r="Q146" s="4">
        <v>311537</v>
      </c>
      <c r="R146">
        <v>648</v>
      </c>
      <c r="S146" t="str">
        <f>IF(Linked[[#This Row],[Credit Score]]&lt;=579,"Poor",IF(Linked[[#This Row],[Credit Score]]&lt;=669,"Fair",IF(Linked[[#This Row],[Credit Score]]&lt;=739,"Good",IF(Linked[[#This Row],[Credit Score]]&lt;=799,"Very Good",IF(Linked[[#This Row],[Credit Score]]&gt;=800,"Excellent")))))</f>
        <v>Fair</v>
      </c>
      <c r="T146" s="4">
        <v>0</v>
      </c>
      <c r="U146" s="2"/>
      <c r="V146" s="2"/>
    </row>
    <row r="147" spans="1:22" x14ac:dyDescent="0.25">
      <c r="A147" s="2" t="s">
        <v>116</v>
      </c>
      <c r="B147" s="2" t="s">
        <v>256</v>
      </c>
      <c r="C147" s="2" t="s">
        <v>2105</v>
      </c>
      <c r="D147" s="2" t="s">
        <v>1219</v>
      </c>
      <c r="E147">
        <v>71</v>
      </c>
      <c r="F147" s="2" t="s">
        <v>1263</v>
      </c>
      <c r="G147" s="2" t="s">
        <v>1249</v>
      </c>
      <c r="H147" s="2" t="s">
        <v>1253</v>
      </c>
      <c r="I147" s="1">
        <v>42789</v>
      </c>
      <c r="J147">
        <v>2017</v>
      </c>
      <c r="K147" s="2" t="s">
        <v>2106</v>
      </c>
      <c r="L147" s="4">
        <v>148267</v>
      </c>
      <c r="M147" s="2" t="s">
        <v>1223</v>
      </c>
      <c r="N147" s="2" t="s">
        <v>1224</v>
      </c>
      <c r="O147" s="2" t="s">
        <v>10</v>
      </c>
      <c r="P147" s="3">
        <v>45208</v>
      </c>
      <c r="Q147" s="4">
        <v>479681</v>
      </c>
      <c r="R147">
        <v>670</v>
      </c>
      <c r="S147" t="str">
        <f>IF(Linked[[#This Row],[Credit Score]]&lt;=579,"Poor",IF(Linked[[#This Row],[Credit Score]]&lt;=669,"Fair",IF(Linked[[#This Row],[Credit Score]]&lt;=739,"Good",IF(Linked[[#This Row],[Credit Score]]&lt;=799,"Very Good",IF(Linked[[#This Row],[Credit Score]]&gt;=800,"Excellent")))))</f>
        <v>Good</v>
      </c>
      <c r="T147" s="4">
        <v>0</v>
      </c>
      <c r="U147" s="2"/>
      <c r="V147" s="2"/>
    </row>
    <row r="148" spans="1:22" x14ac:dyDescent="0.25">
      <c r="A148" s="2" t="s">
        <v>118</v>
      </c>
      <c r="B148" s="2" t="s">
        <v>117</v>
      </c>
      <c r="C148" s="2" t="s">
        <v>1945</v>
      </c>
      <c r="D148" s="2" t="s">
        <v>1227</v>
      </c>
      <c r="E148">
        <v>22</v>
      </c>
      <c r="F148" s="2" t="s">
        <v>1242</v>
      </c>
      <c r="G148" s="2" t="s">
        <v>1249</v>
      </c>
      <c r="H148" s="2" t="s">
        <v>1235</v>
      </c>
      <c r="I148" s="1">
        <v>44640</v>
      </c>
      <c r="J148">
        <v>2022</v>
      </c>
      <c r="K148" s="2" t="s">
        <v>1946</v>
      </c>
      <c r="L148" s="4">
        <v>44826</v>
      </c>
      <c r="M148" s="2" t="s">
        <v>1250</v>
      </c>
      <c r="N148" s="2" t="s">
        <v>1224</v>
      </c>
      <c r="O148" s="2" t="s">
        <v>13</v>
      </c>
      <c r="P148" s="3">
        <v>45145</v>
      </c>
      <c r="Q148" s="4">
        <v>424390</v>
      </c>
      <c r="R148">
        <v>554</v>
      </c>
      <c r="S148" t="str">
        <f>IF(Linked[[#This Row],[Credit Score]]&lt;=579,"Poor",IF(Linked[[#This Row],[Credit Score]]&lt;=669,"Fair",IF(Linked[[#This Row],[Credit Score]]&lt;=739,"Good",IF(Linked[[#This Row],[Credit Score]]&lt;=799,"Very Good",IF(Linked[[#This Row],[Credit Score]]&gt;=800,"Excellent")))))</f>
        <v>Poor</v>
      </c>
      <c r="T148" s="4">
        <v>0</v>
      </c>
      <c r="U148" s="2"/>
      <c r="V148" s="2"/>
    </row>
    <row r="149" spans="1:22" x14ac:dyDescent="0.25">
      <c r="A149" s="2" t="s">
        <v>118</v>
      </c>
      <c r="B149" s="2" t="s">
        <v>647</v>
      </c>
      <c r="C149" s="2" t="s">
        <v>1945</v>
      </c>
      <c r="D149" s="2" t="s">
        <v>1227</v>
      </c>
      <c r="E149">
        <v>22</v>
      </c>
      <c r="F149" s="2" t="s">
        <v>1242</v>
      </c>
      <c r="G149" s="2" t="s">
        <v>1249</v>
      </c>
      <c r="H149" s="2" t="s">
        <v>1235</v>
      </c>
      <c r="I149" s="1">
        <v>44640</v>
      </c>
      <c r="J149">
        <v>2022</v>
      </c>
      <c r="K149" s="2" t="s">
        <v>1946</v>
      </c>
      <c r="L149" s="4">
        <v>44826</v>
      </c>
      <c r="M149" s="2" t="s">
        <v>1250</v>
      </c>
      <c r="N149" s="2" t="s">
        <v>1224</v>
      </c>
      <c r="O149" s="2" t="s">
        <v>13</v>
      </c>
      <c r="P149" s="3">
        <v>44075</v>
      </c>
      <c r="Q149" s="4">
        <v>190121</v>
      </c>
      <c r="R149">
        <v>550</v>
      </c>
      <c r="S149" t="str">
        <f>IF(Linked[[#This Row],[Credit Score]]&lt;=579,"Poor",IF(Linked[[#This Row],[Credit Score]]&lt;=669,"Fair",IF(Linked[[#This Row],[Credit Score]]&lt;=739,"Good",IF(Linked[[#This Row],[Credit Score]]&lt;=799,"Very Good",IF(Linked[[#This Row],[Credit Score]]&gt;=800,"Excellent")))))</f>
        <v>Poor</v>
      </c>
      <c r="T149" s="4">
        <v>0</v>
      </c>
      <c r="U149" s="2"/>
      <c r="V149" s="2"/>
    </row>
    <row r="150" spans="1:22" x14ac:dyDescent="0.25">
      <c r="A150" s="2" t="s">
        <v>118</v>
      </c>
      <c r="B150" s="2" t="s">
        <v>741</v>
      </c>
      <c r="C150" s="2" t="s">
        <v>1945</v>
      </c>
      <c r="D150" s="2" t="s">
        <v>1227</v>
      </c>
      <c r="E150">
        <v>22</v>
      </c>
      <c r="F150" s="2" t="s">
        <v>1242</v>
      </c>
      <c r="G150" s="2" t="s">
        <v>1249</v>
      </c>
      <c r="H150" s="2" t="s">
        <v>1235</v>
      </c>
      <c r="I150" s="1">
        <v>44640</v>
      </c>
      <c r="J150">
        <v>2022</v>
      </c>
      <c r="K150" s="2" t="s">
        <v>1946</v>
      </c>
      <c r="L150" s="4">
        <v>44826</v>
      </c>
      <c r="M150" s="2" t="s">
        <v>1250</v>
      </c>
      <c r="N150" s="2" t="s">
        <v>1224</v>
      </c>
      <c r="O150" s="2" t="s">
        <v>13</v>
      </c>
      <c r="P150" s="3">
        <v>45616</v>
      </c>
      <c r="Q150" s="4">
        <v>417247</v>
      </c>
      <c r="R150">
        <v>375</v>
      </c>
      <c r="S150" t="str">
        <f>IF(Linked[[#This Row],[Credit Score]]&lt;=579,"Poor",IF(Linked[[#This Row],[Credit Score]]&lt;=669,"Fair",IF(Linked[[#This Row],[Credit Score]]&lt;=739,"Good",IF(Linked[[#This Row],[Credit Score]]&lt;=799,"Very Good",IF(Linked[[#This Row],[Credit Score]]&gt;=800,"Excellent")))))</f>
        <v>Poor</v>
      </c>
      <c r="T150" s="4">
        <v>0</v>
      </c>
      <c r="U150" s="2" t="s">
        <v>59</v>
      </c>
      <c r="V150" s="2"/>
    </row>
    <row r="151" spans="1:22" x14ac:dyDescent="0.25">
      <c r="A151" s="2" t="s">
        <v>555</v>
      </c>
      <c r="B151" s="2" t="s">
        <v>554</v>
      </c>
      <c r="C151" s="2" t="s">
        <v>1365</v>
      </c>
      <c r="D151" s="2" t="s">
        <v>1219</v>
      </c>
      <c r="E151">
        <v>32</v>
      </c>
      <c r="F151" s="2" t="s">
        <v>1220</v>
      </c>
      <c r="G151" s="2" t="s">
        <v>1229</v>
      </c>
      <c r="H151" s="2" t="s">
        <v>1230</v>
      </c>
      <c r="I151" s="1">
        <v>44916</v>
      </c>
      <c r="J151">
        <v>2022</v>
      </c>
      <c r="K151" s="2" t="s">
        <v>1366</v>
      </c>
      <c r="L151" s="4">
        <v>168746</v>
      </c>
      <c r="M151" s="2" t="s">
        <v>1223</v>
      </c>
      <c r="N151" s="2" t="s">
        <v>1224</v>
      </c>
      <c r="O151" s="2" t="s">
        <v>10</v>
      </c>
      <c r="P151" s="3">
        <v>42740</v>
      </c>
      <c r="Q151" s="4">
        <v>383071</v>
      </c>
      <c r="R151">
        <v>427</v>
      </c>
      <c r="S151" t="str">
        <f>IF(Linked[[#This Row],[Credit Score]]&lt;=579,"Poor",IF(Linked[[#This Row],[Credit Score]]&lt;=669,"Fair",IF(Linked[[#This Row],[Credit Score]]&lt;=739,"Good",IF(Linked[[#This Row],[Credit Score]]&lt;=799,"Very Good",IF(Linked[[#This Row],[Credit Score]]&gt;=800,"Excellent")))))</f>
        <v>Poor</v>
      </c>
      <c r="T151" s="4">
        <v>0</v>
      </c>
      <c r="U151" s="2"/>
      <c r="V151" s="2"/>
    </row>
    <row r="152" spans="1:22" x14ac:dyDescent="0.25">
      <c r="A152" s="2" t="s">
        <v>120</v>
      </c>
      <c r="B152" s="2" t="s">
        <v>119</v>
      </c>
      <c r="C152" s="2" t="s">
        <v>2309</v>
      </c>
      <c r="D152" s="2" t="s">
        <v>1227</v>
      </c>
      <c r="E152">
        <v>63</v>
      </c>
      <c r="F152" s="2" t="s">
        <v>1263</v>
      </c>
      <c r="G152" s="2" t="s">
        <v>1249</v>
      </c>
      <c r="H152" s="2" t="s">
        <v>1244</v>
      </c>
      <c r="I152" s="1">
        <v>45488</v>
      </c>
      <c r="J152">
        <v>2024</v>
      </c>
      <c r="K152" s="2" t="s">
        <v>2310</v>
      </c>
      <c r="L152" s="4">
        <v>21969</v>
      </c>
      <c r="M152" s="2" t="s">
        <v>1250</v>
      </c>
      <c r="N152" s="2" t="s">
        <v>1231</v>
      </c>
      <c r="O152" s="2" t="s">
        <v>25</v>
      </c>
      <c r="P152" s="3">
        <v>44318</v>
      </c>
      <c r="Q152" s="4">
        <v>457666</v>
      </c>
      <c r="R152">
        <v>607</v>
      </c>
      <c r="S152" t="str">
        <f>IF(Linked[[#This Row],[Credit Score]]&lt;=579,"Poor",IF(Linked[[#This Row],[Credit Score]]&lt;=669,"Fair",IF(Linked[[#This Row],[Credit Score]]&lt;=739,"Good",IF(Linked[[#This Row],[Credit Score]]&lt;=799,"Very Good",IF(Linked[[#This Row],[Credit Score]]&gt;=800,"Excellent")))))</f>
        <v>Fair</v>
      </c>
      <c r="T152" s="4">
        <v>0</v>
      </c>
      <c r="U152" s="2"/>
      <c r="V152" s="2"/>
    </row>
    <row r="153" spans="1:22" x14ac:dyDescent="0.25">
      <c r="A153" s="2" t="s">
        <v>120</v>
      </c>
      <c r="B153" s="2" t="s">
        <v>514</v>
      </c>
      <c r="C153" s="2" t="s">
        <v>2309</v>
      </c>
      <c r="D153" s="2" t="s">
        <v>1227</v>
      </c>
      <c r="E153">
        <v>63</v>
      </c>
      <c r="F153" s="2" t="s">
        <v>1263</v>
      </c>
      <c r="G153" s="2" t="s">
        <v>1249</v>
      </c>
      <c r="H153" s="2" t="s">
        <v>1244</v>
      </c>
      <c r="I153" s="1">
        <v>45488</v>
      </c>
      <c r="J153">
        <v>2024</v>
      </c>
      <c r="K153" s="2" t="s">
        <v>2310</v>
      </c>
      <c r="L153" s="4">
        <v>21969</v>
      </c>
      <c r="M153" s="2" t="s">
        <v>1250</v>
      </c>
      <c r="N153" s="2" t="s">
        <v>1231</v>
      </c>
      <c r="O153" s="2" t="s">
        <v>13</v>
      </c>
      <c r="P153" s="3">
        <v>45689</v>
      </c>
      <c r="Q153" s="4">
        <v>2382</v>
      </c>
      <c r="R153">
        <v>548</v>
      </c>
      <c r="S153" t="str">
        <f>IF(Linked[[#This Row],[Credit Score]]&lt;=579,"Poor",IF(Linked[[#This Row],[Credit Score]]&lt;=669,"Fair",IF(Linked[[#This Row],[Credit Score]]&lt;=739,"Good",IF(Linked[[#This Row],[Credit Score]]&lt;=799,"Very Good",IF(Linked[[#This Row],[Credit Score]]&gt;=800,"Excellent")))))</f>
        <v>Poor</v>
      </c>
      <c r="T153" s="4">
        <v>0</v>
      </c>
      <c r="U153" s="2" t="s">
        <v>59</v>
      </c>
      <c r="V153" s="2"/>
    </row>
    <row r="154" spans="1:22" x14ac:dyDescent="0.25">
      <c r="A154" s="2" t="s">
        <v>120</v>
      </c>
      <c r="B154" s="2" t="s">
        <v>798</v>
      </c>
      <c r="C154" s="2" t="s">
        <v>2309</v>
      </c>
      <c r="D154" s="2" t="s">
        <v>1227</v>
      </c>
      <c r="E154">
        <v>63</v>
      </c>
      <c r="F154" s="2" t="s">
        <v>1263</v>
      </c>
      <c r="G154" s="2" t="s">
        <v>1249</v>
      </c>
      <c r="H154" s="2" t="s">
        <v>1244</v>
      </c>
      <c r="I154" s="1">
        <v>45488</v>
      </c>
      <c r="J154">
        <v>2024</v>
      </c>
      <c r="K154" s="2" t="s">
        <v>2310</v>
      </c>
      <c r="L154" s="4">
        <v>21969</v>
      </c>
      <c r="M154" s="2" t="s">
        <v>1250</v>
      </c>
      <c r="N154" s="2" t="s">
        <v>1231</v>
      </c>
      <c r="O154" s="2" t="s">
        <v>10</v>
      </c>
      <c r="P154" s="3">
        <v>43453</v>
      </c>
      <c r="Q154" s="4">
        <v>97537</v>
      </c>
      <c r="R154">
        <v>434</v>
      </c>
      <c r="S154" t="str">
        <f>IF(Linked[[#This Row],[Credit Score]]&lt;=579,"Poor",IF(Linked[[#This Row],[Credit Score]]&lt;=669,"Fair",IF(Linked[[#This Row],[Credit Score]]&lt;=739,"Good",IF(Linked[[#This Row],[Credit Score]]&lt;=799,"Very Good",IF(Linked[[#This Row],[Credit Score]]&gt;=800,"Excellent")))))</f>
        <v>Poor</v>
      </c>
      <c r="T154" s="4">
        <v>0</v>
      </c>
      <c r="U154" s="2"/>
      <c r="V154" s="2"/>
    </row>
    <row r="155" spans="1:22" x14ac:dyDescent="0.25">
      <c r="A155" s="2" t="s">
        <v>122</v>
      </c>
      <c r="B155" s="2" t="s">
        <v>121</v>
      </c>
      <c r="C155" s="2" t="s">
        <v>1378</v>
      </c>
      <c r="D155" s="2" t="s">
        <v>1219</v>
      </c>
      <c r="E155">
        <v>39</v>
      </c>
      <c r="F155" s="2" t="s">
        <v>1220</v>
      </c>
      <c r="G155" s="2" t="s">
        <v>1221</v>
      </c>
      <c r="H155" s="2" t="s">
        <v>1259</v>
      </c>
      <c r="I155" s="1">
        <v>44878</v>
      </c>
      <c r="J155">
        <v>2022</v>
      </c>
      <c r="K155" s="2" t="s">
        <v>1379</v>
      </c>
      <c r="L155" s="4">
        <v>123320</v>
      </c>
      <c r="M155" s="2" t="s">
        <v>1245</v>
      </c>
      <c r="N155" s="2" t="s">
        <v>1224</v>
      </c>
      <c r="O155" s="2" t="s">
        <v>10</v>
      </c>
      <c r="P155" s="3">
        <v>45750</v>
      </c>
      <c r="Q155" s="4">
        <v>166508</v>
      </c>
      <c r="R155">
        <v>644</v>
      </c>
      <c r="S155" t="str">
        <f>IF(Linked[[#This Row],[Credit Score]]&lt;=579,"Poor",IF(Linked[[#This Row],[Credit Score]]&lt;=669,"Fair",IF(Linked[[#This Row],[Credit Score]]&lt;=739,"Good",IF(Linked[[#This Row],[Credit Score]]&lt;=799,"Very Good",IF(Linked[[#This Row],[Credit Score]]&gt;=800,"Excellent")))))</f>
        <v>Fair</v>
      </c>
      <c r="T155" s="4">
        <v>222508</v>
      </c>
      <c r="U155" s="2"/>
      <c r="V155" s="2"/>
    </row>
    <row r="156" spans="1:22" x14ac:dyDescent="0.25">
      <c r="A156" s="2" t="s">
        <v>122</v>
      </c>
      <c r="B156" s="2" t="s">
        <v>375</v>
      </c>
      <c r="C156" s="2" t="s">
        <v>1378</v>
      </c>
      <c r="D156" s="2" t="s">
        <v>1219</v>
      </c>
      <c r="E156">
        <v>39</v>
      </c>
      <c r="F156" s="2" t="s">
        <v>1220</v>
      </c>
      <c r="G156" s="2" t="s">
        <v>1221</v>
      </c>
      <c r="H156" s="2" t="s">
        <v>1259</v>
      </c>
      <c r="I156" s="1">
        <v>44878</v>
      </c>
      <c r="J156">
        <v>2022</v>
      </c>
      <c r="K156" s="2" t="s">
        <v>1379</v>
      </c>
      <c r="L156" s="4">
        <v>123320</v>
      </c>
      <c r="M156" s="2" t="s">
        <v>1245</v>
      </c>
      <c r="N156" s="2" t="s">
        <v>1224</v>
      </c>
      <c r="O156" s="2" t="s">
        <v>10</v>
      </c>
      <c r="P156" s="3">
        <v>44544</v>
      </c>
      <c r="Q156" s="4">
        <v>323654</v>
      </c>
      <c r="R156">
        <v>545</v>
      </c>
      <c r="S156" t="str">
        <f>IF(Linked[[#This Row],[Credit Score]]&lt;=579,"Poor",IF(Linked[[#This Row],[Credit Score]]&lt;=669,"Fair",IF(Linked[[#This Row],[Credit Score]]&lt;=739,"Good",IF(Linked[[#This Row],[Credit Score]]&lt;=799,"Very Good",IF(Linked[[#This Row],[Credit Score]]&gt;=800,"Excellent")))))</f>
        <v>Poor</v>
      </c>
      <c r="T156" s="4">
        <v>0</v>
      </c>
      <c r="U156" s="2"/>
      <c r="V156" s="2"/>
    </row>
    <row r="157" spans="1:22" x14ac:dyDescent="0.25">
      <c r="A157" s="2" t="s">
        <v>122</v>
      </c>
      <c r="B157" s="2" t="s">
        <v>376</v>
      </c>
      <c r="C157" s="2" t="s">
        <v>1378</v>
      </c>
      <c r="D157" s="2" t="s">
        <v>1219</v>
      </c>
      <c r="E157">
        <v>39</v>
      </c>
      <c r="F157" s="2" t="s">
        <v>1220</v>
      </c>
      <c r="G157" s="2" t="s">
        <v>1221</v>
      </c>
      <c r="H157" s="2" t="s">
        <v>1259</v>
      </c>
      <c r="I157" s="1">
        <v>44878</v>
      </c>
      <c r="J157">
        <v>2022</v>
      </c>
      <c r="K157" s="2" t="s">
        <v>1379</v>
      </c>
      <c r="L157" s="4">
        <v>123320</v>
      </c>
      <c r="M157" s="2" t="s">
        <v>1245</v>
      </c>
      <c r="N157" s="2" t="s">
        <v>1224</v>
      </c>
      <c r="O157" s="2" t="s">
        <v>13</v>
      </c>
      <c r="P157" s="3">
        <v>43513</v>
      </c>
      <c r="Q157" s="4">
        <v>120076</v>
      </c>
      <c r="R157">
        <v>677</v>
      </c>
      <c r="S157" t="str">
        <f>IF(Linked[[#This Row],[Credit Score]]&lt;=579,"Poor",IF(Linked[[#This Row],[Credit Score]]&lt;=669,"Fair",IF(Linked[[#This Row],[Credit Score]]&lt;=739,"Good",IF(Linked[[#This Row],[Credit Score]]&lt;=799,"Very Good",IF(Linked[[#This Row],[Credit Score]]&gt;=800,"Excellent")))))</f>
        <v>Good</v>
      </c>
      <c r="T157" s="4">
        <v>0</v>
      </c>
      <c r="U157" s="2"/>
      <c r="V157" s="2"/>
    </row>
    <row r="158" spans="1:22" x14ac:dyDescent="0.25">
      <c r="A158" s="2" t="s">
        <v>217</v>
      </c>
      <c r="B158" s="2" t="s">
        <v>216</v>
      </c>
      <c r="C158" s="2" t="s">
        <v>1370</v>
      </c>
      <c r="D158" s="2" t="s">
        <v>1227</v>
      </c>
      <c r="E158">
        <v>51</v>
      </c>
      <c r="F158" s="2" t="s">
        <v>1228</v>
      </c>
      <c r="G158" s="2" t="s">
        <v>1229</v>
      </c>
      <c r="H158" s="2" t="s">
        <v>1239</v>
      </c>
      <c r="I158" s="1">
        <v>43671</v>
      </c>
      <c r="J158">
        <v>2019</v>
      </c>
      <c r="K158" s="2" t="s">
        <v>1371</v>
      </c>
      <c r="L158" s="4">
        <v>174946</v>
      </c>
      <c r="M158" s="2" t="s">
        <v>1223</v>
      </c>
      <c r="N158" s="2" t="s">
        <v>1231</v>
      </c>
      <c r="O158" s="2" t="s">
        <v>25</v>
      </c>
      <c r="P158" s="3">
        <v>45194</v>
      </c>
      <c r="Q158" s="4">
        <v>235595</v>
      </c>
      <c r="R158">
        <v>536</v>
      </c>
      <c r="S158" t="str">
        <f>IF(Linked[[#This Row],[Credit Score]]&lt;=579,"Poor",IF(Linked[[#This Row],[Credit Score]]&lt;=669,"Fair",IF(Linked[[#This Row],[Credit Score]]&lt;=739,"Good",IF(Linked[[#This Row],[Credit Score]]&lt;=799,"Very Good",IF(Linked[[#This Row],[Credit Score]]&gt;=800,"Excellent")))))</f>
        <v>Poor</v>
      </c>
      <c r="T158" s="4">
        <v>0</v>
      </c>
      <c r="U158" s="2" t="s">
        <v>18</v>
      </c>
      <c r="V158" s="2"/>
    </row>
    <row r="159" spans="1:22" x14ac:dyDescent="0.25">
      <c r="A159" s="2" t="s">
        <v>217</v>
      </c>
      <c r="B159" s="2" t="s">
        <v>415</v>
      </c>
      <c r="C159" s="2" t="s">
        <v>1370</v>
      </c>
      <c r="D159" s="2" t="s">
        <v>1227</v>
      </c>
      <c r="E159">
        <v>51</v>
      </c>
      <c r="F159" s="2" t="s">
        <v>1228</v>
      </c>
      <c r="G159" s="2" t="s">
        <v>1229</v>
      </c>
      <c r="H159" s="2" t="s">
        <v>1239</v>
      </c>
      <c r="I159" s="1">
        <v>43671</v>
      </c>
      <c r="J159">
        <v>2019</v>
      </c>
      <c r="K159" s="2" t="s">
        <v>1371</v>
      </c>
      <c r="L159" s="4">
        <v>174946</v>
      </c>
      <c r="M159" s="2" t="s">
        <v>1223</v>
      </c>
      <c r="N159" s="2" t="s">
        <v>1231</v>
      </c>
      <c r="O159" s="2" t="s">
        <v>13</v>
      </c>
      <c r="P159" s="3">
        <v>45618</v>
      </c>
      <c r="Q159" s="4">
        <v>141727</v>
      </c>
      <c r="R159">
        <v>479</v>
      </c>
      <c r="S159" t="str">
        <f>IF(Linked[[#This Row],[Credit Score]]&lt;=579,"Poor",IF(Linked[[#This Row],[Credit Score]]&lt;=669,"Fair",IF(Linked[[#This Row],[Credit Score]]&lt;=739,"Good",IF(Linked[[#This Row],[Credit Score]]&lt;=799,"Very Good",IF(Linked[[#This Row],[Credit Score]]&gt;=800,"Excellent")))))</f>
        <v>Poor</v>
      </c>
      <c r="T159" s="4">
        <v>0</v>
      </c>
      <c r="U159" s="2"/>
      <c r="V159" s="2"/>
    </row>
    <row r="160" spans="1:22" x14ac:dyDescent="0.25">
      <c r="A160" s="2" t="s">
        <v>124</v>
      </c>
      <c r="B160" s="2" t="s">
        <v>123</v>
      </c>
      <c r="C160" s="2" t="s">
        <v>1540</v>
      </c>
      <c r="D160" s="2" t="s">
        <v>1219</v>
      </c>
      <c r="E160">
        <v>31</v>
      </c>
      <c r="F160" s="2" t="s">
        <v>1220</v>
      </c>
      <c r="G160" s="2" t="s">
        <v>1249</v>
      </c>
      <c r="H160" s="2" t="s">
        <v>1259</v>
      </c>
      <c r="I160" s="1">
        <v>42817</v>
      </c>
      <c r="J160">
        <v>2017</v>
      </c>
      <c r="K160" s="2" t="s">
        <v>1541</v>
      </c>
      <c r="L160" s="4">
        <v>183038</v>
      </c>
      <c r="M160" s="2" t="s">
        <v>1223</v>
      </c>
      <c r="N160" s="2" t="s">
        <v>1224</v>
      </c>
      <c r="O160" s="2" t="s">
        <v>25</v>
      </c>
      <c r="P160" s="3">
        <v>43942</v>
      </c>
      <c r="Q160" s="4">
        <v>309550</v>
      </c>
      <c r="R160">
        <v>426</v>
      </c>
      <c r="S160" t="str">
        <f>IF(Linked[[#This Row],[Credit Score]]&lt;=579,"Poor",IF(Linked[[#This Row],[Credit Score]]&lt;=669,"Fair",IF(Linked[[#This Row],[Credit Score]]&lt;=739,"Good",IF(Linked[[#This Row],[Credit Score]]&lt;=799,"Very Good",IF(Linked[[#This Row],[Credit Score]]&gt;=800,"Excellent")))))</f>
        <v>Poor</v>
      </c>
      <c r="T160" s="4">
        <v>0</v>
      </c>
      <c r="U160" s="2" t="s">
        <v>18</v>
      </c>
      <c r="V160" s="2"/>
    </row>
    <row r="161" spans="1:22" x14ac:dyDescent="0.25">
      <c r="A161" s="2" t="s">
        <v>124</v>
      </c>
      <c r="B161" s="2" t="s">
        <v>444</v>
      </c>
      <c r="C161" s="2" t="s">
        <v>1540</v>
      </c>
      <c r="D161" s="2" t="s">
        <v>1219</v>
      </c>
      <c r="E161">
        <v>31</v>
      </c>
      <c r="F161" s="2" t="s">
        <v>1220</v>
      </c>
      <c r="G161" s="2" t="s">
        <v>1249</v>
      </c>
      <c r="H161" s="2" t="s">
        <v>1259</v>
      </c>
      <c r="I161" s="1">
        <v>42817</v>
      </c>
      <c r="J161">
        <v>2017</v>
      </c>
      <c r="K161" s="2" t="s">
        <v>1541</v>
      </c>
      <c r="L161" s="4">
        <v>183038</v>
      </c>
      <c r="M161" s="2" t="s">
        <v>1223</v>
      </c>
      <c r="N161" s="2" t="s">
        <v>1224</v>
      </c>
      <c r="O161" s="2" t="s">
        <v>13</v>
      </c>
      <c r="P161" s="3">
        <v>43218</v>
      </c>
      <c r="Q161" s="4">
        <v>288107</v>
      </c>
      <c r="R161">
        <v>744</v>
      </c>
      <c r="S161" t="str">
        <f>IF(Linked[[#This Row],[Credit Score]]&lt;=579,"Poor",IF(Linked[[#This Row],[Credit Score]]&lt;=669,"Fair",IF(Linked[[#This Row],[Credit Score]]&lt;=739,"Good",IF(Linked[[#This Row],[Credit Score]]&lt;=799,"Very Good",IF(Linked[[#This Row],[Credit Score]]&gt;=800,"Excellent")))))</f>
        <v>Very Good</v>
      </c>
      <c r="T161" s="4">
        <v>0</v>
      </c>
      <c r="U161" s="2"/>
      <c r="V161" s="2"/>
    </row>
    <row r="162" spans="1:22" x14ac:dyDescent="0.25">
      <c r="A162" s="2" t="s">
        <v>491</v>
      </c>
      <c r="B162" s="2" t="s">
        <v>490</v>
      </c>
      <c r="C162" s="2" t="s">
        <v>1372</v>
      </c>
      <c r="D162" s="2" t="s">
        <v>1219</v>
      </c>
      <c r="E162">
        <v>19</v>
      </c>
      <c r="F162" s="2" t="s">
        <v>1242</v>
      </c>
      <c r="G162" s="2" t="s">
        <v>1229</v>
      </c>
      <c r="H162" s="2" t="s">
        <v>1235</v>
      </c>
      <c r="I162" s="1">
        <v>43622</v>
      </c>
      <c r="J162">
        <v>2019</v>
      </c>
      <c r="K162" s="2" t="s">
        <v>1373</v>
      </c>
      <c r="L162" s="4">
        <v>63642</v>
      </c>
      <c r="M162" s="2" t="s">
        <v>1250</v>
      </c>
      <c r="N162" s="2" t="s">
        <v>1231</v>
      </c>
      <c r="O162" s="2" t="s">
        <v>13</v>
      </c>
      <c r="P162" s="3">
        <v>45124</v>
      </c>
      <c r="Q162" s="4">
        <v>55480</v>
      </c>
      <c r="R162">
        <v>568</v>
      </c>
      <c r="S162" t="str">
        <f>IF(Linked[[#This Row],[Credit Score]]&lt;=579,"Poor",IF(Linked[[#This Row],[Credit Score]]&lt;=669,"Fair",IF(Linked[[#This Row],[Credit Score]]&lt;=739,"Good",IF(Linked[[#This Row],[Credit Score]]&lt;=799,"Very Good",IF(Linked[[#This Row],[Credit Score]]&gt;=800,"Excellent")))))</f>
        <v>Poor</v>
      </c>
      <c r="T162" s="4">
        <v>0</v>
      </c>
      <c r="U162" s="2" t="s">
        <v>59</v>
      </c>
      <c r="V162" s="2"/>
    </row>
    <row r="163" spans="1:22" x14ac:dyDescent="0.25">
      <c r="A163" s="2" t="s">
        <v>443</v>
      </c>
      <c r="B163" s="2" t="s">
        <v>442</v>
      </c>
      <c r="C163" s="2" t="s">
        <v>1374</v>
      </c>
      <c r="D163" s="2" t="s">
        <v>1219</v>
      </c>
      <c r="E163">
        <v>49</v>
      </c>
      <c r="F163" s="2" t="s">
        <v>1228</v>
      </c>
      <c r="G163" s="2" t="s">
        <v>1249</v>
      </c>
      <c r="H163" s="2" t="s">
        <v>1253</v>
      </c>
      <c r="I163" s="1">
        <v>45360</v>
      </c>
      <c r="J163">
        <v>2024</v>
      </c>
      <c r="K163" s="2" t="s">
        <v>1375</v>
      </c>
      <c r="L163" s="4">
        <v>85160</v>
      </c>
      <c r="M163" s="2" t="s">
        <v>1245</v>
      </c>
      <c r="N163" s="2" t="s">
        <v>1231</v>
      </c>
      <c r="O163" s="2" t="s">
        <v>10</v>
      </c>
      <c r="P163" s="3">
        <v>43320</v>
      </c>
      <c r="Q163" s="4">
        <v>469490</v>
      </c>
      <c r="R163">
        <v>407</v>
      </c>
      <c r="S163" t="str">
        <f>IF(Linked[[#This Row],[Credit Score]]&lt;=579,"Poor",IF(Linked[[#This Row],[Credit Score]]&lt;=669,"Fair",IF(Linked[[#This Row],[Credit Score]]&lt;=739,"Good",IF(Linked[[#This Row],[Credit Score]]&lt;=799,"Very Good",IF(Linked[[#This Row],[Credit Score]]&gt;=800,"Excellent")))))</f>
        <v>Poor</v>
      </c>
      <c r="T163" s="4">
        <v>69926</v>
      </c>
      <c r="U163" s="2" t="s">
        <v>18</v>
      </c>
      <c r="V163" s="2"/>
    </row>
    <row r="164" spans="1:22" x14ac:dyDescent="0.25">
      <c r="A164" s="2" t="s">
        <v>443</v>
      </c>
      <c r="B164" s="2" t="s">
        <v>641</v>
      </c>
      <c r="C164" s="2" t="s">
        <v>1374</v>
      </c>
      <c r="D164" s="2" t="s">
        <v>1219</v>
      </c>
      <c r="E164">
        <v>49</v>
      </c>
      <c r="F164" s="2" t="s">
        <v>1228</v>
      </c>
      <c r="G164" s="2" t="s">
        <v>1249</v>
      </c>
      <c r="H164" s="2" t="s">
        <v>1253</v>
      </c>
      <c r="I164" s="1">
        <v>45360</v>
      </c>
      <c r="J164">
        <v>2024</v>
      </c>
      <c r="K164" s="2" t="s">
        <v>1375</v>
      </c>
      <c r="L164" s="4">
        <v>85160</v>
      </c>
      <c r="M164" s="2" t="s">
        <v>1245</v>
      </c>
      <c r="N164" s="2" t="s">
        <v>1231</v>
      </c>
      <c r="O164" s="2" t="s">
        <v>25</v>
      </c>
      <c r="P164" s="3">
        <v>45576</v>
      </c>
      <c r="Q164" s="4">
        <v>288213</v>
      </c>
      <c r="R164">
        <v>569</v>
      </c>
      <c r="S164" t="str">
        <f>IF(Linked[[#This Row],[Credit Score]]&lt;=579,"Poor",IF(Linked[[#This Row],[Credit Score]]&lt;=669,"Fair",IF(Linked[[#This Row],[Credit Score]]&lt;=739,"Good",IF(Linked[[#This Row],[Credit Score]]&lt;=799,"Very Good",IF(Linked[[#This Row],[Credit Score]]&gt;=800,"Excellent")))))</f>
        <v>Poor</v>
      </c>
      <c r="T164" s="4">
        <v>0</v>
      </c>
      <c r="U164" s="2"/>
      <c r="V164" s="2"/>
    </row>
    <row r="165" spans="1:22" x14ac:dyDescent="0.25">
      <c r="A165" s="2" t="s">
        <v>128</v>
      </c>
      <c r="B165" s="2" t="s">
        <v>127</v>
      </c>
      <c r="C165" s="2" t="s">
        <v>1805</v>
      </c>
      <c r="D165" s="2" t="s">
        <v>1227</v>
      </c>
      <c r="E165">
        <v>47</v>
      </c>
      <c r="F165" s="2" t="s">
        <v>1228</v>
      </c>
      <c r="G165" s="2" t="s">
        <v>1249</v>
      </c>
      <c r="H165" s="2" t="s">
        <v>1244</v>
      </c>
      <c r="I165" s="1">
        <v>44115</v>
      </c>
      <c r="J165">
        <v>2020</v>
      </c>
      <c r="K165" s="2" t="s">
        <v>1806</v>
      </c>
      <c r="L165" s="4">
        <v>180831</v>
      </c>
      <c r="M165" s="2" t="s">
        <v>1223</v>
      </c>
      <c r="N165" s="2" t="s">
        <v>1224</v>
      </c>
      <c r="O165" s="2" t="s">
        <v>10</v>
      </c>
      <c r="P165" s="3">
        <v>44768</v>
      </c>
      <c r="Q165" s="4">
        <v>147026</v>
      </c>
      <c r="R165">
        <v>786</v>
      </c>
      <c r="S165" t="str">
        <f>IF(Linked[[#This Row],[Credit Score]]&lt;=579,"Poor",IF(Linked[[#This Row],[Credit Score]]&lt;=669,"Fair",IF(Linked[[#This Row],[Credit Score]]&lt;=739,"Good",IF(Linked[[#This Row],[Credit Score]]&lt;=799,"Very Good",IF(Linked[[#This Row],[Credit Score]]&gt;=800,"Excellent")))))</f>
        <v>Very Good</v>
      </c>
      <c r="T165" s="4">
        <v>0</v>
      </c>
      <c r="U165" s="2"/>
      <c r="V165" s="2"/>
    </row>
    <row r="166" spans="1:22" x14ac:dyDescent="0.25">
      <c r="A166" s="2" t="s">
        <v>128</v>
      </c>
      <c r="B166" s="2" t="s">
        <v>579</v>
      </c>
      <c r="C166" s="2" t="s">
        <v>1805</v>
      </c>
      <c r="D166" s="2" t="s">
        <v>1227</v>
      </c>
      <c r="E166">
        <v>47</v>
      </c>
      <c r="F166" s="2" t="s">
        <v>1228</v>
      </c>
      <c r="G166" s="2" t="s">
        <v>1249</v>
      </c>
      <c r="H166" s="2" t="s">
        <v>1244</v>
      </c>
      <c r="I166" s="1">
        <v>44115</v>
      </c>
      <c r="J166">
        <v>2020</v>
      </c>
      <c r="K166" s="2" t="s">
        <v>1806</v>
      </c>
      <c r="L166" s="4">
        <v>180831</v>
      </c>
      <c r="M166" s="2" t="s">
        <v>1223</v>
      </c>
      <c r="N166" s="2" t="s">
        <v>1224</v>
      </c>
      <c r="O166" s="2" t="s">
        <v>10</v>
      </c>
      <c r="P166" s="3">
        <v>42406</v>
      </c>
      <c r="Q166" s="4">
        <v>354211</v>
      </c>
      <c r="R166">
        <v>402</v>
      </c>
      <c r="S166" t="str">
        <f>IF(Linked[[#This Row],[Credit Score]]&lt;=579,"Poor",IF(Linked[[#This Row],[Credit Score]]&lt;=669,"Fair",IF(Linked[[#This Row],[Credit Score]]&lt;=739,"Good",IF(Linked[[#This Row],[Credit Score]]&lt;=799,"Very Good",IF(Linked[[#This Row],[Credit Score]]&gt;=800,"Excellent")))))</f>
        <v>Poor</v>
      </c>
      <c r="T166" s="4">
        <v>0</v>
      </c>
      <c r="U166" s="2"/>
      <c r="V166" s="2"/>
    </row>
    <row r="167" spans="1:22" x14ac:dyDescent="0.25">
      <c r="A167" s="2" t="s">
        <v>681</v>
      </c>
      <c r="B167" s="2" t="s">
        <v>680</v>
      </c>
      <c r="C167" s="2" t="s">
        <v>1376</v>
      </c>
      <c r="D167" s="2" t="s">
        <v>1219</v>
      </c>
      <c r="E167">
        <v>40</v>
      </c>
      <c r="F167" s="2" t="s">
        <v>1220</v>
      </c>
      <c r="G167" s="2" t="s">
        <v>1243</v>
      </c>
      <c r="H167" s="2" t="s">
        <v>1222</v>
      </c>
      <c r="I167" s="1">
        <v>43415</v>
      </c>
      <c r="J167">
        <v>2018</v>
      </c>
      <c r="K167" s="2" t="s">
        <v>1377</v>
      </c>
      <c r="L167" s="4">
        <v>37602</v>
      </c>
      <c r="M167" s="2" t="s">
        <v>1250</v>
      </c>
      <c r="N167" s="2" t="s">
        <v>1224</v>
      </c>
      <c r="O167" s="2" t="s">
        <v>13</v>
      </c>
      <c r="P167" s="3">
        <v>45508</v>
      </c>
      <c r="Q167" s="4">
        <v>283983</v>
      </c>
      <c r="R167">
        <v>654</v>
      </c>
      <c r="S167" t="str">
        <f>IF(Linked[[#This Row],[Credit Score]]&lt;=579,"Poor",IF(Linked[[#This Row],[Credit Score]]&lt;=669,"Fair",IF(Linked[[#This Row],[Credit Score]]&lt;=739,"Good",IF(Linked[[#This Row],[Credit Score]]&lt;=799,"Very Good",IF(Linked[[#This Row],[Credit Score]]&gt;=800,"Excellent")))))</f>
        <v>Fair</v>
      </c>
      <c r="T167" s="4">
        <v>0</v>
      </c>
      <c r="U167" s="2"/>
      <c r="V167" s="2"/>
    </row>
    <row r="168" spans="1:22" x14ac:dyDescent="0.25">
      <c r="A168" s="2" t="s">
        <v>130</v>
      </c>
      <c r="B168" s="2" t="s">
        <v>129</v>
      </c>
      <c r="C168" s="2" t="s">
        <v>2226</v>
      </c>
      <c r="D168" s="2" t="s">
        <v>1227</v>
      </c>
      <c r="E168">
        <v>49</v>
      </c>
      <c r="F168" s="2" t="s">
        <v>1228</v>
      </c>
      <c r="G168" s="2" t="s">
        <v>1221</v>
      </c>
      <c r="H168" s="2" t="s">
        <v>1244</v>
      </c>
      <c r="I168" s="1">
        <v>43401</v>
      </c>
      <c r="J168">
        <v>2018</v>
      </c>
      <c r="K168" s="2" t="s">
        <v>2227</v>
      </c>
      <c r="L168" s="4">
        <v>151691</v>
      </c>
      <c r="M168" s="2" t="s">
        <v>1223</v>
      </c>
      <c r="N168" s="2" t="s">
        <v>1224</v>
      </c>
      <c r="O168" s="2" t="s">
        <v>13</v>
      </c>
      <c r="P168" s="3">
        <v>43375</v>
      </c>
      <c r="Q168" s="4">
        <v>344866</v>
      </c>
      <c r="R168">
        <v>682</v>
      </c>
      <c r="S168" t="str">
        <f>IF(Linked[[#This Row],[Credit Score]]&lt;=579,"Poor",IF(Linked[[#This Row],[Credit Score]]&lt;=669,"Fair",IF(Linked[[#This Row],[Credit Score]]&lt;=739,"Good",IF(Linked[[#This Row],[Credit Score]]&lt;=799,"Very Good",IF(Linked[[#This Row],[Credit Score]]&gt;=800,"Excellent")))))</f>
        <v>Good</v>
      </c>
      <c r="T168" s="4">
        <v>0</v>
      </c>
      <c r="U168" s="2"/>
      <c r="V168" s="2"/>
    </row>
    <row r="169" spans="1:22" x14ac:dyDescent="0.25">
      <c r="A169" s="2" t="s">
        <v>132</v>
      </c>
      <c r="B169" s="2" t="s">
        <v>131</v>
      </c>
      <c r="C169" s="2" t="s">
        <v>1475</v>
      </c>
      <c r="D169" s="2" t="s">
        <v>1227</v>
      </c>
      <c r="E169">
        <v>40</v>
      </c>
      <c r="F169" s="2" t="s">
        <v>1220</v>
      </c>
      <c r="G169" s="2" t="s">
        <v>1243</v>
      </c>
      <c r="H169" s="2" t="s">
        <v>1253</v>
      </c>
      <c r="I169" s="1">
        <v>45720</v>
      </c>
      <c r="J169">
        <v>2025</v>
      </c>
      <c r="K169" s="2" t="s">
        <v>1476</v>
      </c>
      <c r="L169" s="4">
        <v>117624</v>
      </c>
      <c r="M169" s="2" t="s">
        <v>1245</v>
      </c>
      <c r="N169" s="2" t="s">
        <v>1236</v>
      </c>
      <c r="O169" s="2" t="s">
        <v>13</v>
      </c>
      <c r="P169" s="3">
        <v>44407</v>
      </c>
      <c r="Q169" s="4">
        <v>250819</v>
      </c>
      <c r="R169">
        <v>705</v>
      </c>
      <c r="S169" t="str">
        <f>IF(Linked[[#This Row],[Credit Score]]&lt;=579,"Poor",IF(Linked[[#This Row],[Credit Score]]&lt;=669,"Fair",IF(Linked[[#This Row],[Credit Score]]&lt;=739,"Good",IF(Linked[[#This Row],[Credit Score]]&lt;=799,"Very Good",IF(Linked[[#This Row],[Credit Score]]&gt;=800,"Excellent")))))</f>
        <v>Good</v>
      </c>
      <c r="T169" s="4">
        <v>0</v>
      </c>
      <c r="U169" s="2"/>
      <c r="V169" s="2"/>
    </row>
    <row r="170" spans="1:22" x14ac:dyDescent="0.25">
      <c r="A170" s="2" t="s">
        <v>132</v>
      </c>
      <c r="B170" s="2" t="s">
        <v>274</v>
      </c>
      <c r="C170" s="2" t="s">
        <v>1475</v>
      </c>
      <c r="D170" s="2" t="s">
        <v>1227</v>
      </c>
      <c r="E170">
        <v>40</v>
      </c>
      <c r="F170" s="2" t="s">
        <v>1220</v>
      </c>
      <c r="G170" s="2" t="s">
        <v>1243</v>
      </c>
      <c r="H170" s="2" t="s">
        <v>1253</v>
      </c>
      <c r="I170" s="1">
        <v>45720</v>
      </c>
      <c r="J170">
        <v>2025</v>
      </c>
      <c r="K170" s="2" t="s">
        <v>1476</v>
      </c>
      <c r="L170" s="4">
        <v>117624</v>
      </c>
      <c r="M170" s="2" t="s">
        <v>1245</v>
      </c>
      <c r="N170" s="2" t="s">
        <v>1236</v>
      </c>
      <c r="O170" s="2" t="s">
        <v>10</v>
      </c>
      <c r="P170" s="3">
        <v>43224</v>
      </c>
      <c r="Q170" s="4">
        <v>424170</v>
      </c>
      <c r="R170">
        <v>849</v>
      </c>
      <c r="S170" t="str">
        <f>IF(Linked[[#This Row],[Credit Score]]&lt;=579,"Poor",IF(Linked[[#This Row],[Credit Score]]&lt;=669,"Fair",IF(Linked[[#This Row],[Credit Score]]&lt;=739,"Good",IF(Linked[[#This Row],[Credit Score]]&lt;=799,"Very Good",IF(Linked[[#This Row],[Credit Score]]&gt;=800,"Excellent")))))</f>
        <v>Excellent</v>
      </c>
      <c r="T170" s="4">
        <v>0</v>
      </c>
      <c r="U170" s="2"/>
      <c r="V170" s="2"/>
    </row>
    <row r="171" spans="1:22" x14ac:dyDescent="0.25">
      <c r="A171" s="2" t="s">
        <v>132</v>
      </c>
      <c r="B171" s="2" t="s">
        <v>600</v>
      </c>
      <c r="C171" s="2" t="s">
        <v>1475</v>
      </c>
      <c r="D171" s="2" t="s">
        <v>1227</v>
      </c>
      <c r="E171">
        <v>40</v>
      </c>
      <c r="F171" s="2" t="s">
        <v>1220</v>
      </c>
      <c r="G171" s="2" t="s">
        <v>1243</v>
      </c>
      <c r="H171" s="2" t="s">
        <v>1253</v>
      </c>
      <c r="I171" s="1">
        <v>45720</v>
      </c>
      <c r="J171">
        <v>2025</v>
      </c>
      <c r="K171" s="2" t="s">
        <v>1476</v>
      </c>
      <c r="L171" s="4">
        <v>117624</v>
      </c>
      <c r="M171" s="2" t="s">
        <v>1245</v>
      </c>
      <c r="N171" s="2" t="s">
        <v>1236</v>
      </c>
      <c r="O171" s="2" t="s">
        <v>25</v>
      </c>
      <c r="P171" s="3">
        <v>45530</v>
      </c>
      <c r="Q171" s="4">
        <v>437602</v>
      </c>
      <c r="R171">
        <v>392</v>
      </c>
      <c r="S171" t="str">
        <f>IF(Linked[[#This Row],[Credit Score]]&lt;=579,"Poor",IF(Linked[[#This Row],[Credit Score]]&lt;=669,"Fair",IF(Linked[[#This Row],[Credit Score]]&lt;=739,"Good",IF(Linked[[#This Row],[Credit Score]]&lt;=799,"Very Good",IF(Linked[[#This Row],[Credit Score]]&gt;=800,"Excellent")))))</f>
        <v>Poor</v>
      </c>
      <c r="T171" s="4">
        <v>0</v>
      </c>
      <c r="U171" s="2"/>
      <c r="V171" s="2"/>
    </row>
    <row r="172" spans="1:22" x14ac:dyDescent="0.25">
      <c r="A172" s="2" t="s">
        <v>624</v>
      </c>
      <c r="B172" s="2" t="s">
        <v>623</v>
      </c>
      <c r="C172" s="2" t="s">
        <v>1382</v>
      </c>
      <c r="D172" s="2" t="s">
        <v>1219</v>
      </c>
      <c r="E172">
        <v>42</v>
      </c>
      <c r="F172" s="2" t="s">
        <v>1220</v>
      </c>
      <c r="G172" s="2" t="s">
        <v>1221</v>
      </c>
      <c r="H172" s="2" t="s">
        <v>1253</v>
      </c>
      <c r="I172" s="1">
        <v>45042</v>
      </c>
      <c r="J172">
        <v>2023</v>
      </c>
      <c r="K172" s="2" t="s">
        <v>1383</v>
      </c>
      <c r="L172" s="4">
        <v>45931</v>
      </c>
      <c r="M172" s="2" t="s">
        <v>1250</v>
      </c>
      <c r="N172" s="2" t="s">
        <v>1224</v>
      </c>
      <c r="O172" s="2" t="s">
        <v>13</v>
      </c>
      <c r="P172" s="3">
        <v>44462</v>
      </c>
      <c r="Q172" s="4">
        <v>224655</v>
      </c>
      <c r="R172">
        <v>715</v>
      </c>
      <c r="S172" t="str">
        <f>IF(Linked[[#This Row],[Credit Score]]&lt;=579,"Poor",IF(Linked[[#This Row],[Credit Score]]&lt;=669,"Fair",IF(Linked[[#This Row],[Credit Score]]&lt;=739,"Good",IF(Linked[[#This Row],[Credit Score]]&lt;=799,"Very Good",IF(Linked[[#This Row],[Credit Score]]&gt;=800,"Excellent")))))</f>
        <v>Good</v>
      </c>
      <c r="T172" s="4">
        <v>0</v>
      </c>
      <c r="U172" s="2"/>
      <c r="V172" s="2"/>
    </row>
    <row r="173" spans="1:22" x14ac:dyDescent="0.25">
      <c r="A173" s="2" t="s">
        <v>136</v>
      </c>
      <c r="B173" s="2" t="s">
        <v>135</v>
      </c>
      <c r="C173" s="2" t="s">
        <v>1794</v>
      </c>
      <c r="D173" s="2" t="s">
        <v>1219</v>
      </c>
      <c r="E173">
        <v>30</v>
      </c>
      <c r="F173" s="2" t="s">
        <v>1220</v>
      </c>
      <c r="G173" s="2" t="s">
        <v>1229</v>
      </c>
      <c r="H173" s="2" t="s">
        <v>1239</v>
      </c>
      <c r="I173" s="1">
        <v>42930</v>
      </c>
      <c r="J173">
        <v>2017</v>
      </c>
      <c r="K173" s="2" t="s">
        <v>1795</v>
      </c>
      <c r="L173" s="4">
        <v>149749</v>
      </c>
      <c r="M173" s="2" t="s">
        <v>1223</v>
      </c>
      <c r="N173" s="2" t="s">
        <v>1224</v>
      </c>
      <c r="O173" s="2" t="s">
        <v>32</v>
      </c>
      <c r="P173" s="3">
        <v>42707</v>
      </c>
      <c r="Q173" s="4">
        <v>491715</v>
      </c>
      <c r="R173">
        <v>575</v>
      </c>
      <c r="S173" t="str">
        <f>IF(Linked[[#This Row],[Credit Score]]&lt;=579,"Poor",IF(Linked[[#This Row],[Credit Score]]&lt;=669,"Fair",IF(Linked[[#This Row],[Credit Score]]&lt;=739,"Good",IF(Linked[[#This Row],[Credit Score]]&lt;=799,"Very Good",IF(Linked[[#This Row],[Credit Score]]&gt;=800,"Excellent")))))</f>
        <v>Poor</v>
      </c>
      <c r="T173" s="4">
        <v>0</v>
      </c>
      <c r="U173" s="2"/>
      <c r="V173" s="2"/>
    </row>
    <row r="174" spans="1:22" x14ac:dyDescent="0.25">
      <c r="A174" s="2" t="s">
        <v>136</v>
      </c>
      <c r="B174" s="2" t="s">
        <v>504</v>
      </c>
      <c r="C174" s="2" t="s">
        <v>1794</v>
      </c>
      <c r="D174" s="2" t="s">
        <v>1219</v>
      </c>
      <c r="E174">
        <v>30</v>
      </c>
      <c r="F174" s="2" t="s">
        <v>1220</v>
      </c>
      <c r="G174" s="2" t="s">
        <v>1229</v>
      </c>
      <c r="H174" s="2" t="s">
        <v>1239</v>
      </c>
      <c r="I174" s="1">
        <v>42930</v>
      </c>
      <c r="J174">
        <v>2017</v>
      </c>
      <c r="K174" s="2" t="s">
        <v>1795</v>
      </c>
      <c r="L174" s="4">
        <v>149749</v>
      </c>
      <c r="M174" s="2" t="s">
        <v>1223</v>
      </c>
      <c r="N174" s="2" t="s">
        <v>1224</v>
      </c>
      <c r="O174" s="2" t="s">
        <v>10</v>
      </c>
      <c r="P174" s="3">
        <v>43908</v>
      </c>
      <c r="Q174" s="4">
        <v>37548</v>
      </c>
      <c r="R174">
        <v>304</v>
      </c>
      <c r="S174" t="str">
        <f>IF(Linked[[#This Row],[Credit Score]]&lt;=579,"Poor",IF(Linked[[#This Row],[Credit Score]]&lt;=669,"Fair",IF(Linked[[#This Row],[Credit Score]]&lt;=739,"Good",IF(Linked[[#This Row],[Credit Score]]&lt;=799,"Very Good",IF(Linked[[#This Row],[Credit Score]]&gt;=800,"Excellent")))))</f>
        <v>Poor</v>
      </c>
      <c r="T174" s="4">
        <v>0</v>
      </c>
      <c r="U174" s="2"/>
      <c r="V174" s="2"/>
    </row>
    <row r="175" spans="1:22" x14ac:dyDescent="0.25">
      <c r="A175" s="2" t="s">
        <v>403</v>
      </c>
      <c r="B175" s="2" t="s">
        <v>402</v>
      </c>
      <c r="C175" s="2" t="s">
        <v>1386</v>
      </c>
      <c r="D175" s="2" t="s">
        <v>1219</v>
      </c>
      <c r="E175">
        <v>39</v>
      </c>
      <c r="F175" s="2" t="s">
        <v>1220</v>
      </c>
      <c r="G175" s="2" t="s">
        <v>1229</v>
      </c>
      <c r="H175" s="2" t="s">
        <v>1222</v>
      </c>
      <c r="I175" s="1">
        <v>44119</v>
      </c>
      <c r="J175">
        <v>2020</v>
      </c>
      <c r="K175" s="2" t="s">
        <v>1387</v>
      </c>
      <c r="L175" s="4">
        <v>49192</v>
      </c>
      <c r="M175" s="2" t="s">
        <v>1250</v>
      </c>
      <c r="N175" s="2" t="s">
        <v>1224</v>
      </c>
      <c r="O175" s="2" t="s">
        <v>13</v>
      </c>
      <c r="P175" s="3">
        <v>42337</v>
      </c>
      <c r="Q175" s="4">
        <v>327192</v>
      </c>
      <c r="R175">
        <v>770</v>
      </c>
      <c r="S175" t="str">
        <f>IF(Linked[[#This Row],[Credit Score]]&lt;=579,"Poor",IF(Linked[[#This Row],[Credit Score]]&lt;=669,"Fair",IF(Linked[[#This Row],[Credit Score]]&lt;=739,"Good",IF(Linked[[#This Row],[Credit Score]]&lt;=799,"Very Good",IF(Linked[[#This Row],[Credit Score]]&gt;=800,"Excellent")))))</f>
        <v>Very Good</v>
      </c>
      <c r="T175" s="4">
        <v>0</v>
      </c>
      <c r="U175" s="2"/>
      <c r="V175" s="2"/>
    </row>
    <row r="176" spans="1:22" x14ac:dyDescent="0.25">
      <c r="A176" s="2" t="s">
        <v>417</v>
      </c>
      <c r="B176" s="2" t="s">
        <v>416</v>
      </c>
      <c r="C176" s="2" t="s">
        <v>1388</v>
      </c>
      <c r="D176" s="2" t="s">
        <v>1227</v>
      </c>
      <c r="E176">
        <v>66</v>
      </c>
      <c r="F176" s="2" t="s">
        <v>1263</v>
      </c>
      <c r="G176" s="2" t="s">
        <v>1243</v>
      </c>
      <c r="H176" s="2" t="s">
        <v>1244</v>
      </c>
      <c r="I176" s="1">
        <v>43091</v>
      </c>
      <c r="J176">
        <v>2017</v>
      </c>
      <c r="K176" s="2" t="s">
        <v>1389</v>
      </c>
      <c r="L176" s="4">
        <v>66542</v>
      </c>
      <c r="M176" s="2" t="s">
        <v>1250</v>
      </c>
      <c r="N176" s="2" t="s">
        <v>1224</v>
      </c>
      <c r="O176" s="2" t="s">
        <v>13</v>
      </c>
      <c r="P176" s="3">
        <v>44996</v>
      </c>
      <c r="Q176" s="4">
        <v>178969</v>
      </c>
      <c r="R176">
        <v>802</v>
      </c>
      <c r="S176" t="str">
        <f>IF(Linked[[#This Row],[Credit Score]]&lt;=579,"Poor",IF(Linked[[#This Row],[Credit Score]]&lt;=669,"Fair",IF(Linked[[#This Row],[Credit Score]]&lt;=739,"Good",IF(Linked[[#This Row],[Credit Score]]&lt;=799,"Very Good",IF(Linked[[#This Row],[Credit Score]]&gt;=800,"Excellent")))))</f>
        <v>Excellent</v>
      </c>
      <c r="T176" s="4">
        <v>102493</v>
      </c>
      <c r="U176" s="2"/>
      <c r="V176" s="2"/>
    </row>
    <row r="177" spans="1:22" x14ac:dyDescent="0.25">
      <c r="A177" s="2" t="s">
        <v>417</v>
      </c>
      <c r="B177" s="2" t="s">
        <v>500</v>
      </c>
      <c r="C177" s="2" t="s">
        <v>1388</v>
      </c>
      <c r="D177" s="2" t="s">
        <v>1227</v>
      </c>
      <c r="E177">
        <v>66</v>
      </c>
      <c r="F177" s="2" t="s">
        <v>1263</v>
      </c>
      <c r="G177" s="2" t="s">
        <v>1243</v>
      </c>
      <c r="H177" s="2" t="s">
        <v>1244</v>
      </c>
      <c r="I177" s="1">
        <v>43091</v>
      </c>
      <c r="J177">
        <v>2017</v>
      </c>
      <c r="K177" s="2" t="s">
        <v>1389</v>
      </c>
      <c r="L177" s="4">
        <v>66542</v>
      </c>
      <c r="M177" s="2" t="s">
        <v>1250</v>
      </c>
      <c r="N177" s="2" t="s">
        <v>1224</v>
      </c>
      <c r="O177" s="2" t="s">
        <v>10</v>
      </c>
      <c r="P177" s="3">
        <v>45591</v>
      </c>
      <c r="Q177" s="4">
        <v>227443</v>
      </c>
      <c r="R177">
        <v>706</v>
      </c>
      <c r="S177" t="str">
        <f>IF(Linked[[#This Row],[Credit Score]]&lt;=579,"Poor",IF(Linked[[#This Row],[Credit Score]]&lt;=669,"Fair",IF(Linked[[#This Row],[Credit Score]]&lt;=739,"Good",IF(Linked[[#This Row],[Credit Score]]&lt;=799,"Very Good",IF(Linked[[#This Row],[Credit Score]]&gt;=800,"Excellent")))))</f>
        <v>Good</v>
      </c>
      <c r="T177" s="4">
        <v>44236</v>
      </c>
      <c r="U177" s="2"/>
      <c r="V177" s="2"/>
    </row>
    <row r="178" spans="1:22" x14ac:dyDescent="0.25">
      <c r="A178" s="2" t="s">
        <v>417</v>
      </c>
      <c r="B178" s="2" t="s">
        <v>759</v>
      </c>
      <c r="C178" s="2" t="s">
        <v>1388</v>
      </c>
      <c r="D178" s="2" t="s">
        <v>1227</v>
      </c>
      <c r="E178">
        <v>66</v>
      </c>
      <c r="F178" s="2" t="s">
        <v>1263</v>
      </c>
      <c r="G178" s="2" t="s">
        <v>1243</v>
      </c>
      <c r="H178" s="2" t="s">
        <v>1244</v>
      </c>
      <c r="I178" s="1">
        <v>43091</v>
      </c>
      <c r="J178">
        <v>2017</v>
      </c>
      <c r="K178" s="2" t="s">
        <v>1389</v>
      </c>
      <c r="L178" s="4">
        <v>66542</v>
      </c>
      <c r="M178" s="2" t="s">
        <v>1250</v>
      </c>
      <c r="N178" s="2" t="s">
        <v>1224</v>
      </c>
      <c r="O178" s="2" t="s">
        <v>13</v>
      </c>
      <c r="P178" s="3">
        <v>43400</v>
      </c>
      <c r="Q178" s="4">
        <v>291207</v>
      </c>
      <c r="R178">
        <v>320</v>
      </c>
      <c r="S178" t="str">
        <f>IF(Linked[[#This Row],[Credit Score]]&lt;=579,"Poor",IF(Linked[[#This Row],[Credit Score]]&lt;=669,"Fair",IF(Linked[[#This Row],[Credit Score]]&lt;=739,"Good",IF(Linked[[#This Row],[Credit Score]]&lt;=799,"Very Good",IF(Linked[[#This Row],[Credit Score]]&gt;=800,"Excellent")))))</f>
        <v>Poor</v>
      </c>
      <c r="T178" s="4">
        <v>0</v>
      </c>
      <c r="U178" s="2"/>
      <c r="V178" s="2"/>
    </row>
    <row r="179" spans="1:22" x14ac:dyDescent="0.25">
      <c r="A179" s="2" t="s">
        <v>139</v>
      </c>
      <c r="B179" s="2" t="s">
        <v>138</v>
      </c>
      <c r="C179" s="2" t="s">
        <v>2294</v>
      </c>
      <c r="D179" s="2" t="s">
        <v>1219</v>
      </c>
      <c r="E179">
        <v>27</v>
      </c>
      <c r="F179" s="2" t="s">
        <v>1242</v>
      </c>
      <c r="G179" s="2" t="s">
        <v>1243</v>
      </c>
      <c r="H179" s="2" t="s">
        <v>1222</v>
      </c>
      <c r="I179" s="1">
        <v>45393</v>
      </c>
      <c r="J179">
        <v>2024</v>
      </c>
      <c r="K179" s="2" t="s">
        <v>2295</v>
      </c>
      <c r="L179" s="4">
        <v>99141</v>
      </c>
      <c r="M179" s="2" t="s">
        <v>1245</v>
      </c>
      <c r="N179" s="2" t="s">
        <v>1224</v>
      </c>
      <c r="O179" s="2" t="s">
        <v>13</v>
      </c>
      <c r="P179" s="3">
        <v>42482</v>
      </c>
      <c r="Q179" s="4">
        <v>339387</v>
      </c>
      <c r="R179">
        <v>636</v>
      </c>
      <c r="S179" t="str">
        <f>IF(Linked[[#This Row],[Credit Score]]&lt;=579,"Poor",IF(Linked[[#This Row],[Credit Score]]&lt;=669,"Fair",IF(Linked[[#This Row],[Credit Score]]&lt;=739,"Good",IF(Linked[[#This Row],[Credit Score]]&lt;=799,"Very Good",IF(Linked[[#This Row],[Credit Score]]&gt;=800,"Excellent")))))</f>
        <v>Fair</v>
      </c>
      <c r="T179" s="4">
        <v>0</v>
      </c>
      <c r="U179" s="2" t="s">
        <v>18</v>
      </c>
      <c r="V179" s="2"/>
    </row>
    <row r="180" spans="1:22" x14ac:dyDescent="0.25">
      <c r="A180" s="2" t="s">
        <v>782</v>
      </c>
      <c r="B180" s="2" t="s">
        <v>781</v>
      </c>
      <c r="C180" s="2" t="s">
        <v>1390</v>
      </c>
      <c r="D180" s="2" t="s">
        <v>1227</v>
      </c>
      <c r="E180">
        <v>69</v>
      </c>
      <c r="F180" s="2" t="s">
        <v>1263</v>
      </c>
      <c r="G180" s="2" t="s">
        <v>1249</v>
      </c>
      <c r="H180" s="2" t="s">
        <v>1235</v>
      </c>
      <c r="I180" s="1">
        <v>44996</v>
      </c>
      <c r="J180">
        <v>2023</v>
      </c>
      <c r="K180" s="2" t="s">
        <v>1391</v>
      </c>
      <c r="L180" s="4">
        <v>147015</v>
      </c>
      <c r="M180" s="2" t="s">
        <v>1223</v>
      </c>
      <c r="N180" s="2" t="s">
        <v>1224</v>
      </c>
      <c r="O180" s="2" t="s">
        <v>25</v>
      </c>
      <c r="P180" s="3">
        <v>42732</v>
      </c>
      <c r="Q180" s="4">
        <v>125829</v>
      </c>
      <c r="R180">
        <v>666</v>
      </c>
      <c r="S180" t="str">
        <f>IF(Linked[[#This Row],[Credit Score]]&lt;=579,"Poor",IF(Linked[[#This Row],[Credit Score]]&lt;=669,"Fair",IF(Linked[[#This Row],[Credit Score]]&lt;=739,"Good",IF(Linked[[#This Row],[Credit Score]]&lt;=799,"Very Good",IF(Linked[[#This Row],[Credit Score]]&gt;=800,"Excellent")))))</f>
        <v>Fair</v>
      </c>
      <c r="T180" s="4">
        <v>0</v>
      </c>
      <c r="U180" s="2" t="s">
        <v>59</v>
      </c>
      <c r="V180" s="2"/>
    </row>
    <row r="181" spans="1:22" x14ac:dyDescent="0.25">
      <c r="A181" s="2" t="s">
        <v>464</v>
      </c>
      <c r="B181" s="2" t="s">
        <v>463</v>
      </c>
      <c r="C181" s="2" t="s">
        <v>1392</v>
      </c>
      <c r="D181" s="2" t="s">
        <v>1219</v>
      </c>
      <c r="E181">
        <v>59</v>
      </c>
      <c r="F181" s="2" t="s">
        <v>1228</v>
      </c>
      <c r="G181" s="2" t="s">
        <v>1229</v>
      </c>
      <c r="H181" s="2" t="s">
        <v>1259</v>
      </c>
      <c r="I181" s="1">
        <v>43069</v>
      </c>
      <c r="J181">
        <v>2017</v>
      </c>
      <c r="K181" s="2" t="s">
        <v>1393</v>
      </c>
      <c r="L181" s="4">
        <v>62520</v>
      </c>
      <c r="M181" s="2" t="s">
        <v>1250</v>
      </c>
      <c r="N181" s="2" t="s">
        <v>1224</v>
      </c>
      <c r="O181" s="2" t="s">
        <v>25</v>
      </c>
      <c r="P181" s="3">
        <v>43620</v>
      </c>
      <c r="Q181" s="4">
        <v>4994</v>
      </c>
      <c r="R181">
        <v>704</v>
      </c>
      <c r="S181" t="str">
        <f>IF(Linked[[#This Row],[Credit Score]]&lt;=579,"Poor",IF(Linked[[#This Row],[Credit Score]]&lt;=669,"Fair",IF(Linked[[#This Row],[Credit Score]]&lt;=739,"Good",IF(Linked[[#This Row],[Credit Score]]&lt;=799,"Very Good",IF(Linked[[#This Row],[Credit Score]]&gt;=800,"Excellent")))))</f>
        <v>Good</v>
      </c>
      <c r="T181" s="4">
        <v>204665</v>
      </c>
      <c r="U181" s="2" t="s">
        <v>39</v>
      </c>
      <c r="V181" s="2"/>
    </row>
    <row r="182" spans="1:22" x14ac:dyDescent="0.25">
      <c r="A182" s="2" t="s">
        <v>142</v>
      </c>
      <c r="B182" s="2" t="s">
        <v>141</v>
      </c>
      <c r="C182" s="2" t="s">
        <v>1969</v>
      </c>
      <c r="D182" s="2" t="s">
        <v>1219</v>
      </c>
      <c r="E182">
        <v>24</v>
      </c>
      <c r="F182" s="2" t="s">
        <v>1242</v>
      </c>
      <c r="G182" s="2" t="s">
        <v>1243</v>
      </c>
      <c r="H182" s="2" t="s">
        <v>1222</v>
      </c>
      <c r="I182" s="1">
        <v>45877</v>
      </c>
      <c r="J182">
        <v>2025</v>
      </c>
      <c r="K182" s="2" t="s">
        <v>1970</v>
      </c>
      <c r="L182" s="4">
        <v>56877</v>
      </c>
      <c r="M182" s="2" t="s">
        <v>1250</v>
      </c>
      <c r="N182" s="2" t="s">
        <v>1231</v>
      </c>
      <c r="O182" s="2" t="s">
        <v>13</v>
      </c>
      <c r="P182" s="3">
        <v>43964</v>
      </c>
      <c r="Q182" s="4">
        <v>485687</v>
      </c>
      <c r="R182">
        <v>572</v>
      </c>
      <c r="S182" t="str">
        <f>IF(Linked[[#This Row],[Credit Score]]&lt;=579,"Poor",IF(Linked[[#This Row],[Credit Score]]&lt;=669,"Fair",IF(Linked[[#This Row],[Credit Score]]&lt;=739,"Good",IF(Linked[[#This Row],[Credit Score]]&lt;=799,"Very Good",IF(Linked[[#This Row],[Credit Score]]&gt;=800,"Excellent")))))</f>
        <v>Poor</v>
      </c>
      <c r="T182" s="4">
        <v>0</v>
      </c>
      <c r="U182" s="2"/>
      <c r="V182" s="2"/>
    </row>
    <row r="183" spans="1:22" x14ac:dyDescent="0.25">
      <c r="A183" s="2" t="s">
        <v>162</v>
      </c>
      <c r="B183" s="2" t="s">
        <v>161</v>
      </c>
      <c r="C183" s="2" t="s">
        <v>1394</v>
      </c>
      <c r="D183" s="2" t="s">
        <v>1227</v>
      </c>
      <c r="E183">
        <v>23</v>
      </c>
      <c r="F183" s="2" t="s">
        <v>1242</v>
      </c>
      <c r="G183" s="2" t="s">
        <v>1249</v>
      </c>
      <c r="H183" s="2" t="s">
        <v>1235</v>
      </c>
      <c r="I183" s="1">
        <v>43341</v>
      </c>
      <c r="J183">
        <v>2018</v>
      </c>
      <c r="K183" s="2" t="s">
        <v>1395</v>
      </c>
      <c r="L183" s="4">
        <v>84772</v>
      </c>
      <c r="M183" s="2" t="s">
        <v>1245</v>
      </c>
      <c r="N183" s="2" t="s">
        <v>1224</v>
      </c>
      <c r="O183" s="2" t="s">
        <v>13</v>
      </c>
      <c r="P183" s="3">
        <v>45733</v>
      </c>
      <c r="Q183" s="4">
        <v>489196</v>
      </c>
      <c r="R183">
        <v>796</v>
      </c>
      <c r="S183" t="str">
        <f>IF(Linked[[#This Row],[Credit Score]]&lt;=579,"Poor",IF(Linked[[#This Row],[Credit Score]]&lt;=669,"Fair",IF(Linked[[#This Row],[Credit Score]]&lt;=739,"Good",IF(Linked[[#This Row],[Credit Score]]&lt;=799,"Very Good",IF(Linked[[#This Row],[Credit Score]]&gt;=800,"Excellent")))))</f>
        <v>Very Good</v>
      </c>
      <c r="T183" s="4">
        <v>149233</v>
      </c>
      <c r="U183" s="2"/>
      <c r="V183" s="2"/>
    </row>
    <row r="184" spans="1:22" x14ac:dyDescent="0.25">
      <c r="A184" s="2" t="s">
        <v>162</v>
      </c>
      <c r="B184" s="2" t="s">
        <v>334</v>
      </c>
      <c r="C184" s="2" t="s">
        <v>1394</v>
      </c>
      <c r="D184" s="2" t="s">
        <v>1227</v>
      </c>
      <c r="E184">
        <v>23</v>
      </c>
      <c r="F184" s="2" t="s">
        <v>1242</v>
      </c>
      <c r="G184" s="2" t="s">
        <v>1249</v>
      </c>
      <c r="H184" s="2" t="s">
        <v>1235</v>
      </c>
      <c r="I184" s="1">
        <v>43341</v>
      </c>
      <c r="J184">
        <v>2018</v>
      </c>
      <c r="K184" s="2" t="s">
        <v>1395</v>
      </c>
      <c r="L184" s="4">
        <v>84772</v>
      </c>
      <c r="M184" s="2" t="s">
        <v>1245</v>
      </c>
      <c r="N184" s="2" t="s">
        <v>1224</v>
      </c>
      <c r="O184" s="2" t="s">
        <v>25</v>
      </c>
      <c r="P184" s="3">
        <v>45378</v>
      </c>
      <c r="Q184" s="4">
        <v>80201</v>
      </c>
      <c r="R184">
        <v>372</v>
      </c>
      <c r="S184" t="str">
        <f>IF(Linked[[#This Row],[Credit Score]]&lt;=579,"Poor",IF(Linked[[#This Row],[Credit Score]]&lt;=669,"Fair",IF(Linked[[#This Row],[Credit Score]]&lt;=739,"Good",IF(Linked[[#This Row],[Credit Score]]&lt;=799,"Very Good",IF(Linked[[#This Row],[Credit Score]]&gt;=800,"Excellent")))))</f>
        <v>Poor</v>
      </c>
      <c r="T184" s="4">
        <v>242474</v>
      </c>
      <c r="U184" s="2"/>
      <c r="V184" s="2"/>
    </row>
    <row r="185" spans="1:22" x14ac:dyDescent="0.25">
      <c r="A185" s="2" t="s">
        <v>144</v>
      </c>
      <c r="B185" s="2" t="s">
        <v>143</v>
      </c>
      <c r="C185" s="2" t="s">
        <v>2029</v>
      </c>
      <c r="D185" s="2" t="s">
        <v>1219</v>
      </c>
      <c r="E185">
        <v>30</v>
      </c>
      <c r="F185" s="2" t="s">
        <v>1220</v>
      </c>
      <c r="G185" s="2" t="s">
        <v>1229</v>
      </c>
      <c r="H185" s="2" t="s">
        <v>1239</v>
      </c>
      <c r="I185" s="1">
        <v>45607</v>
      </c>
      <c r="J185">
        <v>2024</v>
      </c>
      <c r="K185" s="2" t="s">
        <v>2030</v>
      </c>
      <c r="L185" s="4">
        <v>196572</v>
      </c>
      <c r="M185" s="2" t="s">
        <v>1223</v>
      </c>
      <c r="N185" s="2" t="s">
        <v>1224</v>
      </c>
      <c r="O185" s="2" t="s">
        <v>32</v>
      </c>
      <c r="P185" s="3">
        <v>44843</v>
      </c>
      <c r="Q185" s="4">
        <v>152297</v>
      </c>
      <c r="R185">
        <v>357</v>
      </c>
      <c r="S185" t="str">
        <f>IF(Linked[[#This Row],[Credit Score]]&lt;=579,"Poor",IF(Linked[[#This Row],[Credit Score]]&lt;=669,"Fair",IF(Linked[[#This Row],[Credit Score]]&lt;=739,"Good",IF(Linked[[#This Row],[Credit Score]]&lt;=799,"Very Good",IF(Linked[[#This Row],[Credit Score]]&gt;=800,"Excellent")))))</f>
        <v>Poor</v>
      </c>
      <c r="T185" s="4">
        <v>0</v>
      </c>
      <c r="U185" s="2"/>
      <c r="V185" s="2"/>
    </row>
    <row r="186" spans="1:22" x14ac:dyDescent="0.25">
      <c r="A186" s="2" t="s">
        <v>144</v>
      </c>
      <c r="B186" s="2" t="s">
        <v>578</v>
      </c>
      <c r="C186" s="2" t="s">
        <v>2029</v>
      </c>
      <c r="D186" s="2" t="s">
        <v>1219</v>
      </c>
      <c r="E186">
        <v>30</v>
      </c>
      <c r="F186" s="2" t="s">
        <v>1220</v>
      </c>
      <c r="G186" s="2" t="s">
        <v>1229</v>
      </c>
      <c r="H186" s="2" t="s">
        <v>1239</v>
      </c>
      <c r="I186" s="1">
        <v>45607</v>
      </c>
      <c r="J186">
        <v>2024</v>
      </c>
      <c r="K186" s="2" t="s">
        <v>2030</v>
      </c>
      <c r="L186" s="4">
        <v>196572</v>
      </c>
      <c r="M186" s="2" t="s">
        <v>1223</v>
      </c>
      <c r="N186" s="2" t="s">
        <v>1224</v>
      </c>
      <c r="O186" s="2" t="s">
        <v>25</v>
      </c>
      <c r="P186" s="3">
        <v>43469</v>
      </c>
      <c r="Q186" s="4">
        <v>245144</v>
      </c>
      <c r="R186">
        <v>670</v>
      </c>
      <c r="S186" t="str">
        <f>IF(Linked[[#This Row],[Credit Score]]&lt;=579,"Poor",IF(Linked[[#This Row],[Credit Score]]&lt;=669,"Fair",IF(Linked[[#This Row],[Credit Score]]&lt;=739,"Good",IF(Linked[[#This Row],[Credit Score]]&lt;=799,"Very Good",IF(Linked[[#This Row],[Credit Score]]&gt;=800,"Excellent")))))</f>
        <v>Good</v>
      </c>
      <c r="T186" s="4">
        <v>0</v>
      </c>
      <c r="U186" s="2"/>
      <c r="V186" s="2"/>
    </row>
    <row r="187" spans="1:22" x14ac:dyDescent="0.25">
      <c r="A187" s="2" t="s">
        <v>182</v>
      </c>
      <c r="B187" s="2" t="s">
        <v>181</v>
      </c>
      <c r="C187" s="2" t="s">
        <v>1396</v>
      </c>
      <c r="D187" s="2" t="s">
        <v>1227</v>
      </c>
      <c r="E187">
        <v>32</v>
      </c>
      <c r="F187" s="2" t="s">
        <v>1220</v>
      </c>
      <c r="G187" s="2" t="s">
        <v>1229</v>
      </c>
      <c r="H187" s="2" t="s">
        <v>1222</v>
      </c>
      <c r="I187" s="1">
        <v>45477</v>
      </c>
      <c r="J187">
        <v>2024</v>
      </c>
      <c r="K187" s="2" t="s">
        <v>1397</v>
      </c>
      <c r="L187" s="4">
        <v>70106</v>
      </c>
      <c r="M187" s="2" t="s">
        <v>1250</v>
      </c>
      <c r="N187" s="2" t="s">
        <v>1224</v>
      </c>
      <c r="O187" s="2" t="s">
        <v>32</v>
      </c>
      <c r="P187" s="3">
        <v>44429</v>
      </c>
      <c r="Q187" s="4">
        <v>346918</v>
      </c>
      <c r="R187">
        <v>637</v>
      </c>
      <c r="S187" t="str">
        <f>IF(Linked[[#This Row],[Credit Score]]&lt;=579,"Poor",IF(Linked[[#This Row],[Credit Score]]&lt;=669,"Fair",IF(Linked[[#This Row],[Credit Score]]&lt;=739,"Good",IF(Linked[[#This Row],[Credit Score]]&lt;=799,"Very Good",IF(Linked[[#This Row],[Credit Score]]&gt;=800,"Excellent")))))</f>
        <v>Fair</v>
      </c>
      <c r="T187" s="4">
        <v>0</v>
      </c>
      <c r="U187" s="2"/>
      <c r="V187" s="2"/>
    </row>
    <row r="188" spans="1:22" x14ac:dyDescent="0.25">
      <c r="A188" s="2" t="s">
        <v>182</v>
      </c>
      <c r="B188" s="2" t="s">
        <v>265</v>
      </c>
      <c r="C188" s="2" t="s">
        <v>1396</v>
      </c>
      <c r="D188" s="2" t="s">
        <v>1227</v>
      </c>
      <c r="E188">
        <v>32</v>
      </c>
      <c r="F188" s="2" t="s">
        <v>1220</v>
      </c>
      <c r="G188" s="2" t="s">
        <v>1229</v>
      </c>
      <c r="H188" s="2" t="s">
        <v>1222</v>
      </c>
      <c r="I188" s="1">
        <v>45477</v>
      </c>
      <c r="J188">
        <v>2024</v>
      </c>
      <c r="K188" s="2" t="s">
        <v>1397</v>
      </c>
      <c r="L188" s="4">
        <v>70106</v>
      </c>
      <c r="M188" s="2" t="s">
        <v>1250</v>
      </c>
      <c r="N188" s="2" t="s">
        <v>1224</v>
      </c>
      <c r="O188" s="2" t="s">
        <v>13</v>
      </c>
      <c r="P188" s="3">
        <v>45365</v>
      </c>
      <c r="Q188" s="4">
        <v>463509</v>
      </c>
      <c r="R188">
        <v>403</v>
      </c>
      <c r="S188" t="str">
        <f>IF(Linked[[#This Row],[Credit Score]]&lt;=579,"Poor",IF(Linked[[#This Row],[Credit Score]]&lt;=669,"Fair",IF(Linked[[#This Row],[Credit Score]]&lt;=739,"Good",IF(Linked[[#This Row],[Credit Score]]&lt;=799,"Very Good",IF(Linked[[#This Row],[Credit Score]]&gt;=800,"Excellent")))))</f>
        <v>Poor</v>
      </c>
      <c r="T188" s="4">
        <v>111471</v>
      </c>
      <c r="U188" s="2"/>
      <c r="V188" s="2"/>
    </row>
    <row r="189" spans="1:22" x14ac:dyDescent="0.25">
      <c r="A189" s="2" t="s">
        <v>182</v>
      </c>
      <c r="B189" s="2" t="s">
        <v>295</v>
      </c>
      <c r="C189" s="2" t="s">
        <v>1396</v>
      </c>
      <c r="D189" s="2" t="s">
        <v>1227</v>
      </c>
      <c r="E189">
        <v>32</v>
      </c>
      <c r="F189" s="2" t="s">
        <v>1220</v>
      </c>
      <c r="G189" s="2" t="s">
        <v>1229</v>
      </c>
      <c r="H189" s="2" t="s">
        <v>1222</v>
      </c>
      <c r="I189" s="1">
        <v>45477</v>
      </c>
      <c r="J189">
        <v>2024</v>
      </c>
      <c r="K189" s="2" t="s">
        <v>1397</v>
      </c>
      <c r="L189" s="4">
        <v>70106</v>
      </c>
      <c r="M189" s="2" t="s">
        <v>1250</v>
      </c>
      <c r="N189" s="2" t="s">
        <v>1224</v>
      </c>
      <c r="O189" s="2" t="s">
        <v>10</v>
      </c>
      <c r="P189" s="3">
        <v>44134</v>
      </c>
      <c r="Q189" s="4">
        <v>372251</v>
      </c>
      <c r="R189">
        <v>404</v>
      </c>
      <c r="S189" t="str">
        <f>IF(Linked[[#This Row],[Credit Score]]&lt;=579,"Poor",IF(Linked[[#This Row],[Credit Score]]&lt;=669,"Fair",IF(Linked[[#This Row],[Credit Score]]&lt;=739,"Good",IF(Linked[[#This Row],[Credit Score]]&lt;=799,"Very Good",IF(Linked[[#This Row],[Credit Score]]&gt;=800,"Excellent")))))</f>
        <v>Poor</v>
      </c>
      <c r="T189" s="4">
        <v>170837</v>
      </c>
      <c r="U189" s="2" t="s">
        <v>18</v>
      </c>
      <c r="V189" s="2"/>
    </row>
    <row r="190" spans="1:22" x14ac:dyDescent="0.25">
      <c r="A190" s="2" t="s">
        <v>148</v>
      </c>
      <c r="B190" s="2" t="s">
        <v>147</v>
      </c>
      <c r="C190" s="2" t="s">
        <v>1776</v>
      </c>
      <c r="D190" s="2" t="s">
        <v>1219</v>
      </c>
      <c r="E190">
        <v>56</v>
      </c>
      <c r="F190" s="2" t="s">
        <v>1228</v>
      </c>
      <c r="G190" s="2" t="s">
        <v>1249</v>
      </c>
      <c r="H190" s="2" t="s">
        <v>1253</v>
      </c>
      <c r="I190" s="1">
        <v>43395</v>
      </c>
      <c r="J190">
        <v>2018</v>
      </c>
      <c r="K190" s="2" t="s">
        <v>1777</v>
      </c>
      <c r="L190" s="4">
        <v>67837</v>
      </c>
      <c r="M190" s="2" t="s">
        <v>1250</v>
      </c>
      <c r="N190" s="2" t="s">
        <v>1231</v>
      </c>
      <c r="O190" s="2" t="s">
        <v>13</v>
      </c>
      <c r="P190" s="3">
        <v>44558</v>
      </c>
      <c r="Q190" s="4">
        <v>319764</v>
      </c>
      <c r="R190">
        <v>408</v>
      </c>
      <c r="S190" t="str">
        <f>IF(Linked[[#This Row],[Credit Score]]&lt;=579,"Poor",IF(Linked[[#This Row],[Credit Score]]&lt;=669,"Fair",IF(Linked[[#This Row],[Credit Score]]&lt;=739,"Good",IF(Linked[[#This Row],[Credit Score]]&lt;=799,"Very Good",IF(Linked[[#This Row],[Credit Score]]&gt;=800,"Excellent")))))</f>
        <v>Poor</v>
      </c>
      <c r="T190" s="4">
        <v>0</v>
      </c>
      <c r="U190" s="2" t="s">
        <v>39</v>
      </c>
      <c r="V190" s="2"/>
    </row>
    <row r="191" spans="1:22" x14ac:dyDescent="0.25">
      <c r="A191" s="2" t="s">
        <v>553</v>
      </c>
      <c r="B191" s="2" t="s">
        <v>552</v>
      </c>
      <c r="C191" s="2" t="s">
        <v>1401</v>
      </c>
      <c r="D191" s="2" t="s">
        <v>1227</v>
      </c>
      <c r="E191">
        <v>60</v>
      </c>
      <c r="F191" s="2" t="s">
        <v>1228</v>
      </c>
      <c r="G191" s="2" t="s">
        <v>1221</v>
      </c>
      <c r="H191" s="2" t="s">
        <v>1222</v>
      </c>
      <c r="I191" s="1">
        <v>42457</v>
      </c>
      <c r="J191">
        <v>2016</v>
      </c>
      <c r="K191" s="2" t="s">
        <v>1402</v>
      </c>
      <c r="L191" s="4">
        <v>45559</v>
      </c>
      <c r="M191" s="2" t="s">
        <v>1250</v>
      </c>
      <c r="N191" s="2" t="s">
        <v>1231</v>
      </c>
      <c r="O191" s="2" t="s">
        <v>25</v>
      </c>
      <c r="P191" s="3">
        <v>43936</v>
      </c>
      <c r="Q191" s="4">
        <v>109162</v>
      </c>
      <c r="R191">
        <v>440</v>
      </c>
      <c r="S191" t="str">
        <f>IF(Linked[[#This Row],[Credit Score]]&lt;=579,"Poor",IF(Linked[[#This Row],[Credit Score]]&lt;=669,"Fair",IF(Linked[[#This Row],[Credit Score]]&lt;=739,"Good",IF(Linked[[#This Row],[Credit Score]]&lt;=799,"Very Good",IF(Linked[[#This Row],[Credit Score]]&gt;=800,"Excellent")))))</f>
        <v>Poor</v>
      </c>
      <c r="T191" s="4">
        <v>0</v>
      </c>
      <c r="U191" s="2"/>
      <c r="V191" s="2"/>
    </row>
    <row r="192" spans="1:22" x14ac:dyDescent="0.25">
      <c r="A192" s="2" t="s">
        <v>150</v>
      </c>
      <c r="B192" s="2" t="s">
        <v>149</v>
      </c>
      <c r="C192" s="2" t="s">
        <v>2112</v>
      </c>
      <c r="D192" s="2" t="s">
        <v>1219</v>
      </c>
      <c r="E192">
        <v>33</v>
      </c>
      <c r="F192" s="2" t="s">
        <v>1220</v>
      </c>
      <c r="G192" s="2" t="s">
        <v>1221</v>
      </c>
      <c r="H192" s="2" t="s">
        <v>1239</v>
      </c>
      <c r="I192" s="1">
        <v>43523</v>
      </c>
      <c r="J192">
        <v>2019</v>
      </c>
      <c r="K192" s="2" t="s">
        <v>2113</v>
      </c>
      <c r="L192" s="4">
        <v>104878</v>
      </c>
      <c r="M192" s="2" t="s">
        <v>1245</v>
      </c>
      <c r="N192" s="2" t="s">
        <v>1224</v>
      </c>
      <c r="O192" s="2" t="s">
        <v>13</v>
      </c>
      <c r="P192" s="3">
        <v>43267</v>
      </c>
      <c r="Q192" s="4">
        <v>426044</v>
      </c>
      <c r="R192">
        <v>578</v>
      </c>
      <c r="S192" t="str">
        <f>IF(Linked[[#This Row],[Credit Score]]&lt;=579,"Poor",IF(Linked[[#This Row],[Credit Score]]&lt;=669,"Fair",IF(Linked[[#This Row],[Credit Score]]&lt;=739,"Good",IF(Linked[[#This Row],[Credit Score]]&lt;=799,"Very Good",IF(Linked[[#This Row],[Credit Score]]&gt;=800,"Excellent")))))</f>
        <v>Poor</v>
      </c>
      <c r="T192" s="4">
        <v>373894</v>
      </c>
      <c r="U192" s="2"/>
      <c r="V192" s="2"/>
    </row>
    <row r="193" spans="1:22" x14ac:dyDescent="0.25">
      <c r="A193" s="2" t="s">
        <v>150</v>
      </c>
      <c r="B193" s="2" t="s">
        <v>344</v>
      </c>
      <c r="C193" s="2" t="s">
        <v>2112</v>
      </c>
      <c r="D193" s="2" t="s">
        <v>1219</v>
      </c>
      <c r="E193">
        <v>33</v>
      </c>
      <c r="F193" s="2" t="s">
        <v>1220</v>
      </c>
      <c r="G193" s="2" t="s">
        <v>1221</v>
      </c>
      <c r="H193" s="2" t="s">
        <v>1239</v>
      </c>
      <c r="I193" s="1">
        <v>43523</v>
      </c>
      <c r="J193">
        <v>2019</v>
      </c>
      <c r="K193" s="2" t="s">
        <v>2113</v>
      </c>
      <c r="L193" s="4">
        <v>104878</v>
      </c>
      <c r="M193" s="2" t="s">
        <v>1245</v>
      </c>
      <c r="N193" s="2" t="s">
        <v>1224</v>
      </c>
      <c r="O193" s="2" t="s">
        <v>13</v>
      </c>
      <c r="P193" s="3">
        <v>42948</v>
      </c>
      <c r="Q193" s="4">
        <v>233612</v>
      </c>
      <c r="R193">
        <v>494</v>
      </c>
      <c r="S193" t="str">
        <f>IF(Linked[[#This Row],[Credit Score]]&lt;=579,"Poor",IF(Linked[[#This Row],[Credit Score]]&lt;=669,"Fair",IF(Linked[[#This Row],[Credit Score]]&lt;=739,"Good",IF(Linked[[#This Row],[Credit Score]]&lt;=799,"Very Good",IF(Linked[[#This Row],[Credit Score]]&gt;=800,"Excellent")))))</f>
        <v>Poor</v>
      </c>
      <c r="T193" s="4">
        <v>338245</v>
      </c>
      <c r="U193" s="2" t="s">
        <v>59</v>
      </c>
      <c r="V193" s="2"/>
    </row>
    <row r="194" spans="1:22" x14ac:dyDescent="0.25">
      <c r="A194" s="2" t="s">
        <v>150</v>
      </c>
      <c r="B194" s="2" t="s">
        <v>531</v>
      </c>
      <c r="C194" s="2" t="s">
        <v>2112</v>
      </c>
      <c r="D194" s="2" t="s">
        <v>1219</v>
      </c>
      <c r="E194">
        <v>33</v>
      </c>
      <c r="F194" s="2" t="s">
        <v>1220</v>
      </c>
      <c r="G194" s="2" t="s">
        <v>1221</v>
      </c>
      <c r="H194" s="2" t="s">
        <v>1239</v>
      </c>
      <c r="I194" s="1">
        <v>43523</v>
      </c>
      <c r="J194">
        <v>2019</v>
      </c>
      <c r="K194" s="2" t="s">
        <v>2113</v>
      </c>
      <c r="L194" s="4">
        <v>104878</v>
      </c>
      <c r="M194" s="2" t="s">
        <v>1245</v>
      </c>
      <c r="N194" s="2" t="s">
        <v>1224</v>
      </c>
      <c r="O194" s="2" t="s">
        <v>25</v>
      </c>
      <c r="P194" s="3">
        <v>43731</v>
      </c>
      <c r="Q194" s="4">
        <v>467149</v>
      </c>
      <c r="R194">
        <v>718</v>
      </c>
      <c r="S194" t="str">
        <f>IF(Linked[[#This Row],[Credit Score]]&lt;=579,"Poor",IF(Linked[[#This Row],[Credit Score]]&lt;=669,"Fair",IF(Linked[[#This Row],[Credit Score]]&lt;=739,"Good",IF(Linked[[#This Row],[Credit Score]]&lt;=799,"Very Good",IF(Linked[[#This Row],[Credit Score]]&gt;=800,"Excellent")))))</f>
        <v>Good</v>
      </c>
      <c r="T194" s="4">
        <v>0</v>
      </c>
      <c r="U194" s="2"/>
      <c r="V194" s="2"/>
    </row>
    <row r="195" spans="1:22" x14ac:dyDescent="0.25">
      <c r="A195" s="2" t="s">
        <v>152</v>
      </c>
      <c r="B195" s="2" t="s">
        <v>151</v>
      </c>
      <c r="C195" s="2" t="s">
        <v>2154</v>
      </c>
      <c r="D195" s="2" t="s">
        <v>1219</v>
      </c>
      <c r="E195">
        <v>58</v>
      </c>
      <c r="F195" s="2" t="s">
        <v>1228</v>
      </c>
      <c r="G195" s="2" t="s">
        <v>1229</v>
      </c>
      <c r="H195" s="2" t="s">
        <v>1259</v>
      </c>
      <c r="I195" s="1">
        <v>42747</v>
      </c>
      <c r="J195">
        <v>2017</v>
      </c>
      <c r="K195" s="2" t="s">
        <v>2155</v>
      </c>
      <c r="L195" s="4">
        <v>81272</v>
      </c>
      <c r="M195" s="2" t="s">
        <v>1245</v>
      </c>
      <c r="N195" s="2" t="s">
        <v>1224</v>
      </c>
      <c r="O195" s="2" t="s">
        <v>13</v>
      </c>
      <c r="P195" s="3">
        <v>45406</v>
      </c>
      <c r="Q195" s="4">
        <v>126270</v>
      </c>
      <c r="R195">
        <v>627</v>
      </c>
      <c r="S195" t="str">
        <f>IF(Linked[[#This Row],[Credit Score]]&lt;=579,"Poor",IF(Linked[[#This Row],[Credit Score]]&lt;=669,"Fair",IF(Linked[[#This Row],[Credit Score]]&lt;=739,"Good",IF(Linked[[#This Row],[Credit Score]]&lt;=799,"Very Good",IF(Linked[[#This Row],[Credit Score]]&gt;=800,"Excellent")))))</f>
        <v>Fair</v>
      </c>
      <c r="T195" s="4">
        <v>394187</v>
      </c>
      <c r="U195" s="2"/>
      <c r="V195" s="2"/>
    </row>
    <row r="196" spans="1:22" x14ac:dyDescent="0.25">
      <c r="A196" s="2" t="s">
        <v>152</v>
      </c>
      <c r="B196" s="2" t="s">
        <v>316</v>
      </c>
      <c r="C196" s="2" t="s">
        <v>2154</v>
      </c>
      <c r="D196" s="2" t="s">
        <v>1219</v>
      </c>
      <c r="E196">
        <v>58</v>
      </c>
      <c r="F196" s="2" t="s">
        <v>1228</v>
      </c>
      <c r="G196" s="2" t="s">
        <v>1229</v>
      </c>
      <c r="H196" s="2" t="s">
        <v>1259</v>
      </c>
      <c r="I196" s="1">
        <v>42747</v>
      </c>
      <c r="J196">
        <v>2017</v>
      </c>
      <c r="K196" s="2" t="s">
        <v>2155</v>
      </c>
      <c r="L196" s="4">
        <v>81272</v>
      </c>
      <c r="M196" s="2" t="s">
        <v>1245</v>
      </c>
      <c r="N196" s="2" t="s">
        <v>1224</v>
      </c>
      <c r="O196" s="2" t="s">
        <v>25</v>
      </c>
      <c r="P196" s="3">
        <v>44565</v>
      </c>
      <c r="Q196" s="4">
        <v>54935</v>
      </c>
      <c r="R196">
        <v>791</v>
      </c>
      <c r="S196" t="str">
        <f>IF(Linked[[#This Row],[Credit Score]]&lt;=579,"Poor",IF(Linked[[#This Row],[Credit Score]]&lt;=669,"Fair",IF(Linked[[#This Row],[Credit Score]]&lt;=739,"Good",IF(Linked[[#This Row],[Credit Score]]&lt;=799,"Very Good",IF(Linked[[#This Row],[Credit Score]]&gt;=800,"Excellent")))))</f>
        <v>Very Good</v>
      </c>
      <c r="T196" s="4">
        <v>0</v>
      </c>
      <c r="U196" s="2" t="s">
        <v>59</v>
      </c>
      <c r="V196" s="2"/>
    </row>
    <row r="197" spans="1:22" x14ac:dyDescent="0.25">
      <c r="A197" s="2" t="s">
        <v>176</v>
      </c>
      <c r="B197" s="2" t="s">
        <v>175</v>
      </c>
      <c r="C197" s="2" t="s">
        <v>1405</v>
      </c>
      <c r="D197" s="2" t="s">
        <v>1227</v>
      </c>
      <c r="E197">
        <v>50</v>
      </c>
      <c r="F197" s="2" t="s">
        <v>1228</v>
      </c>
      <c r="G197" s="2" t="s">
        <v>1243</v>
      </c>
      <c r="H197" s="2" t="s">
        <v>1222</v>
      </c>
      <c r="I197" s="1">
        <v>45677</v>
      </c>
      <c r="J197">
        <v>2025</v>
      </c>
      <c r="K197" s="2" t="s">
        <v>1406</v>
      </c>
      <c r="L197" s="4">
        <v>53742</v>
      </c>
      <c r="M197" s="2" t="s">
        <v>1250</v>
      </c>
      <c r="N197" s="2" t="s">
        <v>1231</v>
      </c>
      <c r="O197" s="2" t="s">
        <v>13</v>
      </c>
      <c r="P197" s="3">
        <v>44444</v>
      </c>
      <c r="Q197" s="4">
        <v>235497</v>
      </c>
      <c r="R197">
        <v>312</v>
      </c>
      <c r="S197" t="str">
        <f>IF(Linked[[#This Row],[Credit Score]]&lt;=579,"Poor",IF(Linked[[#This Row],[Credit Score]]&lt;=669,"Fair",IF(Linked[[#This Row],[Credit Score]]&lt;=739,"Good",IF(Linked[[#This Row],[Credit Score]]&lt;=799,"Very Good",IF(Linked[[#This Row],[Credit Score]]&gt;=800,"Excellent")))))</f>
        <v>Poor</v>
      </c>
      <c r="T197" s="4">
        <v>0</v>
      </c>
      <c r="U197" s="2" t="s">
        <v>59</v>
      </c>
      <c r="V197" s="2"/>
    </row>
    <row r="198" spans="1:22" x14ac:dyDescent="0.25">
      <c r="A198" s="2" t="s">
        <v>176</v>
      </c>
      <c r="B198" s="2" t="s">
        <v>540</v>
      </c>
      <c r="C198" s="2" t="s">
        <v>1405</v>
      </c>
      <c r="D198" s="2" t="s">
        <v>1227</v>
      </c>
      <c r="E198">
        <v>50</v>
      </c>
      <c r="F198" s="2" t="s">
        <v>1228</v>
      </c>
      <c r="G198" s="2" t="s">
        <v>1243</v>
      </c>
      <c r="H198" s="2" t="s">
        <v>1222</v>
      </c>
      <c r="I198" s="1">
        <v>45677</v>
      </c>
      <c r="J198">
        <v>2025</v>
      </c>
      <c r="K198" s="2" t="s">
        <v>1406</v>
      </c>
      <c r="L198" s="4">
        <v>53742</v>
      </c>
      <c r="M198" s="2" t="s">
        <v>1250</v>
      </c>
      <c r="N198" s="2" t="s">
        <v>1231</v>
      </c>
      <c r="O198" s="2" t="s">
        <v>13</v>
      </c>
      <c r="P198" s="3">
        <v>42608</v>
      </c>
      <c r="Q198" s="4">
        <v>289341</v>
      </c>
      <c r="R198">
        <v>680</v>
      </c>
      <c r="S198" t="str">
        <f>IF(Linked[[#This Row],[Credit Score]]&lt;=579,"Poor",IF(Linked[[#This Row],[Credit Score]]&lt;=669,"Fair",IF(Linked[[#This Row],[Credit Score]]&lt;=739,"Good",IF(Linked[[#This Row],[Credit Score]]&lt;=799,"Very Good",IF(Linked[[#This Row],[Credit Score]]&gt;=800,"Excellent")))))</f>
        <v>Good</v>
      </c>
      <c r="T198" s="4">
        <v>242268</v>
      </c>
      <c r="U198" s="2" t="s">
        <v>18</v>
      </c>
      <c r="V198" s="2"/>
    </row>
    <row r="199" spans="1:22" x14ac:dyDescent="0.25">
      <c r="A199" s="2" t="s">
        <v>156</v>
      </c>
      <c r="B199" s="2" t="s">
        <v>155</v>
      </c>
      <c r="C199" s="2" t="s">
        <v>1898</v>
      </c>
      <c r="D199" s="2" t="s">
        <v>1219</v>
      </c>
      <c r="E199">
        <v>22</v>
      </c>
      <c r="F199" s="2" t="s">
        <v>1242</v>
      </c>
      <c r="G199" s="2" t="s">
        <v>1249</v>
      </c>
      <c r="H199" s="2" t="s">
        <v>1253</v>
      </c>
      <c r="I199" s="1">
        <v>44473</v>
      </c>
      <c r="J199">
        <v>2021</v>
      </c>
      <c r="K199" s="2" t="s">
        <v>1899</v>
      </c>
      <c r="L199" s="4">
        <v>95897</v>
      </c>
      <c r="M199" s="2" t="s">
        <v>1245</v>
      </c>
      <c r="N199" s="2" t="s">
        <v>1224</v>
      </c>
      <c r="O199" s="2" t="s">
        <v>13</v>
      </c>
      <c r="P199" s="3">
        <v>43170</v>
      </c>
      <c r="Q199" s="4">
        <v>276531</v>
      </c>
      <c r="R199">
        <v>773</v>
      </c>
      <c r="S199" t="str">
        <f>IF(Linked[[#This Row],[Credit Score]]&lt;=579,"Poor",IF(Linked[[#This Row],[Credit Score]]&lt;=669,"Fair",IF(Linked[[#This Row],[Credit Score]]&lt;=739,"Good",IF(Linked[[#This Row],[Credit Score]]&lt;=799,"Very Good",IF(Linked[[#This Row],[Credit Score]]&gt;=800,"Excellent")))))</f>
        <v>Very Good</v>
      </c>
      <c r="T199" s="4">
        <v>0</v>
      </c>
      <c r="U199" s="2"/>
      <c r="V199" s="2"/>
    </row>
    <row r="200" spans="1:22" x14ac:dyDescent="0.25">
      <c r="A200" s="2" t="s">
        <v>156</v>
      </c>
      <c r="B200" s="2" t="s">
        <v>617</v>
      </c>
      <c r="C200" s="2" t="s">
        <v>1898</v>
      </c>
      <c r="D200" s="2" t="s">
        <v>1219</v>
      </c>
      <c r="E200">
        <v>22</v>
      </c>
      <c r="F200" s="2" t="s">
        <v>1242</v>
      </c>
      <c r="G200" s="2" t="s">
        <v>1249</v>
      </c>
      <c r="H200" s="2" t="s">
        <v>1253</v>
      </c>
      <c r="I200" s="1">
        <v>44473</v>
      </c>
      <c r="J200">
        <v>2021</v>
      </c>
      <c r="K200" s="2" t="s">
        <v>1899</v>
      </c>
      <c r="L200" s="4">
        <v>95897</v>
      </c>
      <c r="M200" s="2" t="s">
        <v>1245</v>
      </c>
      <c r="N200" s="2" t="s">
        <v>1224</v>
      </c>
      <c r="O200" s="2" t="s">
        <v>13</v>
      </c>
      <c r="P200" s="3">
        <v>44928</v>
      </c>
      <c r="Q200" s="4">
        <v>34693</v>
      </c>
      <c r="R200">
        <v>700</v>
      </c>
      <c r="S200" t="str">
        <f>IF(Linked[[#This Row],[Credit Score]]&lt;=579,"Poor",IF(Linked[[#This Row],[Credit Score]]&lt;=669,"Fair",IF(Linked[[#This Row],[Credit Score]]&lt;=739,"Good",IF(Linked[[#This Row],[Credit Score]]&lt;=799,"Very Good",IF(Linked[[#This Row],[Credit Score]]&gt;=800,"Excellent")))))</f>
        <v>Good</v>
      </c>
      <c r="T200" s="4">
        <v>0</v>
      </c>
      <c r="U200" s="2" t="s">
        <v>59</v>
      </c>
      <c r="V200" s="2"/>
    </row>
    <row r="201" spans="1:22" x14ac:dyDescent="0.25">
      <c r="A201" s="2" t="s">
        <v>156</v>
      </c>
      <c r="B201" s="2" t="s">
        <v>797</v>
      </c>
      <c r="C201" s="2" t="s">
        <v>1898</v>
      </c>
      <c r="D201" s="2" t="s">
        <v>1219</v>
      </c>
      <c r="E201">
        <v>22</v>
      </c>
      <c r="F201" s="2" t="s">
        <v>1242</v>
      </c>
      <c r="G201" s="2" t="s">
        <v>1249</v>
      </c>
      <c r="H201" s="2" t="s">
        <v>1253</v>
      </c>
      <c r="I201" s="1">
        <v>44473</v>
      </c>
      <c r="J201">
        <v>2021</v>
      </c>
      <c r="K201" s="2" t="s">
        <v>1899</v>
      </c>
      <c r="L201" s="4">
        <v>95897</v>
      </c>
      <c r="M201" s="2" t="s">
        <v>1245</v>
      </c>
      <c r="N201" s="2" t="s">
        <v>1224</v>
      </c>
      <c r="O201" s="2" t="s">
        <v>13</v>
      </c>
      <c r="P201" s="3">
        <v>44920</v>
      </c>
      <c r="Q201" s="4">
        <v>382865</v>
      </c>
      <c r="R201">
        <v>599</v>
      </c>
      <c r="S201" t="str">
        <f>IF(Linked[[#This Row],[Credit Score]]&lt;=579,"Poor",IF(Linked[[#This Row],[Credit Score]]&lt;=669,"Fair",IF(Linked[[#This Row],[Credit Score]]&lt;=739,"Good",IF(Linked[[#This Row],[Credit Score]]&lt;=799,"Very Good",IF(Linked[[#This Row],[Credit Score]]&gt;=800,"Excellent")))))</f>
        <v>Fair</v>
      </c>
      <c r="T201" s="4">
        <v>362521</v>
      </c>
      <c r="U201" s="2"/>
      <c r="V201" s="2"/>
    </row>
    <row r="202" spans="1:22" x14ac:dyDescent="0.25">
      <c r="A202" s="2" t="s">
        <v>158</v>
      </c>
      <c r="B202" s="2" t="s">
        <v>157</v>
      </c>
      <c r="C202" s="2" t="s">
        <v>2126</v>
      </c>
      <c r="D202" s="2" t="s">
        <v>1227</v>
      </c>
      <c r="E202">
        <v>33</v>
      </c>
      <c r="F202" s="2" t="s">
        <v>1220</v>
      </c>
      <c r="G202" s="2" t="s">
        <v>1221</v>
      </c>
      <c r="H202" s="2" t="s">
        <v>1259</v>
      </c>
      <c r="I202" s="1">
        <v>42587</v>
      </c>
      <c r="J202">
        <v>2016</v>
      </c>
      <c r="K202" s="2" t="s">
        <v>2127</v>
      </c>
      <c r="L202" s="4">
        <v>108397</v>
      </c>
      <c r="M202" s="2" t="s">
        <v>1245</v>
      </c>
      <c r="N202" s="2" t="s">
        <v>1224</v>
      </c>
      <c r="O202" s="2" t="s">
        <v>25</v>
      </c>
      <c r="P202" s="3">
        <v>45642</v>
      </c>
      <c r="Q202" s="4">
        <v>331607</v>
      </c>
      <c r="R202">
        <v>410</v>
      </c>
      <c r="S202" t="str">
        <f>IF(Linked[[#This Row],[Credit Score]]&lt;=579,"Poor",IF(Linked[[#This Row],[Credit Score]]&lt;=669,"Fair",IF(Linked[[#This Row],[Credit Score]]&lt;=739,"Good",IF(Linked[[#This Row],[Credit Score]]&lt;=799,"Very Good",IF(Linked[[#This Row],[Credit Score]]&gt;=800,"Excellent")))))</f>
        <v>Poor</v>
      </c>
      <c r="T202" s="4">
        <v>429606</v>
      </c>
      <c r="U202" s="2" t="s">
        <v>39</v>
      </c>
      <c r="V202" s="2"/>
    </row>
    <row r="203" spans="1:22" x14ac:dyDescent="0.25">
      <c r="A203" s="2" t="s">
        <v>160</v>
      </c>
      <c r="B203" s="2" t="s">
        <v>159</v>
      </c>
      <c r="C203" s="2" t="s">
        <v>2307</v>
      </c>
      <c r="D203" s="2" t="s">
        <v>1219</v>
      </c>
      <c r="E203">
        <v>26</v>
      </c>
      <c r="F203" s="2" t="s">
        <v>1242</v>
      </c>
      <c r="G203" s="2" t="s">
        <v>1249</v>
      </c>
      <c r="H203" s="2" t="s">
        <v>1235</v>
      </c>
      <c r="I203" s="1">
        <v>45443</v>
      </c>
      <c r="J203">
        <v>2024</v>
      </c>
      <c r="K203" s="2" t="s">
        <v>2308</v>
      </c>
      <c r="L203" s="4">
        <v>148335</v>
      </c>
      <c r="M203" s="2" t="s">
        <v>1223</v>
      </c>
      <c r="N203" s="2" t="s">
        <v>1224</v>
      </c>
      <c r="O203" s="2" t="s">
        <v>13</v>
      </c>
      <c r="P203" s="3">
        <v>43803</v>
      </c>
      <c r="Q203" s="4">
        <v>465048</v>
      </c>
      <c r="R203">
        <v>528</v>
      </c>
      <c r="S203" t="str">
        <f>IF(Linked[[#This Row],[Credit Score]]&lt;=579,"Poor",IF(Linked[[#This Row],[Credit Score]]&lt;=669,"Fair",IF(Linked[[#This Row],[Credit Score]]&lt;=739,"Good",IF(Linked[[#This Row],[Credit Score]]&lt;=799,"Very Good",IF(Linked[[#This Row],[Credit Score]]&gt;=800,"Excellent")))))</f>
        <v>Poor</v>
      </c>
      <c r="T203" s="4">
        <v>0</v>
      </c>
      <c r="U203" s="2"/>
      <c r="V203" s="2"/>
    </row>
    <row r="204" spans="1:22" x14ac:dyDescent="0.25">
      <c r="A204" s="2" t="s">
        <v>476</v>
      </c>
      <c r="B204" s="2" t="s">
        <v>475</v>
      </c>
      <c r="C204" s="2" t="s">
        <v>1415</v>
      </c>
      <c r="D204" s="2" t="s">
        <v>1219</v>
      </c>
      <c r="E204">
        <v>22</v>
      </c>
      <c r="F204" s="2" t="s">
        <v>1242</v>
      </c>
      <c r="G204" s="2" t="s">
        <v>1221</v>
      </c>
      <c r="H204" s="2" t="s">
        <v>1244</v>
      </c>
      <c r="I204" s="1">
        <v>44565</v>
      </c>
      <c r="J204">
        <v>2022</v>
      </c>
      <c r="K204" s="2" t="s">
        <v>1416</v>
      </c>
      <c r="L204" s="4">
        <v>132217</v>
      </c>
      <c r="M204" s="2" t="s">
        <v>1245</v>
      </c>
      <c r="N204" s="2" t="s">
        <v>1231</v>
      </c>
      <c r="O204" s="2" t="s">
        <v>32</v>
      </c>
      <c r="P204" s="3">
        <v>44322</v>
      </c>
      <c r="Q204" s="4">
        <v>174514</v>
      </c>
      <c r="R204">
        <v>795</v>
      </c>
      <c r="S204" t="str">
        <f>IF(Linked[[#This Row],[Credit Score]]&lt;=579,"Poor",IF(Linked[[#This Row],[Credit Score]]&lt;=669,"Fair",IF(Linked[[#This Row],[Credit Score]]&lt;=739,"Good",IF(Linked[[#This Row],[Credit Score]]&lt;=799,"Very Good",IF(Linked[[#This Row],[Credit Score]]&gt;=800,"Excellent")))))</f>
        <v>Very Good</v>
      </c>
      <c r="T204" s="4">
        <v>0</v>
      </c>
      <c r="U204" s="2"/>
      <c r="V204" s="2"/>
    </row>
    <row r="205" spans="1:22" x14ac:dyDescent="0.25">
      <c r="A205" s="2" t="s">
        <v>164</v>
      </c>
      <c r="B205" s="2" t="s">
        <v>163</v>
      </c>
      <c r="C205" s="2" t="s">
        <v>1994</v>
      </c>
      <c r="D205" s="2" t="s">
        <v>1227</v>
      </c>
      <c r="E205">
        <v>27</v>
      </c>
      <c r="F205" s="2" t="s">
        <v>1242</v>
      </c>
      <c r="G205" s="2" t="s">
        <v>1229</v>
      </c>
      <c r="H205" s="2" t="s">
        <v>1222</v>
      </c>
      <c r="I205" s="1">
        <v>45888</v>
      </c>
      <c r="J205">
        <v>2025</v>
      </c>
      <c r="K205" s="2" t="s">
        <v>1995</v>
      </c>
      <c r="L205" s="4">
        <v>143629</v>
      </c>
      <c r="M205" s="2" t="s">
        <v>1223</v>
      </c>
      <c r="N205" s="2" t="s">
        <v>1231</v>
      </c>
      <c r="O205" s="2" t="s">
        <v>10</v>
      </c>
      <c r="P205" s="3">
        <v>42365</v>
      </c>
      <c r="Q205" s="4">
        <v>242998</v>
      </c>
      <c r="R205">
        <v>455</v>
      </c>
      <c r="S205" t="str">
        <f>IF(Linked[[#This Row],[Credit Score]]&lt;=579,"Poor",IF(Linked[[#This Row],[Credit Score]]&lt;=669,"Fair",IF(Linked[[#This Row],[Credit Score]]&lt;=739,"Good",IF(Linked[[#This Row],[Credit Score]]&lt;=799,"Very Good",IF(Linked[[#This Row],[Credit Score]]&gt;=800,"Excellent")))))</f>
        <v>Poor</v>
      </c>
      <c r="T205" s="4">
        <v>0</v>
      </c>
      <c r="U205" s="2" t="s">
        <v>18</v>
      </c>
      <c r="V205" s="2"/>
    </row>
    <row r="206" spans="1:22" x14ac:dyDescent="0.25">
      <c r="A206" s="2" t="s">
        <v>166</v>
      </c>
      <c r="B206" s="2" t="s">
        <v>165</v>
      </c>
      <c r="C206" s="2" t="s">
        <v>1933</v>
      </c>
      <c r="D206" s="2" t="s">
        <v>1227</v>
      </c>
      <c r="E206">
        <v>59</v>
      </c>
      <c r="F206" s="2" t="s">
        <v>1228</v>
      </c>
      <c r="G206" s="2" t="s">
        <v>1243</v>
      </c>
      <c r="H206" s="2" t="s">
        <v>1259</v>
      </c>
      <c r="I206" s="1">
        <v>45185</v>
      </c>
      <c r="J206">
        <v>2023</v>
      </c>
      <c r="K206" s="2" t="s">
        <v>1934</v>
      </c>
      <c r="L206" s="4">
        <v>177361</v>
      </c>
      <c r="M206" s="2" t="s">
        <v>1223</v>
      </c>
      <c r="N206" s="2" t="s">
        <v>1224</v>
      </c>
      <c r="O206" s="2" t="s">
        <v>10</v>
      </c>
      <c r="P206" s="3">
        <v>43834</v>
      </c>
      <c r="Q206" s="4">
        <v>395807</v>
      </c>
      <c r="R206">
        <v>772</v>
      </c>
      <c r="S206" t="str">
        <f>IF(Linked[[#This Row],[Credit Score]]&lt;=579,"Poor",IF(Linked[[#This Row],[Credit Score]]&lt;=669,"Fair",IF(Linked[[#This Row],[Credit Score]]&lt;=739,"Good",IF(Linked[[#This Row],[Credit Score]]&lt;=799,"Very Good",IF(Linked[[#This Row],[Credit Score]]&gt;=800,"Excellent")))))</f>
        <v>Very Good</v>
      </c>
      <c r="T206" s="4">
        <v>0</v>
      </c>
      <c r="U206" s="2" t="s">
        <v>39</v>
      </c>
      <c r="V206" s="2"/>
    </row>
    <row r="207" spans="1:22" x14ac:dyDescent="0.25">
      <c r="A207" s="2" t="s">
        <v>373</v>
      </c>
      <c r="B207" s="2" t="s">
        <v>372</v>
      </c>
      <c r="C207" s="2" t="s">
        <v>1420</v>
      </c>
      <c r="D207" s="2" t="s">
        <v>1219</v>
      </c>
      <c r="E207">
        <v>21</v>
      </c>
      <c r="F207" s="2" t="s">
        <v>1242</v>
      </c>
      <c r="G207" s="2" t="s">
        <v>1243</v>
      </c>
      <c r="H207" s="2" t="s">
        <v>1259</v>
      </c>
      <c r="I207" s="1">
        <v>45011</v>
      </c>
      <c r="J207">
        <v>2023</v>
      </c>
      <c r="K207" s="2" t="s">
        <v>1421</v>
      </c>
      <c r="L207" s="4">
        <v>126532</v>
      </c>
      <c r="M207" s="2" t="s">
        <v>1245</v>
      </c>
      <c r="N207" s="2" t="s">
        <v>1224</v>
      </c>
      <c r="O207" s="2" t="s">
        <v>10</v>
      </c>
      <c r="P207" s="3">
        <v>42841</v>
      </c>
      <c r="Q207" s="4">
        <v>245017</v>
      </c>
      <c r="R207">
        <v>667</v>
      </c>
      <c r="S207" t="str">
        <f>IF(Linked[[#This Row],[Credit Score]]&lt;=579,"Poor",IF(Linked[[#This Row],[Credit Score]]&lt;=669,"Fair",IF(Linked[[#This Row],[Credit Score]]&lt;=739,"Good",IF(Linked[[#This Row],[Credit Score]]&lt;=799,"Very Good",IF(Linked[[#This Row],[Credit Score]]&gt;=800,"Excellent")))))</f>
        <v>Fair</v>
      </c>
      <c r="T207" s="4">
        <v>0</v>
      </c>
      <c r="U207" s="2"/>
      <c r="V207" s="2"/>
    </row>
    <row r="208" spans="1:22" x14ac:dyDescent="0.25">
      <c r="A208" s="2" t="s">
        <v>168</v>
      </c>
      <c r="B208" s="2" t="s">
        <v>167</v>
      </c>
      <c r="C208" s="2" t="s">
        <v>2148</v>
      </c>
      <c r="D208" s="2" t="s">
        <v>1227</v>
      </c>
      <c r="E208">
        <v>25</v>
      </c>
      <c r="F208" s="2" t="s">
        <v>1242</v>
      </c>
      <c r="G208" s="2" t="s">
        <v>1229</v>
      </c>
      <c r="H208" s="2" t="s">
        <v>1259</v>
      </c>
      <c r="I208" s="1">
        <v>42565</v>
      </c>
      <c r="J208">
        <v>2016</v>
      </c>
      <c r="K208" s="2" t="s">
        <v>1316</v>
      </c>
      <c r="L208" s="4">
        <v>198136</v>
      </c>
      <c r="M208" s="2" t="s">
        <v>1223</v>
      </c>
      <c r="N208" s="2" t="s">
        <v>1231</v>
      </c>
      <c r="O208" s="2" t="s">
        <v>32</v>
      </c>
      <c r="P208" s="3">
        <v>42626</v>
      </c>
      <c r="Q208" s="4">
        <v>241503</v>
      </c>
      <c r="R208">
        <v>571</v>
      </c>
      <c r="S208" t="str">
        <f>IF(Linked[[#This Row],[Credit Score]]&lt;=579,"Poor",IF(Linked[[#This Row],[Credit Score]]&lt;=669,"Fair",IF(Linked[[#This Row],[Credit Score]]&lt;=739,"Good",IF(Linked[[#This Row],[Credit Score]]&lt;=799,"Very Good",IF(Linked[[#This Row],[Credit Score]]&gt;=800,"Excellent")))))</f>
        <v>Poor</v>
      </c>
      <c r="T208" s="4">
        <v>111379</v>
      </c>
      <c r="U208" s="2" t="s">
        <v>39</v>
      </c>
      <c r="V208" s="2"/>
    </row>
    <row r="209" spans="1:22" x14ac:dyDescent="0.25">
      <c r="A209" s="2" t="s">
        <v>168</v>
      </c>
      <c r="B209" s="2" t="s">
        <v>341</v>
      </c>
      <c r="C209" s="2" t="s">
        <v>2148</v>
      </c>
      <c r="D209" s="2" t="s">
        <v>1227</v>
      </c>
      <c r="E209">
        <v>25</v>
      </c>
      <c r="F209" s="2" t="s">
        <v>1242</v>
      </c>
      <c r="G209" s="2" t="s">
        <v>1229</v>
      </c>
      <c r="H209" s="2" t="s">
        <v>1259</v>
      </c>
      <c r="I209" s="1">
        <v>42565</v>
      </c>
      <c r="J209">
        <v>2016</v>
      </c>
      <c r="K209" s="2" t="s">
        <v>1316</v>
      </c>
      <c r="L209" s="4">
        <v>198136</v>
      </c>
      <c r="M209" s="2" t="s">
        <v>1223</v>
      </c>
      <c r="N209" s="2" t="s">
        <v>1231</v>
      </c>
      <c r="O209" s="2" t="s">
        <v>13</v>
      </c>
      <c r="P209" s="3">
        <v>43597</v>
      </c>
      <c r="Q209" s="4">
        <v>484273</v>
      </c>
      <c r="R209">
        <v>510</v>
      </c>
      <c r="S209" t="str">
        <f>IF(Linked[[#This Row],[Credit Score]]&lt;=579,"Poor",IF(Linked[[#This Row],[Credit Score]]&lt;=669,"Fair",IF(Linked[[#This Row],[Credit Score]]&lt;=739,"Good",IF(Linked[[#This Row],[Credit Score]]&lt;=799,"Very Good",IF(Linked[[#This Row],[Credit Score]]&gt;=800,"Excellent")))))</f>
        <v>Poor</v>
      </c>
      <c r="T209" s="4">
        <v>45870</v>
      </c>
      <c r="U209" s="2"/>
      <c r="V209" s="2"/>
    </row>
    <row r="210" spans="1:22" x14ac:dyDescent="0.25">
      <c r="A210" s="2" t="s">
        <v>333</v>
      </c>
      <c r="B210" s="2" t="s">
        <v>332</v>
      </c>
      <c r="C210" s="2" t="s">
        <v>1422</v>
      </c>
      <c r="D210" s="2" t="s">
        <v>1227</v>
      </c>
      <c r="E210">
        <v>23</v>
      </c>
      <c r="F210" s="2" t="s">
        <v>1242</v>
      </c>
      <c r="G210" s="2" t="s">
        <v>1243</v>
      </c>
      <c r="H210" s="2" t="s">
        <v>1230</v>
      </c>
      <c r="I210" s="1">
        <v>45791</v>
      </c>
      <c r="J210">
        <v>2025</v>
      </c>
      <c r="K210" s="2" t="s">
        <v>1423</v>
      </c>
      <c r="L210" s="4">
        <v>146267</v>
      </c>
      <c r="M210" s="2" t="s">
        <v>1223</v>
      </c>
      <c r="N210" s="2" t="s">
        <v>1236</v>
      </c>
      <c r="O210" s="2" t="s">
        <v>10</v>
      </c>
      <c r="P210" s="3">
        <v>43992</v>
      </c>
      <c r="Q210" s="4">
        <v>100546</v>
      </c>
      <c r="R210">
        <v>809</v>
      </c>
      <c r="S210" t="str">
        <f>IF(Linked[[#This Row],[Credit Score]]&lt;=579,"Poor",IF(Linked[[#This Row],[Credit Score]]&lt;=669,"Fair",IF(Linked[[#This Row],[Credit Score]]&lt;=739,"Good",IF(Linked[[#This Row],[Credit Score]]&lt;=799,"Very Good",IF(Linked[[#This Row],[Credit Score]]&gt;=800,"Excellent")))))</f>
        <v>Excellent</v>
      </c>
      <c r="T210" s="4">
        <v>0</v>
      </c>
      <c r="U210" s="2"/>
      <c r="V210" s="2"/>
    </row>
    <row r="211" spans="1:22" x14ac:dyDescent="0.25">
      <c r="A211" s="2" t="s">
        <v>170</v>
      </c>
      <c r="B211" s="2" t="s">
        <v>169</v>
      </c>
      <c r="C211" s="2" t="s">
        <v>2242</v>
      </c>
      <c r="D211" s="2" t="s">
        <v>1219</v>
      </c>
      <c r="E211">
        <v>39</v>
      </c>
      <c r="F211" s="2" t="s">
        <v>1220</v>
      </c>
      <c r="G211" s="2" t="s">
        <v>1243</v>
      </c>
      <c r="H211" s="2" t="s">
        <v>1222</v>
      </c>
      <c r="I211" s="1">
        <v>45319</v>
      </c>
      <c r="J211">
        <v>2024</v>
      </c>
      <c r="K211" s="2" t="s">
        <v>2243</v>
      </c>
      <c r="L211" s="4">
        <v>178492</v>
      </c>
      <c r="M211" s="2" t="s">
        <v>1223</v>
      </c>
      <c r="N211" s="2" t="s">
        <v>1224</v>
      </c>
      <c r="O211" s="2" t="s">
        <v>10</v>
      </c>
      <c r="P211" s="3">
        <v>43147</v>
      </c>
      <c r="Q211" s="4">
        <v>441732</v>
      </c>
      <c r="R211">
        <v>301</v>
      </c>
      <c r="S211" t="str">
        <f>IF(Linked[[#This Row],[Credit Score]]&lt;=579,"Poor",IF(Linked[[#This Row],[Credit Score]]&lt;=669,"Fair",IF(Linked[[#This Row],[Credit Score]]&lt;=739,"Good",IF(Linked[[#This Row],[Credit Score]]&lt;=799,"Very Good",IF(Linked[[#This Row],[Credit Score]]&gt;=800,"Excellent")))))</f>
        <v>Poor</v>
      </c>
      <c r="T211" s="4">
        <v>231905</v>
      </c>
      <c r="U211" s="2" t="s">
        <v>39</v>
      </c>
      <c r="V211" s="2"/>
    </row>
    <row r="212" spans="1:22" x14ac:dyDescent="0.25">
      <c r="A212" s="2" t="s">
        <v>170</v>
      </c>
      <c r="B212" s="2" t="s">
        <v>569</v>
      </c>
      <c r="C212" s="2" t="s">
        <v>2242</v>
      </c>
      <c r="D212" s="2" t="s">
        <v>1219</v>
      </c>
      <c r="E212">
        <v>39</v>
      </c>
      <c r="F212" s="2" t="s">
        <v>1220</v>
      </c>
      <c r="G212" s="2" t="s">
        <v>1243</v>
      </c>
      <c r="H212" s="2" t="s">
        <v>1222</v>
      </c>
      <c r="I212" s="1">
        <v>45319</v>
      </c>
      <c r="J212">
        <v>2024</v>
      </c>
      <c r="K212" s="2" t="s">
        <v>2243</v>
      </c>
      <c r="L212" s="4">
        <v>178492</v>
      </c>
      <c r="M212" s="2" t="s">
        <v>1223</v>
      </c>
      <c r="N212" s="2" t="s">
        <v>1224</v>
      </c>
      <c r="O212" s="2" t="s">
        <v>10</v>
      </c>
      <c r="P212" s="3">
        <v>45786</v>
      </c>
      <c r="Q212" s="4">
        <v>131742</v>
      </c>
      <c r="R212">
        <v>586</v>
      </c>
      <c r="S212" t="str">
        <f>IF(Linked[[#This Row],[Credit Score]]&lt;=579,"Poor",IF(Linked[[#This Row],[Credit Score]]&lt;=669,"Fair",IF(Linked[[#This Row],[Credit Score]]&lt;=739,"Good",IF(Linked[[#This Row],[Credit Score]]&lt;=799,"Very Good",IF(Linked[[#This Row],[Credit Score]]&gt;=800,"Excellent")))))</f>
        <v>Fair</v>
      </c>
      <c r="T212" s="4">
        <v>0</v>
      </c>
      <c r="U212" s="2"/>
      <c r="V212" s="2"/>
    </row>
    <row r="213" spans="1:22" x14ac:dyDescent="0.25">
      <c r="A213" s="2" t="s">
        <v>221</v>
      </c>
      <c r="B213" s="2" t="s">
        <v>220</v>
      </c>
      <c r="C213" s="2" t="s">
        <v>1426</v>
      </c>
      <c r="D213" s="2" t="s">
        <v>1227</v>
      </c>
      <c r="E213">
        <v>49</v>
      </c>
      <c r="F213" s="2" t="s">
        <v>1228</v>
      </c>
      <c r="G213" s="2" t="s">
        <v>1249</v>
      </c>
      <c r="H213" s="2" t="s">
        <v>1239</v>
      </c>
      <c r="I213" s="1">
        <v>44288</v>
      </c>
      <c r="J213">
        <v>2021</v>
      </c>
      <c r="K213" s="2" t="s">
        <v>1427</v>
      </c>
      <c r="L213" s="4">
        <v>154092</v>
      </c>
      <c r="M213" s="2" t="s">
        <v>1223</v>
      </c>
      <c r="N213" s="2" t="s">
        <v>1236</v>
      </c>
      <c r="O213" s="2" t="s">
        <v>25</v>
      </c>
      <c r="P213" s="3">
        <v>44639</v>
      </c>
      <c r="Q213" s="4">
        <v>278466</v>
      </c>
      <c r="R213">
        <v>489</v>
      </c>
      <c r="S213" t="str">
        <f>IF(Linked[[#This Row],[Credit Score]]&lt;=579,"Poor",IF(Linked[[#This Row],[Credit Score]]&lt;=669,"Fair",IF(Linked[[#This Row],[Credit Score]]&lt;=739,"Good",IF(Linked[[#This Row],[Credit Score]]&lt;=799,"Very Good",IF(Linked[[#This Row],[Credit Score]]&gt;=800,"Excellent")))))</f>
        <v>Poor</v>
      </c>
      <c r="T213" s="4">
        <v>0</v>
      </c>
      <c r="U213" s="2"/>
      <c r="V213" s="2"/>
    </row>
    <row r="214" spans="1:22" x14ac:dyDescent="0.25">
      <c r="A214" s="2" t="s">
        <v>221</v>
      </c>
      <c r="B214" s="2" t="s">
        <v>275</v>
      </c>
      <c r="C214" s="2" t="s">
        <v>1426</v>
      </c>
      <c r="D214" s="2" t="s">
        <v>1227</v>
      </c>
      <c r="E214">
        <v>49</v>
      </c>
      <c r="F214" s="2" t="s">
        <v>1228</v>
      </c>
      <c r="G214" s="2" t="s">
        <v>1249</v>
      </c>
      <c r="H214" s="2" t="s">
        <v>1239</v>
      </c>
      <c r="I214" s="1">
        <v>44288</v>
      </c>
      <c r="J214">
        <v>2021</v>
      </c>
      <c r="K214" s="2" t="s">
        <v>1427</v>
      </c>
      <c r="L214" s="4">
        <v>154092</v>
      </c>
      <c r="M214" s="2" t="s">
        <v>1223</v>
      </c>
      <c r="N214" s="2" t="s">
        <v>1236</v>
      </c>
      <c r="O214" s="2" t="s">
        <v>10</v>
      </c>
      <c r="P214" s="3">
        <v>45059</v>
      </c>
      <c r="Q214" s="4">
        <v>489887</v>
      </c>
      <c r="R214">
        <v>418</v>
      </c>
      <c r="S214" t="str">
        <f>IF(Linked[[#This Row],[Credit Score]]&lt;=579,"Poor",IF(Linked[[#This Row],[Credit Score]]&lt;=669,"Fair",IF(Linked[[#This Row],[Credit Score]]&lt;=739,"Good",IF(Linked[[#This Row],[Credit Score]]&lt;=799,"Very Good",IF(Linked[[#This Row],[Credit Score]]&gt;=800,"Excellent")))))</f>
        <v>Poor</v>
      </c>
      <c r="T214" s="4">
        <v>0</v>
      </c>
      <c r="U214" s="2"/>
      <c r="V214" s="2"/>
    </row>
    <row r="215" spans="1:22" x14ac:dyDescent="0.25">
      <c r="A215" s="2" t="s">
        <v>174</v>
      </c>
      <c r="B215" s="2" t="s">
        <v>173</v>
      </c>
      <c r="C215" s="2" t="s">
        <v>2116</v>
      </c>
      <c r="D215" s="2" t="s">
        <v>1227</v>
      </c>
      <c r="E215">
        <v>74</v>
      </c>
      <c r="F215" s="2" t="s">
        <v>1263</v>
      </c>
      <c r="G215" s="2" t="s">
        <v>1221</v>
      </c>
      <c r="H215" s="2" t="s">
        <v>1235</v>
      </c>
      <c r="I215" s="1">
        <v>45246</v>
      </c>
      <c r="J215">
        <v>2023</v>
      </c>
      <c r="K215" s="2" t="s">
        <v>2117</v>
      </c>
      <c r="L215" s="4">
        <v>178562</v>
      </c>
      <c r="M215" s="2" t="s">
        <v>1223</v>
      </c>
      <c r="N215" s="2" t="s">
        <v>1224</v>
      </c>
      <c r="O215" s="2" t="s">
        <v>10</v>
      </c>
      <c r="P215" s="3">
        <v>43642</v>
      </c>
      <c r="Q215" s="4">
        <v>62061</v>
      </c>
      <c r="R215">
        <v>585</v>
      </c>
      <c r="S215" t="str">
        <f>IF(Linked[[#This Row],[Credit Score]]&lt;=579,"Poor",IF(Linked[[#This Row],[Credit Score]]&lt;=669,"Fair",IF(Linked[[#This Row],[Credit Score]]&lt;=739,"Good",IF(Linked[[#This Row],[Credit Score]]&lt;=799,"Very Good",IF(Linked[[#This Row],[Credit Score]]&gt;=800,"Excellent")))))</f>
        <v>Fair</v>
      </c>
      <c r="T215" s="4">
        <v>0</v>
      </c>
      <c r="U215" s="2"/>
      <c r="V215" s="2"/>
    </row>
    <row r="216" spans="1:22" x14ac:dyDescent="0.25">
      <c r="A216" s="2" t="s">
        <v>174</v>
      </c>
      <c r="B216" s="2" t="s">
        <v>315</v>
      </c>
      <c r="C216" s="2" t="s">
        <v>2116</v>
      </c>
      <c r="D216" s="2" t="s">
        <v>1227</v>
      </c>
      <c r="E216">
        <v>74</v>
      </c>
      <c r="F216" s="2" t="s">
        <v>1263</v>
      </c>
      <c r="G216" s="2" t="s">
        <v>1221</v>
      </c>
      <c r="H216" s="2" t="s">
        <v>1235</v>
      </c>
      <c r="I216" s="1">
        <v>45246</v>
      </c>
      <c r="J216">
        <v>2023</v>
      </c>
      <c r="K216" s="2" t="s">
        <v>2117</v>
      </c>
      <c r="L216" s="4">
        <v>178562</v>
      </c>
      <c r="M216" s="2" t="s">
        <v>1223</v>
      </c>
      <c r="N216" s="2" t="s">
        <v>1224</v>
      </c>
      <c r="O216" s="2" t="s">
        <v>25</v>
      </c>
      <c r="P216" s="3">
        <v>45572</v>
      </c>
      <c r="Q216" s="4">
        <v>102811</v>
      </c>
      <c r="R216">
        <v>669</v>
      </c>
      <c r="S216" t="str">
        <f>IF(Linked[[#This Row],[Credit Score]]&lt;=579,"Poor",IF(Linked[[#This Row],[Credit Score]]&lt;=669,"Fair",IF(Linked[[#This Row],[Credit Score]]&lt;=739,"Good",IF(Linked[[#This Row],[Credit Score]]&lt;=799,"Very Good",IF(Linked[[#This Row],[Credit Score]]&gt;=800,"Excellent")))))</f>
        <v>Fair</v>
      </c>
      <c r="T216" s="4">
        <v>0</v>
      </c>
      <c r="U216" s="2" t="s">
        <v>18</v>
      </c>
      <c r="V216" s="2"/>
    </row>
    <row r="217" spans="1:22" x14ac:dyDescent="0.25">
      <c r="A217" s="2" t="s">
        <v>551</v>
      </c>
      <c r="B217" s="2" t="s">
        <v>550</v>
      </c>
      <c r="C217" s="2" t="s">
        <v>1428</v>
      </c>
      <c r="D217" s="2" t="s">
        <v>1219</v>
      </c>
      <c r="E217">
        <v>69</v>
      </c>
      <c r="F217" s="2" t="s">
        <v>1263</v>
      </c>
      <c r="G217" s="2" t="s">
        <v>1249</v>
      </c>
      <c r="H217" s="2" t="s">
        <v>1253</v>
      </c>
      <c r="I217" s="1">
        <v>43838</v>
      </c>
      <c r="J217">
        <v>2020</v>
      </c>
      <c r="K217" s="2" t="s">
        <v>1429</v>
      </c>
      <c r="L217" s="4">
        <v>61755</v>
      </c>
      <c r="M217" s="2" t="s">
        <v>1250</v>
      </c>
      <c r="N217" s="2" t="s">
        <v>1224</v>
      </c>
      <c r="O217" s="2" t="s">
        <v>25</v>
      </c>
      <c r="P217" s="3">
        <v>44537</v>
      </c>
      <c r="Q217" s="4">
        <v>392670</v>
      </c>
      <c r="R217">
        <v>463</v>
      </c>
      <c r="S217" t="str">
        <f>IF(Linked[[#This Row],[Credit Score]]&lt;=579,"Poor",IF(Linked[[#This Row],[Credit Score]]&lt;=669,"Fair",IF(Linked[[#This Row],[Credit Score]]&lt;=739,"Good",IF(Linked[[#This Row],[Credit Score]]&lt;=799,"Very Good",IF(Linked[[#This Row],[Credit Score]]&gt;=800,"Excellent")))))</f>
        <v>Poor</v>
      </c>
      <c r="T217" s="4">
        <v>0</v>
      </c>
      <c r="U217" s="2"/>
      <c r="V217" s="2"/>
    </row>
    <row r="218" spans="1:22" x14ac:dyDescent="0.25">
      <c r="A218" s="2" t="s">
        <v>369</v>
      </c>
      <c r="B218" s="2" t="s">
        <v>368</v>
      </c>
      <c r="C218" s="2" t="s">
        <v>1430</v>
      </c>
      <c r="D218" s="2" t="s">
        <v>1219</v>
      </c>
      <c r="E218">
        <v>47</v>
      </c>
      <c r="F218" s="2" t="s">
        <v>1228</v>
      </c>
      <c r="G218" s="2" t="s">
        <v>1221</v>
      </c>
      <c r="H218" s="2" t="s">
        <v>1253</v>
      </c>
      <c r="I218" s="1">
        <v>44285</v>
      </c>
      <c r="J218">
        <v>2021</v>
      </c>
      <c r="K218" s="2" t="s">
        <v>1431</v>
      </c>
      <c r="L218" s="4">
        <v>105956</v>
      </c>
      <c r="M218" s="2" t="s">
        <v>1245</v>
      </c>
      <c r="N218" s="2" t="s">
        <v>1224</v>
      </c>
      <c r="O218" s="2" t="s">
        <v>13</v>
      </c>
      <c r="P218" s="3">
        <v>43603</v>
      </c>
      <c r="Q218" s="4">
        <v>84607</v>
      </c>
      <c r="R218">
        <v>386</v>
      </c>
      <c r="S218" t="str">
        <f>IF(Linked[[#This Row],[Credit Score]]&lt;=579,"Poor",IF(Linked[[#This Row],[Credit Score]]&lt;=669,"Fair",IF(Linked[[#This Row],[Credit Score]]&lt;=739,"Good",IF(Linked[[#This Row],[Credit Score]]&lt;=799,"Very Good",IF(Linked[[#This Row],[Credit Score]]&gt;=800,"Excellent")))))</f>
        <v>Poor</v>
      </c>
      <c r="T218" s="4">
        <v>138501</v>
      </c>
      <c r="U218" s="2"/>
      <c r="V218" s="2"/>
    </row>
    <row r="219" spans="1:22" x14ac:dyDescent="0.25">
      <c r="A219" s="2" t="s">
        <v>369</v>
      </c>
      <c r="B219" s="2" t="s">
        <v>389</v>
      </c>
      <c r="C219" s="2" t="s">
        <v>1430</v>
      </c>
      <c r="D219" s="2" t="s">
        <v>1219</v>
      </c>
      <c r="E219">
        <v>47</v>
      </c>
      <c r="F219" s="2" t="s">
        <v>1228</v>
      </c>
      <c r="G219" s="2" t="s">
        <v>1221</v>
      </c>
      <c r="H219" s="2" t="s">
        <v>1253</v>
      </c>
      <c r="I219" s="1">
        <v>44285</v>
      </c>
      <c r="J219">
        <v>2021</v>
      </c>
      <c r="K219" s="2" t="s">
        <v>1431</v>
      </c>
      <c r="L219" s="4">
        <v>105956</v>
      </c>
      <c r="M219" s="2" t="s">
        <v>1245</v>
      </c>
      <c r="N219" s="2" t="s">
        <v>1224</v>
      </c>
      <c r="O219" s="2" t="s">
        <v>10</v>
      </c>
      <c r="P219" s="3">
        <v>45661</v>
      </c>
      <c r="Q219" s="4">
        <v>492336</v>
      </c>
      <c r="R219">
        <v>442</v>
      </c>
      <c r="S219" t="str">
        <f>IF(Linked[[#This Row],[Credit Score]]&lt;=579,"Poor",IF(Linked[[#This Row],[Credit Score]]&lt;=669,"Fair",IF(Linked[[#This Row],[Credit Score]]&lt;=739,"Good",IF(Linked[[#This Row],[Credit Score]]&lt;=799,"Very Good",IF(Linked[[#This Row],[Credit Score]]&gt;=800,"Excellent")))))</f>
        <v>Poor</v>
      </c>
      <c r="T219" s="4">
        <v>0</v>
      </c>
      <c r="U219" s="2"/>
      <c r="V219" s="2"/>
    </row>
    <row r="220" spans="1:22" x14ac:dyDescent="0.25">
      <c r="A220" s="2" t="s">
        <v>369</v>
      </c>
      <c r="B220" s="2" t="s">
        <v>430</v>
      </c>
      <c r="C220" s="2" t="s">
        <v>1430</v>
      </c>
      <c r="D220" s="2" t="s">
        <v>1219</v>
      </c>
      <c r="E220">
        <v>47</v>
      </c>
      <c r="F220" s="2" t="s">
        <v>1228</v>
      </c>
      <c r="G220" s="2" t="s">
        <v>1221</v>
      </c>
      <c r="H220" s="2" t="s">
        <v>1253</v>
      </c>
      <c r="I220" s="1">
        <v>44285</v>
      </c>
      <c r="J220">
        <v>2021</v>
      </c>
      <c r="K220" s="2" t="s">
        <v>1431</v>
      </c>
      <c r="L220" s="4">
        <v>105956</v>
      </c>
      <c r="M220" s="2" t="s">
        <v>1245</v>
      </c>
      <c r="N220" s="2" t="s">
        <v>1224</v>
      </c>
      <c r="O220" s="2" t="s">
        <v>10</v>
      </c>
      <c r="P220" s="3">
        <v>44692</v>
      </c>
      <c r="Q220" s="4">
        <v>321335</v>
      </c>
      <c r="R220">
        <v>742</v>
      </c>
      <c r="S220" t="str">
        <f>IF(Linked[[#This Row],[Credit Score]]&lt;=579,"Poor",IF(Linked[[#This Row],[Credit Score]]&lt;=669,"Fair",IF(Linked[[#This Row],[Credit Score]]&lt;=739,"Good",IF(Linked[[#This Row],[Credit Score]]&lt;=799,"Very Good",IF(Linked[[#This Row],[Credit Score]]&gt;=800,"Excellent")))))</f>
        <v>Very Good</v>
      </c>
      <c r="T220" s="4">
        <v>292307</v>
      </c>
      <c r="U220" s="2"/>
      <c r="V220" s="2"/>
    </row>
    <row r="221" spans="1:22" x14ac:dyDescent="0.25">
      <c r="A221" s="2" t="s">
        <v>338</v>
      </c>
      <c r="B221" s="2" t="s">
        <v>337</v>
      </c>
      <c r="C221" s="2" t="s">
        <v>1432</v>
      </c>
      <c r="D221" s="2" t="s">
        <v>1227</v>
      </c>
      <c r="E221">
        <v>64</v>
      </c>
      <c r="F221" s="2" t="s">
        <v>1263</v>
      </c>
      <c r="G221" s="2" t="s">
        <v>1249</v>
      </c>
      <c r="H221" s="2" t="s">
        <v>1239</v>
      </c>
      <c r="I221" s="1">
        <v>45811</v>
      </c>
      <c r="J221">
        <v>2025</v>
      </c>
      <c r="K221" s="2" t="s">
        <v>1433</v>
      </c>
      <c r="L221" s="4">
        <v>106988</v>
      </c>
      <c r="M221" s="2" t="s">
        <v>1245</v>
      </c>
      <c r="N221" s="2" t="s">
        <v>1224</v>
      </c>
      <c r="O221" s="2" t="s">
        <v>13</v>
      </c>
      <c r="P221" s="3">
        <v>43493</v>
      </c>
      <c r="Q221" s="4">
        <v>270784</v>
      </c>
      <c r="R221">
        <v>659</v>
      </c>
      <c r="S221" t="str">
        <f>IF(Linked[[#This Row],[Credit Score]]&lt;=579,"Poor",IF(Linked[[#This Row],[Credit Score]]&lt;=669,"Fair",IF(Linked[[#This Row],[Credit Score]]&lt;=739,"Good",IF(Linked[[#This Row],[Credit Score]]&lt;=799,"Very Good",IF(Linked[[#This Row],[Credit Score]]&gt;=800,"Excellent")))))</f>
        <v>Fair</v>
      </c>
      <c r="T221" s="4">
        <v>0</v>
      </c>
      <c r="U221" s="2"/>
      <c r="V221" s="2"/>
    </row>
    <row r="222" spans="1:22" x14ac:dyDescent="0.25">
      <c r="A222" s="2" t="s">
        <v>179</v>
      </c>
      <c r="B222" s="2" t="s">
        <v>178</v>
      </c>
      <c r="C222" s="2" t="s">
        <v>1809</v>
      </c>
      <c r="D222" s="2" t="s">
        <v>1219</v>
      </c>
      <c r="E222">
        <v>66</v>
      </c>
      <c r="F222" s="2" t="s">
        <v>1263</v>
      </c>
      <c r="G222" s="2" t="s">
        <v>1249</v>
      </c>
      <c r="H222" s="2" t="s">
        <v>1239</v>
      </c>
      <c r="I222" s="1">
        <v>43744</v>
      </c>
      <c r="J222">
        <v>2019</v>
      </c>
      <c r="K222" s="2" t="s">
        <v>1436</v>
      </c>
      <c r="L222" s="4">
        <v>122471</v>
      </c>
      <c r="M222" s="2" t="s">
        <v>1245</v>
      </c>
      <c r="N222" s="2" t="s">
        <v>1236</v>
      </c>
      <c r="O222" s="2" t="s">
        <v>32</v>
      </c>
      <c r="P222" s="3">
        <v>42693</v>
      </c>
      <c r="Q222" s="4">
        <v>81257</v>
      </c>
      <c r="R222">
        <v>537</v>
      </c>
      <c r="S222" t="str">
        <f>IF(Linked[[#This Row],[Credit Score]]&lt;=579,"Poor",IF(Linked[[#This Row],[Credit Score]]&lt;=669,"Fair",IF(Linked[[#This Row],[Credit Score]]&lt;=739,"Good",IF(Linked[[#This Row],[Credit Score]]&lt;=799,"Very Good",IF(Linked[[#This Row],[Credit Score]]&gt;=800,"Excellent")))))</f>
        <v>Poor</v>
      </c>
      <c r="T222" s="4">
        <v>0</v>
      </c>
      <c r="U222" s="2"/>
      <c r="V222" s="2"/>
    </row>
    <row r="223" spans="1:22" x14ac:dyDescent="0.25">
      <c r="A223" s="2" t="s">
        <v>525</v>
      </c>
      <c r="B223" s="2" t="s">
        <v>524</v>
      </c>
      <c r="C223" s="2" t="s">
        <v>1437</v>
      </c>
      <c r="D223" s="2" t="s">
        <v>1227</v>
      </c>
      <c r="E223">
        <v>72</v>
      </c>
      <c r="F223" s="2" t="s">
        <v>1263</v>
      </c>
      <c r="G223" s="2" t="s">
        <v>1249</v>
      </c>
      <c r="H223" s="2" t="s">
        <v>1222</v>
      </c>
      <c r="I223" s="1">
        <v>44205</v>
      </c>
      <c r="J223">
        <v>2021</v>
      </c>
      <c r="K223" s="2" t="s">
        <v>1438</v>
      </c>
      <c r="L223" s="4">
        <v>145991</v>
      </c>
      <c r="M223" s="2" t="s">
        <v>1223</v>
      </c>
      <c r="N223" s="2" t="s">
        <v>1224</v>
      </c>
      <c r="O223" s="2" t="s">
        <v>32</v>
      </c>
      <c r="P223" s="3">
        <v>43493</v>
      </c>
      <c r="Q223" s="4">
        <v>420162</v>
      </c>
      <c r="R223">
        <v>318</v>
      </c>
      <c r="S223" t="str">
        <f>IF(Linked[[#This Row],[Credit Score]]&lt;=579,"Poor",IF(Linked[[#This Row],[Credit Score]]&lt;=669,"Fair",IF(Linked[[#This Row],[Credit Score]]&lt;=739,"Good",IF(Linked[[#This Row],[Credit Score]]&lt;=799,"Very Good",IF(Linked[[#This Row],[Credit Score]]&gt;=800,"Excellent")))))</f>
        <v>Poor</v>
      </c>
      <c r="T223" s="4">
        <v>0</v>
      </c>
      <c r="U223" s="2"/>
      <c r="V223" s="2"/>
    </row>
    <row r="224" spans="1:22" x14ac:dyDescent="0.25">
      <c r="A224" s="2" t="s">
        <v>830</v>
      </c>
      <c r="B224" s="2" t="s">
        <v>829</v>
      </c>
      <c r="C224" s="2" t="s">
        <v>1441</v>
      </c>
      <c r="D224" s="2" t="s">
        <v>1227</v>
      </c>
      <c r="E224">
        <v>69</v>
      </c>
      <c r="F224" s="2" t="s">
        <v>1263</v>
      </c>
      <c r="G224" s="2" t="s">
        <v>1229</v>
      </c>
      <c r="H224" s="2" t="s">
        <v>1235</v>
      </c>
      <c r="I224" s="1">
        <v>44775</v>
      </c>
      <c r="J224">
        <v>2022</v>
      </c>
      <c r="K224" s="2" t="s">
        <v>1442</v>
      </c>
      <c r="L224" s="4">
        <v>135005</v>
      </c>
      <c r="M224" s="2" t="s">
        <v>1245</v>
      </c>
      <c r="N224" s="2" t="s">
        <v>1231</v>
      </c>
      <c r="O224" s="2" t="s">
        <v>10</v>
      </c>
      <c r="P224" s="3">
        <v>42796</v>
      </c>
      <c r="Q224" s="4">
        <v>299372</v>
      </c>
      <c r="R224">
        <v>315</v>
      </c>
      <c r="S224" t="str">
        <f>IF(Linked[[#This Row],[Credit Score]]&lt;=579,"Poor",IF(Linked[[#This Row],[Credit Score]]&lt;=669,"Fair",IF(Linked[[#This Row],[Credit Score]]&lt;=739,"Good",IF(Linked[[#This Row],[Credit Score]]&lt;=799,"Very Good",IF(Linked[[#This Row],[Credit Score]]&gt;=800,"Excellent")))))</f>
        <v>Poor</v>
      </c>
      <c r="T224" s="4">
        <v>0</v>
      </c>
      <c r="U224" s="2"/>
      <c r="V224" s="2"/>
    </row>
    <row r="225" spans="1:22" x14ac:dyDescent="0.25">
      <c r="A225" s="2" t="s">
        <v>480</v>
      </c>
      <c r="B225" s="2" t="s">
        <v>479</v>
      </c>
      <c r="C225" s="2" t="s">
        <v>1443</v>
      </c>
      <c r="D225" s="2" t="s">
        <v>1227</v>
      </c>
      <c r="E225">
        <v>33</v>
      </c>
      <c r="F225" s="2" t="s">
        <v>1220</v>
      </c>
      <c r="G225" s="2" t="s">
        <v>1243</v>
      </c>
      <c r="H225" s="2" t="s">
        <v>1230</v>
      </c>
      <c r="I225" s="1">
        <v>42531</v>
      </c>
      <c r="J225">
        <v>2016</v>
      </c>
      <c r="K225" s="2" t="s">
        <v>1444</v>
      </c>
      <c r="L225" s="4">
        <v>22396</v>
      </c>
      <c r="M225" s="2" t="s">
        <v>1250</v>
      </c>
      <c r="N225" s="2" t="s">
        <v>1224</v>
      </c>
      <c r="O225" s="2" t="s">
        <v>10</v>
      </c>
      <c r="P225" s="3">
        <v>43413</v>
      </c>
      <c r="Q225" s="4">
        <v>339679</v>
      </c>
      <c r="R225">
        <v>665</v>
      </c>
      <c r="S225" t="str">
        <f>IF(Linked[[#This Row],[Credit Score]]&lt;=579,"Poor",IF(Linked[[#This Row],[Credit Score]]&lt;=669,"Fair",IF(Linked[[#This Row],[Credit Score]]&lt;=739,"Good",IF(Linked[[#This Row],[Credit Score]]&lt;=799,"Very Good",IF(Linked[[#This Row],[Credit Score]]&gt;=800,"Excellent")))))</f>
        <v>Fair</v>
      </c>
      <c r="T225" s="4">
        <v>215387</v>
      </c>
      <c r="U225" s="2"/>
      <c r="V225" s="2"/>
    </row>
    <row r="226" spans="1:22" x14ac:dyDescent="0.25">
      <c r="A226" s="2" t="s">
        <v>186</v>
      </c>
      <c r="B226" s="2" t="s">
        <v>185</v>
      </c>
      <c r="C226" s="2" t="s">
        <v>1515</v>
      </c>
      <c r="D226" s="2" t="s">
        <v>1227</v>
      </c>
      <c r="E226">
        <v>39</v>
      </c>
      <c r="F226" s="2" t="s">
        <v>1220</v>
      </c>
      <c r="G226" s="2" t="s">
        <v>1221</v>
      </c>
      <c r="H226" s="2" t="s">
        <v>1244</v>
      </c>
      <c r="I226" s="1">
        <v>43891</v>
      </c>
      <c r="J226">
        <v>2020</v>
      </c>
      <c r="K226" s="2" t="s">
        <v>1516</v>
      </c>
      <c r="L226" s="4">
        <v>62534</v>
      </c>
      <c r="M226" s="2" t="s">
        <v>1250</v>
      </c>
      <c r="N226" s="2" t="s">
        <v>1224</v>
      </c>
      <c r="O226" s="2" t="s">
        <v>13</v>
      </c>
      <c r="P226" s="3">
        <v>45069</v>
      </c>
      <c r="Q226" s="4">
        <v>23408</v>
      </c>
      <c r="R226">
        <v>442</v>
      </c>
      <c r="S226" t="str">
        <f>IF(Linked[[#This Row],[Credit Score]]&lt;=579,"Poor",IF(Linked[[#This Row],[Credit Score]]&lt;=669,"Fair",IF(Linked[[#This Row],[Credit Score]]&lt;=739,"Good",IF(Linked[[#This Row],[Credit Score]]&lt;=799,"Very Good",IF(Linked[[#This Row],[Credit Score]]&gt;=800,"Excellent")))))</f>
        <v>Poor</v>
      </c>
      <c r="T226" s="4">
        <v>0</v>
      </c>
      <c r="U226" s="2"/>
      <c r="V226" s="2"/>
    </row>
    <row r="227" spans="1:22" x14ac:dyDescent="0.25">
      <c r="A227" s="2" t="s">
        <v>188</v>
      </c>
      <c r="B227" s="2" t="s">
        <v>187</v>
      </c>
      <c r="C227" s="2" t="s">
        <v>1744</v>
      </c>
      <c r="D227" s="2" t="s">
        <v>1227</v>
      </c>
      <c r="E227">
        <v>38</v>
      </c>
      <c r="F227" s="2" t="s">
        <v>1220</v>
      </c>
      <c r="G227" s="2" t="s">
        <v>1243</v>
      </c>
      <c r="H227" s="2" t="s">
        <v>1244</v>
      </c>
      <c r="I227" s="1">
        <v>44937</v>
      </c>
      <c r="J227">
        <v>2023</v>
      </c>
      <c r="K227" s="2" t="s">
        <v>1745</v>
      </c>
      <c r="L227" s="4">
        <v>159783</v>
      </c>
      <c r="M227" s="2" t="s">
        <v>1223</v>
      </c>
      <c r="N227" s="2" t="s">
        <v>1224</v>
      </c>
      <c r="O227" s="2" t="s">
        <v>13</v>
      </c>
      <c r="P227" s="3">
        <v>45287</v>
      </c>
      <c r="Q227" s="4">
        <v>124116</v>
      </c>
      <c r="R227">
        <v>500</v>
      </c>
      <c r="S227" t="str">
        <f>IF(Linked[[#This Row],[Credit Score]]&lt;=579,"Poor",IF(Linked[[#This Row],[Credit Score]]&lt;=669,"Fair",IF(Linked[[#This Row],[Credit Score]]&lt;=739,"Good",IF(Linked[[#This Row],[Credit Score]]&lt;=799,"Very Good",IF(Linked[[#This Row],[Credit Score]]&gt;=800,"Excellent")))))</f>
        <v>Poor</v>
      </c>
      <c r="T227" s="4">
        <v>0</v>
      </c>
      <c r="U227" s="2" t="s">
        <v>18</v>
      </c>
      <c r="V227" s="2"/>
    </row>
    <row r="228" spans="1:22" x14ac:dyDescent="0.25">
      <c r="A228" s="2" t="s">
        <v>190</v>
      </c>
      <c r="B228" s="2" t="s">
        <v>189</v>
      </c>
      <c r="C228" s="2" t="s">
        <v>1881</v>
      </c>
      <c r="D228" s="2" t="s">
        <v>1227</v>
      </c>
      <c r="E228">
        <v>56</v>
      </c>
      <c r="F228" s="2" t="s">
        <v>1228</v>
      </c>
      <c r="G228" s="2" t="s">
        <v>1249</v>
      </c>
      <c r="H228" s="2" t="s">
        <v>1244</v>
      </c>
      <c r="I228" s="1">
        <v>42510</v>
      </c>
      <c r="J228">
        <v>2016</v>
      </c>
      <c r="K228" s="2" t="s">
        <v>1882</v>
      </c>
      <c r="L228" s="4">
        <v>132755</v>
      </c>
      <c r="M228" s="2" t="s">
        <v>1245</v>
      </c>
      <c r="N228" s="2" t="s">
        <v>1224</v>
      </c>
      <c r="O228" s="2" t="s">
        <v>25</v>
      </c>
      <c r="P228" s="3">
        <v>43128</v>
      </c>
      <c r="Q228" s="4">
        <v>498492</v>
      </c>
      <c r="R228">
        <v>479</v>
      </c>
      <c r="S228" t="str">
        <f>IF(Linked[[#This Row],[Credit Score]]&lt;=579,"Poor",IF(Linked[[#This Row],[Credit Score]]&lt;=669,"Fair",IF(Linked[[#This Row],[Credit Score]]&lt;=739,"Good",IF(Linked[[#This Row],[Credit Score]]&lt;=799,"Very Good",IF(Linked[[#This Row],[Credit Score]]&gt;=800,"Excellent")))))</f>
        <v>Poor</v>
      </c>
      <c r="T228" s="4">
        <v>426175</v>
      </c>
      <c r="U228" s="2"/>
      <c r="V228" s="2"/>
    </row>
    <row r="229" spans="1:22" x14ac:dyDescent="0.25">
      <c r="A229" s="2" t="s">
        <v>192</v>
      </c>
      <c r="B229" s="2" t="s">
        <v>191</v>
      </c>
      <c r="C229" s="2" t="s">
        <v>2305</v>
      </c>
      <c r="D229" s="2" t="s">
        <v>1227</v>
      </c>
      <c r="E229">
        <v>31</v>
      </c>
      <c r="F229" s="2" t="s">
        <v>1220</v>
      </c>
      <c r="G229" s="2" t="s">
        <v>1229</v>
      </c>
      <c r="H229" s="2" t="s">
        <v>1230</v>
      </c>
      <c r="I229" s="1">
        <v>42561</v>
      </c>
      <c r="J229">
        <v>2016</v>
      </c>
      <c r="K229" s="2" t="s">
        <v>2306</v>
      </c>
      <c r="L229" s="4">
        <v>52556</v>
      </c>
      <c r="M229" s="2" t="s">
        <v>1250</v>
      </c>
      <c r="N229" s="2" t="s">
        <v>1231</v>
      </c>
      <c r="O229" s="2" t="s">
        <v>13</v>
      </c>
      <c r="P229" s="3">
        <v>45492</v>
      </c>
      <c r="Q229" s="4">
        <v>131208</v>
      </c>
      <c r="R229">
        <v>663</v>
      </c>
      <c r="S229" t="str">
        <f>IF(Linked[[#This Row],[Credit Score]]&lt;=579,"Poor",IF(Linked[[#This Row],[Credit Score]]&lt;=669,"Fair",IF(Linked[[#This Row],[Credit Score]]&lt;=739,"Good",IF(Linked[[#This Row],[Credit Score]]&lt;=799,"Very Good",IF(Linked[[#This Row],[Credit Score]]&gt;=800,"Excellent")))))</f>
        <v>Fair</v>
      </c>
      <c r="T229" s="4">
        <v>0</v>
      </c>
      <c r="U229" s="2"/>
      <c r="V229" s="2"/>
    </row>
    <row r="230" spans="1:22" x14ac:dyDescent="0.25">
      <c r="A230" s="2" t="s">
        <v>194</v>
      </c>
      <c r="B230" s="2" t="s">
        <v>193</v>
      </c>
      <c r="C230" s="2" t="s">
        <v>2144</v>
      </c>
      <c r="D230" s="2" t="s">
        <v>1227</v>
      </c>
      <c r="E230">
        <v>53</v>
      </c>
      <c r="F230" s="2" t="s">
        <v>1228</v>
      </c>
      <c r="G230" s="2" t="s">
        <v>1243</v>
      </c>
      <c r="H230" s="2" t="s">
        <v>1244</v>
      </c>
      <c r="I230" s="1">
        <v>42802</v>
      </c>
      <c r="J230">
        <v>2017</v>
      </c>
      <c r="K230" s="2" t="s">
        <v>2145</v>
      </c>
      <c r="L230" s="4">
        <v>118317</v>
      </c>
      <c r="M230" s="2" t="s">
        <v>1245</v>
      </c>
      <c r="N230" s="2" t="s">
        <v>1231</v>
      </c>
      <c r="O230" s="2" t="s">
        <v>25</v>
      </c>
      <c r="P230" s="3">
        <v>44472</v>
      </c>
      <c r="Q230" s="4">
        <v>17413</v>
      </c>
      <c r="R230">
        <v>778</v>
      </c>
      <c r="S230" t="str">
        <f>IF(Linked[[#This Row],[Credit Score]]&lt;=579,"Poor",IF(Linked[[#This Row],[Credit Score]]&lt;=669,"Fair",IF(Linked[[#This Row],[Credit Score]]&lt;=739,"Good",IF(Linked[[#This Row],[Credit Score]]&lt;=799,"Very Good",IF(Linked[[#This Row],[Credit Score]]&gt;=800,"Excellent")))))</f>
        <v>Very Good</v>
      </c>
      <c r="T230" s="4">
        <v>128076</v>
      </c>
      <c r="U230" s="2"/>
      <c r="V230" s="2"/>
    </row>
    <row r="231" spans="1:22" x14ac:dyDescent="0.25">
      <c r="A231" s="2" t="s">
        <v>194</v>
      </c>
      <c r="B231" s="2" t="s">
        <v>751</v>
      </c>
      <c r="C231" s="2" t="s">
        <v>2144</v>
      </c>
      <c r="D231" s="2" t="s">
        <v>1227</v>
      </c>
      <c r="E231">
        <v>53</v>
      </c>
      <c r="F231" s="2" t="s">
        <v>1228</v>
      </c>
      <c r="G231" s="2" t="s">
        <v>1243</v>
      </c>
      <c r="H231" s="2" t="s">
        <v>1244</v>
      </c>
      <c r="I231" s="1">
        <v>42802</v>
      </c>
      <c r="J231">
        <v>2017</v>
      </c>
      <c r="K231" s="2" t="s">
        <v>2145</v>
      </c>
      <c r="L231" s="4">
        <v>118317</v>
      </c>
      <c r="M231" s="2" t="s">
        <v>1245</v>
      </c>
      <c r="N231" s="2" t="s">
        <v>1231</v>
      </c>
      <c r="O231" s="2" t="s">
        <v>13</v>
      </c>
      <c r="P231" s="3">
        <v>42720</v>
      </c>
      <c r="Q231" s="4">
        <v>442361</v>
      </c>
      <c r="R231">
        <v>592</v>
      </c>
      <c r="S231" t="str">
        <f>IF(Linked[[#This Row],[Credit Score]]&lt;=579,"Poor",IF(Linked[[#This Row],[Credit Score]]&lt;=669,"Fair",IF(Linked[[#This Row],[Credit Score]]&lt;=739,"Good",IF(Linked[[#This Row],[Credit Score]]&lt;=799,"Very Good",IF(Linked[[#This Row],[Credit Score]]&gt;=800,"Excellent")))))</f>
        <v>Fair</v>
      </c>
      <c r="T231" s="4">
        <v>173733</v>
      </c>
      <c r="U231" s="2"/>
      <c r="V231" s="2"/>
    </row>
    <row r="232" spans="1:22" x14ac:dyDescent="0.25">
      <c r="A232" s="2" t="s">
        <v>511</v>
      </c>
      <c r="B232" s="2" t="s">
        <v>510</v>
      </c>
      <c r="C232" s="2" t="s">
        <v>1456</v>
      </c>
      <c r="D232" s="2" t="s">
        <v>1227</v>
      </c>
      <c r="E232">
        <v>36</v>
      </c>
      <c r="F232" s="2" t="s">
        <v>1220</v>
      </c>
      <c r="G232" s="2" t="s">
        <v>1229</v>
      </c>
      <c r="H232" s="2" t="s">
        <v>1253</v>
      </c>
      <c r="I232" s="1">
        <v>43091</v>
      </c>
      <c r="J232">
        <v>2017</v>
      </c>
      <c r="K232" s="2" t="s">
        <v>1389</v>
      </c>
      <c r="L232" s="4">
        <v>31303</v>
      </c>
      <c r="M232" s="2" t="s">
        <v>1250</v>
      </c>
      <c r="N232" s="2" t="s">
        <v>1224</v>
      </c>
      <c r="O232" s="2" t="s">
        <v>13</v>
      </c>
      <c r="P232" s="3">
        <v>45685</v>
      </c>
      <c r="Q232" s="4">
        <v>444972</v>
      </c>
      <c r="R232">
        <v>445</v>
      </c>
      <c r="S232" t="str">
        <f>IF(Linked[[#This Row],[Credit Score]]&lt;=579,"Poor",IF(Linked[[#This Row],[Credit Score]]&lt;=669,"Fair",IF(Linked[[#This Row],[Credit Score]]&lt;=739,"Good",IF(Linked[[#This Row],[Credit Score]]&lt;=799,"Very Good",IF(Linked[[#This Row],[Credit Score]]&gt;=800,"Excellent")))))</f>
        <v>Poor</v>
      </c>
      <c r="T232" s="4">
        <v>0</v>
      </c>
      <c r="U232" s="2"/>
      <c r="V232" s="2"/>
    </row>
    <row r="233" spans="1:22" x14ac:dyDescent="0.25">
      <c r="A233" s="2" t="s">
        <v>196</v>
      </c>
      <c r="B233" s="2" t="s">
        <v>195</v>
      </c>
      <c r="C233" s="2" t="s">
        <v>1521</v>
      </c>
      <c r="D233" s="2" t="s">
        <v>1227</v>
      </c>
      <c r="E233">
        <v>20</v>
      </c>
      <c r="F233" s="2" t="s">
        <v>1242</v>
      </c>
      <c r="G233" s="2" t="s">
        <v>1249</v>
      </c>
      <c r="H233" s="2" t="s">
        <v>1235</v>
      </c>
      <c r="I233" s="1">
        <v>43517</v>
      </c>
      <c r="J233">
        <v>2019</v>
      </c>
      <c r="K233" s="2" t="s">
        <v>1522</v>
      </c>
      <c r="L233" s="4">
        <v>146209</v>
      </c>
      <c r="M233" s="2" t="s">
        <v>1223</v>
      </c>
      <c r="N233" s="2" t="s">
        <v>1231</v>
      </c>
      <c r="O233" s="2" t="s">
        <v>25</v>
      </c>
      <c r="P233" s="3">
        <v>42587</v>
      </c>
      <c r="Q233" s="4">
        <v>113650</v>
      </c>
      <c r="R233">
        <v>770</v>
      </c>
      <c r="S233" t="str">
        <f>IF(Linked[[#This Row],[Credit Score]]&lt;=579,"Poor",IF(Linked[[#This Row],[Credit Score]]&lt;=669,"Fair",IF(Linked[[#This Row],[Credit Score]]&lt;=739,"Good",IF(Linked[[#This Row],[Credit Score]]&lt;=799,"Very Good",IF(Linked[[#This Row],[Credit Score]]&gt;=800,"Excellent")))))</f>
        <v>Very Good</v>
      </c>
      <c r="T233" s="4">
        <v>163177</v>
      </c>
      <c r="U233" s="2"/>
      <c r="V233" s="2"/>
    </row>
    <row r="234" spans="1:22" x14ac:dyDescent="0.25">
      <c r="A234" s="2" t="s">
        <v>196</v>
      </c>
      <c r="B234" s="2" t="s">
        <v>590</v>
      </c>
      <c r="C234" s="2" t="s">
        <v>1521</v>
      </c>
      <c r="D234" s="2" t="s">
        <v>1227</v>
      </c>
      <c r="E234">
        <v>20</v>
      </c>
      <c r="F234" s="2" t="s">
        <v>1242</v>
      </c>
      <c r="G234" s="2" t="s">
        <v>1249</v>
      </c>
      <c r="H234" s="2" t="s">
        <v>1235</v>
      </c>
      <c r="I234" s="1">
        <v>43517</v>
      </c>
      <c r="J234">
        <v>2019</v>
      </c>
      <c r="K234" s="2" t="s">
        <v>1522</v>
      </c>
      <c r="L234" s="4">
        <v>146209</v>
      </c>
      <c r="M234" s="2" t="s">
        <v>1223</v>
      </c>
      <c r="N234" s="2" t="s">
        <v>1231</v>
      </c>
      <c r="O234" s="2" t="s">
        <v>13</v>
      </c>
      <c r="P234" s="3">
        <v>45406</v>
      </c>
      <c r="Q234" s="4">
        <v>452413</v>
      </c>
      <c r="R234">
        <v>681</v>
      </c>
      <c r="S234" t="str">
        <f>IF(Linked[[#This Row],[Credit Score]]&lt;=579,"Poor",IF(Linked[[#This Row],[Credit Score]]&lt;=669,"Fair",IF(Linked[[#This Row],[Credit Score]]&lt;=739,"Good",IF(Linked[[#This Row],[Credit Score]]&lt;=799,"Very Good",IF(Linked[[#This Row],[Credit Score]]&gt;=800,"Excellent")))))</f>
        <v>Good</v>
      </c>
      <c r="T234" s="4">
        <v>0</v>
      </c>
      <c r="U234" s="2"/>
      <c r="V234" s="2"/>
    </row>
    <row r="235" spans="1:22" x14ac:dyDescent="0.25">
      <c r="A235" s="2" t="s">
        <v>196</v>
      </c>
      <c r="B235" s="2" t="s">
        <v>622</v>
      </c>
      <c r="C235" s="2" t="s">
        <v>1521</v>
      </c>
      <c r="D235" s="2" t="s">
        <v>1227</v>
      </c>
      <c r="E235">
        <v>20</v>
      </c>
      <c r="F235" s="2" t="s">
        <v>1242</v>
      </c>
      <c r="G235" s="2" t="s">
        <v>1249</v>
      </c>
      <c r="H235" s="2" t="s">
        <v>1235</v>
      </c>
      <c r="I235" s="1">
        <v>43517</v>
      </c>
      <c r="J235">
        <v>2019</v>
      </c>
      <c r="K235" s="2" t="s">
        <v>1522</v>
      </c>
      <c r="L235" s="4">
        <v>146209</v>
      </c>
      <c r="M235" s="2" t="s">
        <v>1223</v>
      </c>
      <c r="N235" s="2" t="s">
        <v>1231</v>
      </c>
      <c r="O235" s="2" t="s">
        <v>13</v>
      </c>
      <c r="P235" s="3">
        <v>43497</v>
      </c>
      <c r="Q235" s="4">
        <v>108944</v>
      </c>
      <c r="R235">
        <v>751</v>
      </c>
      <c r="S235" t="str">
        <f>IF(Linked[[#This Row],[Credit Score]]&lt;=579,"Poor",IF(Linked[[#This Row],[Credit Score]]&lt;=669,"Fair",IF(Linked[[#This Row],[Credit Score]]&lt;=739,"Good",IF(Linked[[#This Row],[Credit Score]]&lt;=799,"Very Good",IF(Linked[[#This Row],[Credit Score]]&gt;=800,"Excellent")))))</f>
        <v>Very Good</v>
      </c>
      <c r="T235" s="4">
        <v>63560</v>
      </c>
      <c r="U235" s="2"/>
      <c r="V235" s="2"/>
    </row>
    <row r="236" spans="1:22" x14ac:dyDescent="0.25">
      <c r="A236" s="2" t="s">
        <v>395</v>
      </c>
      <c r="B236" s="2" t="s">
        <v>394</v>
      </c>
      <c r="C236" s="2" t="s">
        <v>1457</v>
      </c>
      <c r="D236" s="2" t="s">
        <v>1227</v>
      </c>
      <c r="E236">
        <v>34</v>
      </c>
      <c r="F236" s="2" t="s">
        <v>1220</v>
      </c>
      <c r="G236" s="2" t="s">
        <v>1229</v>
      </c>
      <c r="H236" s="2" t="s">
        <v>1230</v>
      </c>
      <c r="I236" s="1">
        <v>45099</v>
      </c>
      <c r="J236">
        <v>2023</v>
      </c>
      <c r="K236" s="2" t="s">
        <v>1458</v>
      </c>
      <c r="L236" s="4">
        <v>181633</v>
      </c>
      <c r="M236" s="2" t="s">
        <v>1223</v>
      </c>
      <c r="N236" s="2" t="s">
        <v>1224</v>
      </c>
      <c r="O236" s="2" t="s">
        <v>10</v>
      </c>
      <c r="P236" s="3">
        <v>44653</v>
      </c>
      <c r="Q236" s="4">
        <v>192</v>
      </c>
      <c r="R236">
        <v>324</v>
      </c>
      <c r="S236" t="str">
        <f>IF(Linked[[#This Row],[Credit Score]]&lt;=579,"Poor",IF(Linked[[#This Row],[Credit Score]]&lt;=669,"Fair",IF(Linked[[#This Row],[Credit Score]]&lt;=739,"Good",IF(Linked[[#This Row],[Credit Score]]&lt;=799,"Very Good",IF(Linked[[#This Row],[Credit Score]]&gt;=800,"Excellent")))))</f>
        <v>Poor</v>
      </c>
      <c r="T236" s="4">
        <v>0</v>
      </c>
      <c r="U236" s="2"/>
      <c r="V236" s="2"/>
    </row>
    <row r="237" spans="1:22" x14ac:dyDescent="0.25">
      <c r="A237" s="2" t="s">
        <v>395</v>
      </c>
      <c r="B237" s="2" t="s">
        <v>401</v>
      </c>
      <c r="C237" s="2" t="s">
        <v>1457</v>
      </c>
      <c r="D237" s="2" t="s">
        <v>1227</v>
      </c>
      <c r="E237">
        <v>34</v>
      </c>
      <c r="F237" s="2" t="s">
        <v>1220</v>
      </c>
      <c r="G237" s="2" t="s">
        <v>1229</v>
      </c>
      <c r="H237" s="2" t="s">
        <v>1230</v>
      </c>
      <c r="I237" s="1">
        <v>45099</v>
      </c>
      <c r="J237">
        <v>2023</v>
      </c>
      <c r="K237" s="2" t="s">
        <v>1458</v>
      </c>
      <c r="L237" s="4">
        <v>181633</v>
      </c>
      <c r="M237" s="2" t="s">
        <v>1223</v>
      </c>
      <c r="N237" s="2" t="s">
        <v>1224</v>
      </c>
      <c r="O237" s="2" t="s">
        <v>13</v>
      </c>
      <c r="P237" s="3">
        <v>45614</v>
      </c>
      <c r="Q237" s="4">
        <v>39082</v>
      </c>
      <c r="R237">
        <v>602</v>
      </c>
      <c r="S237" t="str">
        <f>IF(Linked[[#This Row],[Credit Score]]&lt;=579,"Poor",IF(Linked[[#This Row],[Credit Score]]&lt;=669,"Fair",IF(Linked[[#This Row],[Credit Score]]&lt;=739,"Good",IF(Linked[[#This Row],[Credit Score]]&lt;=799,"Very Good",IF(Linked[[#This Row],[Credit Score]]&gt;=800,"Excellent")))))</f>
        <v>Fair</v>
      </c>
      <c r="T237" s="4">
        <v>0</v>
      </c>
      <c r="U237" s="2"/>
      <c r="V237" s="2"/>
    </row>
    <row r="238" spans="1:22" x14ac:dyDescent="0.25">
      <c r="A238" s="2" t="s">
        <v>395</v>
      </c>
      <c r="B238" s="2" t="s">
        <v>419</v>
      </c>
      <c r="C238" s="2" t="s">
        <v>1457</v>
      </c>
      <c r="D238" s="2" t="s">
        <v>1227</v>
      </c>
      <c r="E238">
        <v>34</v>
      </c>
      <c r="F238" s="2" t="s">
        <v>1220</v>
      </c>
      <c r="G238" s="2" t="s">
        <v>1229</v>
      </c>
      <c r="H238" s="2" t="s">
        <v>1230</v>
      </c>
      <c r="I238" s="1">
        <v>45099</v>
      </c>
      <c r="J238">
        <v>2023</v>
      </c>
      <c r="K238" s="2" t="s">
        <v>1458</v>
      </c>
      <c r="L238" s="4">
        <v>181633</v>
      </c>
      <c r="M238" s="2" t="s">
        <v>1223</v>
      </c>
      <c r="N238" s="2" t="s">
        <v>1224</v>
      </c>
      <c r="O238" s="2" t="s">
        <v>25</v>
      </c>
      <c r="P238" s="3">
        <v>45105</v>
      </c>
      <c r="Q238" s="4">
        <v>402575</v>
      </c>
      <c r="R238">
        <v>491</v>
      </c>
      <c r="S238" t="str">
        <f>IF(Linked[[#This Row],[Credit Score]]&lt;=579,"Poor",IF(Linked[[#This Row],[Credit Score]]&lt;=669,"Fair",IF(Linked[[#This Row],[Credit Score]]&lt;=739,"Good",IF(Linked[[#This Row],[Credit Score]]&lt;=799,"Very Good",IF(Linked[[#This Row],[Credit Score]]&gt;=800,"Excellent")))))</f>
        <v>Poor</v>
      </c>
      <c r="T238" s="4">
        <v>0</v>
      </c>
      <c r="U238" s="2" t="s">
        <v>18</v>
      </c>
      <c r="V238" s="2"/>
    </row>
    <row r="239" spans="1:22" x14ac:dyDescent="0.25">
      <c r="A239" s="2" t="s">
        <v>198</v>
      </c>
      <c r="B239" s="2" t="s">
        <v>197</v>
      </c>
      <c r="C239" s="2" t="s">
        <v>1848</v>
      </c>
      <c r="D239" s="2" t="s">
        <v>1227</v>
      </c>
      <c r="E239">
        <v>36</v>
      </c>
      <c r="F239" s="2" t="s">
        <v>1220</v>
      </c>
      <c r="G239" s="2" t="s">
        <v>1243</v>
      </c>
      <c r="H239" s="2" t="s">
        <v>1259</v>
      </c>
      <c r="I239" s="1">
        <v>42882</v>
      </c>
      <c r="J239">
        <v>2017</v>
      </c>
      <c r="K239" s="2" t="s">
        <v>1849</v>
      </c>
      <c r="L239" s="4">
        <v>59499</v>
      </c>
      <c r="M239" s="2" t="s">
        <v>1250</v>
      </c>
      <c r="N239" s="2" t="s">
        <v>1231</v>
      </c>
      <c r="O239" s="2" t="s">
        <v>13</v>
      </c>
      <c r="P239" s="3">
        <v>43608</v>
      </c>
      <c r="Q239" s="4">
        <v>59500</v>
      </c>
      <c r="R239">
        <v>683</v>
      </c>
      <c r="S239" t="str">
        <f>IF(Linked[[#This Row],[Credit Score]]&lt;=579,"Poor",IF(Linked[[#This Row],[Credit Score]]&lt;=669,"Fair",IF(Linked[[#This Row],[Credit Score]]&lt;=739,"Good",IF(Linked[[#This Row],[Credit Score]]&lt;=799,"Very Good",IF(Linked[[#This Row],[Credit Score]]&gt;=800,"Excellent")))))</f>
        <v>Good</v>
      </c>
      <c r="T239" s="4">
        <v>0</v>
      </c>
      <c r="U239" s="2"/>
      <c r="V239" s="2"/>
    </row>
    <row r="240" spans="1:22" x14ac:dyDescent="0.25">
      <c r="A240" s="2" t="s">
        <v>446</v>
      </c>
      <c r="B240" s="2" t="s">
        <v>445</v>
      </c>
      <c r="C240" s="2" t="s">
        <v>1459</v>
      </c>
      <c r="D240" s="2" t="s">
        <v>1227</v>
      </c>
      <c r="E240">
        <v>73</v>
      </c>
      <c r="F240" s="2" t="s">
        <v>1263</v>
      </c>
      <c r="G240" s="2" t="s">
        <v>1243</v>
      </c>
      <c r="H240" s="2" t="s">
        <v>1253</v>
      </c>
      <c r="I240" s="1">
        <v>44154</v>
      </c>
      <c r="J240">
        <v>2020</v>
      </c>
      <c r="K240" s="2" t="s">
        <v>1460</v>
      </c>
      <c r="L240" s="4">
        <v>91719</v>
      </c>
      <c r="M240" s="2" t="s">
        <v>1245</v>
      </c>
      <c r="N240" s="2" t="s">
        <v>1224</v>
      </c>
      <c r="O240" s="2" t="s">
        <v>32</v>
      </c>
      <c r="P240" s="3">
        <v>44104</v>
      </c>
      <c r="Q240" s="4">
        <v>43954</v>
      </c>
      <c r="R240">
        <v>737</v>
      </c>
      <c r="S240" t="str">
        <f>IF(Linked[[#This Row],[Credit Score]]&lt;=579,"Poor",IF(Linked[[#This Row],[Credit Score]]&lt;=669,"Fair",IF(Linked[[#This Row],[Credit Score]]&lt;=739,"Good",IF(Linked[[#This Row],[Credit Score]]&lt;=799,"Very Good",IF(Linked[[#This Row],[Credit Score]]&gt;=800,"Excellent")))))</f>
        <v>Good</v>
      </c>
      <c r="T240" s="4">
        <v>0</v>
      </c>
      <c r="U240" s="2"/>
      <c r="V240" s="2"/>
    </row>
    <row r="241" spans="1:22" x14ac:dyDescent="0.25">
      <c r="A241" s="2" t="s">
        <v>201</v>
      </c>
      <c r="B241" s="2" t="s">
        <v>200</v>
      </c>
      <c r="C241" s="2" t="s">
        <v>1461</v>
      </c>
      <c r="D241" s="2" t="s">
        <v>1219</v>
      </c>
      <c r="E241">
        <v>36</v>
      </c>
      <c r="F241" s="2" t="s">
        <v>1220</v>
      </c>
      <c r="G241" s="2" t="s">
        <v>1229</v>
      </c>
      <c r="H241" s="2" t="s">
        <v>1253</v>
      </c>
      <c r="I241" s="1">
        <v>44942</v>
      </c>
      <c r="J241">
        <v>2023</v>
      </c>
      <c r="K241" s="2" t="s">
        <v>1462</v>
      </c>
      <c r="L241" s="4">
        <v>119616</v>
      </c>
      <c r="M241" s="2" t="s">
        <v>1245</v>
      </c>
      <c r="N241" s="2" t="s">
        <v>1231</v>
      </c>
      <c r="O241" s="2" t="s">
        <v>10</v>
      </c>
      <c r="P241" s="3">
        <v>44544</v>
      </c>
      <c r="Q241" s="4">
        <v>56358</v>
      </c>
      <c r="R241">
        <v>607</v>
      </c>
      <c r="S241" t="str">
        <f>IF(Linked[[#This Row],[Credit Score]]&lt;=579,"Poor",IF(Linked[[#This Row],[Credit Score]]&lt;=669,"Fair",IF(Linked[[#This Row],[Credit Score]]&lt;=739,"Good",IF(Linked[[#This Row],[Credit Score]]&lt;=799,"Very Good",IF(Linked[[#This Row],[Credit Score]]&gt;=800,"Excellent")))))</f>
        <v>Fair</v>
      </c>
      <c r="T241" s="4">
        <v>0</v>
      </c>
      <c r="U241" s="2"/>
      <c r="V241" s="2"/>
    </row>
    <row r="242" spans="1:22" x14ac:dyDescent="0.25">
      <c r="A242" s="2" t="s">
        <v>593</v>
      </c>
      <c r="B242" s="2" t="s">
        <v>592</v>
      </c>
      <c r="C242" s="2" t="s">
        <v>1463</v>
      </c>
      <c r="D242" s="2" t="s">
        <v>1219</v>
      </c>
      <c r="E242">
        <v>45</v>
      </c>
      <c r="F242" s="2" t="s">
        <v>1228</v>
      </c>
      <c r="G242" s="2" t="s">
        <v>1229</v>
      </c>
      <c r="H242" s="2" t="s">
        <v>1230</v>
      </c>
      <c r="I242" s="1">
        <v>44018</v>
      </c>
      <c r="J242">
        <v>2020</v>
      </c>
      <c r="K242" s="2" t="s">
        <v>1464</v>
      </c>
      <c r="L242" s="4">
        <v>144165</v>
      </c>
      <c r="M242" s="2" t="s">
        <v>1223</v>
      </c>
      <c r="N242" s="2" t="s">
        <v>1224</v>
      </c>
      <c r="O242" s="2" t="s">
        <v>13</v>
      </c>
      <c r="P242" s="3">
        <v>43599</v>
      </c>
      <c r="Q242" s="4">
        <v>452063</v>
      </c>
      <c r="R242">
        <v>752</v>
      </c>
      <c r="S242" t="str">
        <f>IF(Linked[[#This Row],[Credit Score]]&lt;=579,"Poor",IF(Linked[[#This Row],[Credit Score]]&lt;=669,"Fair",IF(Linked[[#This Row],[Credit Score]]&lt;=739,"Good",IF(Linked[[#This Row],[Credit Score]]&lt;=799,"Very Good",IF(Linked[[#This Row],[Credit Score]]&gt;=800,"Excellent")))))</f>
        <v>Very Good</v>
      </c>
      <c r="T242" s="4">
        <v>467927</v>
      </c>
      <c r="U242" s="2" t="s">
        <v>59</v>
      </c>
      <c r="V242" s="2"/>
    </row>
    <row r="243" spans="1:22" x14ac:dyDescent="0.25">
      <c r="A243" s="2" t="s">
        <v>593</v>
      </c>
      <c r="B243" s="2" t="s">
        <v>601</v>
      </c>
      <c r="C243" s="2" t="s">
        <v>1463</v>
      </c>
      <c r="D243" s="2" t="s">
        <v>1219</v>
      </c>
      <c r="E243">
        <v>45</v>
      </c>
      <c r="F243" s="2" t="s">
        <v>1228</v>
      </c>
      <c r="G243" s="2" t="s">
        <v>1229</v>
      </c>
      <c r="H243" s="2" t="s">
        <v>1230</v>
      </c>
      <c r="I243" s="1">
        <v>44018</v>
      </c>
      <c r="J243">
        <v>2020</v>
      </c>
      <c r="K243" s="2" t="s">
        <v>1464</v>
      </c>
      <c r="L243" s="4">
        <v>144165</v>
      </c>
      <c r="M243" s="2" t="s">
        <v>1223</v>
      </c>
      <c r="N243" s="2" t="s">
        <v>1224</v>
      </c>
      <c r="O243" s="2" t="s">
        <v>13</v>
      </c>
      <c r="P243" s="3">
        <v>44962</v>
      </c>
      <c r="Q243" s="4">
        <v>63972</v>
      </c>
      <c r="R243">
        <v>305</v>
      </c>
      <c r="S243" t="str">
        <f>IF(Linked[[#This Row],[Credit Score]]&lt;=579,"Poor",IF(Linked[[#This Row],[Credit Score]]&lt;=669,"Fair",IF(Linked[[#This Row],[Credit Score]]&lt;=739,"Good",IF(Linked[[#This Row],[Credit Score]]&lt;=799,"Very Good",IF(Linked[[#This Row],[Credit Score]]&gt;=800,"Excellent")))))</f>
        <v>Poor</v>
      </c>
      <c r="T243" s="4">
        <v>0</v>
      </c>
      <c r="U243" s="2"/>
      <c r="V243" s="2"/>
    </row>
    <row r="244" spans="1:22" x14ac:dyDescent="0.25">
      <c r="A244" s="2" t="s">
        <v>203</v>
      </c>
      <c r="B244" s="2" t="s">
        <v>202</v>
      </c>
      <c r="C244" s="2" t="s">
        <v>1947</v>
      </c>
      <c r="D244" s="2" t="s">
        <v>1227</v>
      </c>
      <c r="E244">
        <v>46</v>
      </c>
      <c r="F244" s="2" t="s">
        <v>1228</v>
      </c>
      <c r="G244" s="2" t="s">
        <v>1249</v>
      </c>
      <c r="H244" s="2" t="s">
        <v>1230</v>
      </c>
      <c r="I244" s="1">
        <v>43847</v>
      </c>
      <c r="J244">
        <v>2020</v>
      </c>
      <c r="K244" s="2" t="s">
        <v>1948</v>
      </c>
      <c r="L244" s="4">
        <v>120734</v>
      </c>
      <c r="M244" s="2" t="s">
        <v>1245</v>
      </c>
      <c r="N244" s="2" t="s">
        <v>1224</v>
      </c>
      <c r="O244" s="2" t="s">
        <v>13</v>
      </c>
      <c r="P244" s="3">
        <v>43804</v>
      </c>
      <c r="Q244" s="4">
        <v>66197</v>
      </c>
      <c r="R244">
        <v>666</v>
      </c>
      <c r="S244" t="str">
        <f>IF(Linked[[#This Row],[Credit Score]]&lt;=579,"Poor",IF(Linked[[#This Row],[Credit Score]]&lt;=669,"Fair",IF(Linked[[#This Row],[Credit Score]]&lt;=739,"Good",IF(Linked[[#This Row],[Credit Score]]&lt;=799,"Very Good",IF(Linked[[#This Row],[Credit Score]]&gt;=800,"Excellent")))))</f>
        <v>Fair</v>
      </c>
      <c r="T244" s="4">
        <v>364014</v>
      </c>
      <c r="U244" s="2" t="s">
        <v>18</v>
      </c>
      <c r="V244" s="2"/>
    </row>
    <row r="245" spans="1:22" x14ac:dyDescent="0.25">
      <c r="A245" s="2" t="s">
        <v>638</v>
      </c>
      <c r="B245" s="2" t="s">
        <v>637</v>
      </c>
      <c r="C245" s="2" t="s">
        <v>1465</v>
      </c>
      <c r="D245" s="2" t="s">
        <v>1227</v>
      </c>
      <c r="E245">
        <v>72</v>
      </c>
      <c r="F245" s="2" t="s">
        <v>1263</v>
      </c>
      <c r="G245" s="2" t="s">
        <v>1249</v>
      </c>
      <c r="H245" s="2" t="s">
        <v>1244</v>
      </c>
      <c r="I245" s="1">
        <v>44560</v>
      </c>
      <c r="J245">
        <v>2021</v>
      </c>
      <c r="K245" s="2" t="s">
        <v>1466</v>
      </c>
      <c r="L245" s="4">
        <v>106231</v>
      </c>
      <c r="M245" s="2" t="s">
        <v>1245</v>
      </c>
      <c r="N245" s="2" t="s">
        <v>1224</v>
      </c>
      <c r="O245" s="2" t="s">
        <v>10</v>
      </c>
      <c r="P245" s="3">
        <v>43430</v>
      </c>
      <c r="Q245" s="4">
        <v>306660</v>
      </c>
      <c r="R245">
        <v>615</v>
      </c>
      <c r="S245" t="str">
        <f>IF(Linked[[#This Row],[Credit Score]]&lt;=579,"Poor",IF(Linked[[#This Row],[Credit Score]]&lt;=669,"Fair",IF(Linked[[#This Row],[Credit Score]]&lt;=739,"Good",IF(Linked[[#This Row],[Credit Score]]&lt;=799,"Very Good",IF(Linked[[#This Row],[Credit Score]]&gt;=800,"Excellent")))))</f>
        <v>Fair</v>
      </c>
      <c r="T245" s="4">
        <v>0</v>
      </c>
      <c r="U245" s="2" t="s">
        <v>59</v>
      </c>
      <c r="V245" s="2"/>
    </row>
    <row r="246" spans="1:22" x14ac:dyDescent="0.25">
      <c r="A246" s="2" t="s">
        <v>205</v>
      </c>
      <c r="B246" s="2" t="s">
        <v>204</v>
      </c>
      <c r="C246" s="2" t="s">
        <v>1886</v>
      </c>
      <c r="D246" s="2" t="s">
        <v>1227</v>
      </c>
      <c r="E246">
        <v>70</v>
      </c>
      <c r="F246" s="2" t="s">
        <v>1263</v>
      </c>
      <c r="G246" s="2" t="s">
        <v>1221</v>
      </c>
      <c r="H246" s="2" t="s">
        <v>1244</v>
      </c>
      <c r="I246" s="1">
        <v>44862</v>
      </c>
      <c r="J246">
        <v>2022</v>
      </c>
      <c r="K246" s="2" t="s">
        <v>1887</v>
      </c>
      <c r="L246" s="4">
        <v>70069</v>
      </c>
      <c r="M246" s="2" t="s">
        <v>1250</v>
      </c>
      <c r="N246" s="2" t="s">
        <v>1224</v>
      </c>
      <c r="O246" s="2" t="s">
        <v>25</v>
      </c>
      <c r="P246" s="3">
        <v>43080</v>
      </c>
      <c r="Q246" s="4">
        <v>493992</v>
      </c>
      <c r="R246">
        <v>300</v>
      </c>
      <c r="S246" t="str">
        <f>IF(Linked[[#This Row],[Credit Score]]&lt;=579,"Poor",IF(Linked[[#This Row],[Credit Score]]&lt;=669,"Fair",IF(Linked[[#This Row],[Credit Score]]&lt;=739,"Good",IF(Linked[[#This Row],[Credit Score]]&lt;=799,"Very Good",IF(Linked[[#This Row],[Credit Score]]&gt;=800,"Excellent")))))</f>
        <v>Poor</v>
      </c>
      <c r="T246" s="4">
        <v>0</v>
      </c>
      <c r="U246" s="2" t="s">
        <v>39</v>
      </c>
      <c r="V246" s="2"/>
    </row>
    <row r="247" spans="1:22" x14ac:dyDescent="0.25">
      <c r="A247" s="2" t="s">
        <v>205</v>
      </c>
      <c r="B247" s="2" t="s">
        <v>545</v>
      </c>
      <c r="C247" s="2" t="s">
        <v>1886</v>
      </c>
      <c r="D247" s="2" t="s">
        <v>1227</v>
      </c>
      <c r="E247">
        <v>70</v>
      </c>
      <c r="F247" s="2" t="s">
        <v>1263</v>
      </c>
      <c r="G247" s="2" t="s">
        <v>1221</v>
      </c>
      <c r="H247" s="2" t="s">
        <v>1244</v>
      </c>
      <c r="I247" s="1">
        <v>44862</v>
      </c>
      <c r="J247">
        <v>2022</v>
      </c>
      <c r="K247" s="2" t="s">
        <v>1887</v>
      </c>
      <c r="L247" s="4">
        <v>70069</v>
      </c>
      <c r="M247" s="2" t="s">
        <v>1250</v>
      </c>
      <c r="N247" s="2" t="s">
        <v>1224</v>
      </c>
      <c r="O247" s="2" t="s">
        <v>10</v>
      </c>
      <c r="P247" s="3">
        <v>43461</v>
      </c>
      <c r="Q247" s="4">
        <v>350067</v>
      </c>
      <c r="R247">
        <v>349</v>
      </c>
      <c r="S247" t="str">
        <f>IF(Linked[[#This Row],[Credit Score]]&lt;=579,"Poor",IF(Linked[[#This Row],[Credit Score]]&lt;=669,"Fair",IF(Linked[[#This Row],[Credit Score]]&lt;=739,"Good",IF(Linked[[#This Row],[Credit Score]]&lt;=799,"Very Good",IF(Linked[[#This Row],[Credit Score]]&gt;=800,"Excellent")))))</f>
        <v>Poor</v>
      </c>
      <c r="T247" s="4">
        <v>0</v>
      </c>
      <c r="U247" s="2"/>
      <c r="V247" s="2"/>
    </row>
    <row r="248" spans="1:22" x14ac:dyDescent="0.25">
      <c r="A248" s="2" t="s">
        <v>207</v>
      </c>
      <c r="B248" s="2" t="s">
        <v>206</v>
      </c>
      <c r="C248" s="2" t="s">
        <v>1636</v>
      </c>
      <c r="D248" s="2" t="s">
        <v>1219</v>
      </c>
      <c r="E248">
        <v>44</v>
      </c>
      <c r="F248" s="2" t="s">
        <v>1220</v>
      </c>
      <c r="G248" s="2" t="s">
        <v>1229</v>
      </c>
      <c r="H248" s="2" t="s">
        <v>1239</v>
      </c>
      <c r="I248" s="1">
        <v>45843</v>
      </c>
      <c r="J248">
        <v>2025</v>
      </c>
      <c r="K248" s="2" t="s">
        <v>1637</v>
      </c>
      <c r="L248" s="4">
        <v>47082</v>
      </c>
      <c r="M248" s="2" t="s">
        <v>1250</v>
      </c>
      <c r="N248" s="2" t="s">
        <v>1231</v>
      </c>
      <c r="O248" s="2" t="s">
        <v>10</v>
      </c>
      <c r="P248" s="3">
        <v>44834</v>
      </c>
      <c r="Q248" s="4">
        <v>223861</v>
      </c>
      <c r="R248">
        <v>343</v>
      </c>
      <c r="S248" t="str">
        <f>IF(Linked[[#This Row],[Credit Score]]&lt;=579,"Poor",IF(Linked[[#This Row],[Credit Score]]&lt;=669,"Fair",IF(Linked[[#This Row],[Credit Score]]&lt;=739,"Good",IF(Linked[[#This Row],[Credit Score]]&lt;=799,"Very Good",IF(Linked[[#This Row],[Credit Score]]&gt;=800,"Excellent")))))</f>
        <v>Poor</v>
      </c>
      <c r="T248" s="4">
        <v>0</v>
      </c>
      <c r="U248" s="2"/>
      <c r="V248" s="2"/>
    </row>
    <row r="249" spans="1:22" x14ac:dyDescent="0.25">
      <c r="A249" s="2" t="s">
        <v>207</v>
      </c>
      <c r="B249" s="2" t="s">
        <v>257</v>
      </c>
      <c r="C249" s="2" t="s">
        <v>1636</v>
      </c>
      <c r="D249" s="2" t="s">
        <v>1219</v>
      </c>
      <c r="E249">
        <v>44</v>
      </c>
      <c r="F249" s="2" t="s">
        <v>1220</v>
      </c>
      <c r="G249" s="2" t="s">
        <v>1229</v>
      </c>
      <c r="H249" s="2" t="s">
        <v>1239</v>
      </c>
      <c r="I249" s="1">
        <v>45843</v>
      </c>
      <c r="J249">
        <v>2025</v>
      </c>
      <c r="K249" s="2" t="s">
        <v>1637</v>
      </c>
      <c r="L249" s="4">
        <v>47082</v>
      </c>
      <c r="M249" s="2" t="s">
        <v>1250</v>
      </c>
      <c r="N249" s="2" t="s">
        <v>1231</v>
      </c>
      <c r="O249" s="2" t="s">
        <v>10</v>
      </c>
      <c r="P249" s="3">
        <v>43403</v>
      </c>
      <c r="Q249" s="4">
        <v>123364</v>
      </c>
      <c r="R249">
        <v>438</v>
      </c>
      <c r="S249" t="str">
        <f>IF(Linked[[#This Row],[Credit Score]]&lt;=579,"Poor",IF(Linked[[#This Row],[Credit Score]]&lt;=669,"Fair",IF(Linked[[#This Row],[Credit Score]]&lt;=739,"Good",IF(Linked[[#This Row],[Credit Score]]&lt;=799,"Very Good",IF(Linked[[#This Row],[Credit Score]]&gt;=800,"Excellent")))))</f>
        <v>Poor</v>
      </c>
      <c r="T249" s="4">
        <v>0</v>
      </c>
      <c r="U249" s="2" t="s">
        <v>18</v>
      </c>
      <c r="V249" s="2"/>
    </row>
    <row r="250" spans="1:22" x14ac:dyDescent="0.25">
      <c r="A250" s="2" t="s">
        <v>564</v>
      </c>
      <c r="B250" s="2" t="s">
        <v>563</v>
      </c>
      <c r="C250" s="2" t="s">
        <v>1469</v>
      </c>
      <c r="D250" s="2" t="s">
        <v>1227</v>
      </c>
      <c r="E250">
        <v>54</v>
      </c>
      <c r="F250" s="2" t="s">
        <v>1228</v>
      </c>
      <c r="G250" s="2" t="s">
        <v>1243</v>
      </c>
      <c r="H250" s="2" t="s">
        <v>1230</v>
      </c>
      <c r="I250" s="1">
        <v>42645</v>
      </c>
      <c r="J250">
        <v>2016</v>
      </c>
      <c r="K250" s="2" t="s">
        <v>1470</v>
      </c>
      <c r="L250" s="4">
        <v>39623</v>
      </c>
      <c r="M250" s="2" t="s">
        <v>1250</v>
      </c>
      <c r="N250" s="2" t="s">
        <v>1224</v>
      </c>
      <c r="O250" s="2" t="s">
        <v>13</v>
      </c>
      <c r="P250" s="3">
        <v>43753</v>
      </c>
      <c r="Q250" s="4">
        <v>173311</v>
      </c>
      <c r="R250">
        <v>728</v>
      </c>
      <c r="S250" t="str">
        <f>IF(Linked[[#This Row],[Credit Score]]&lt;=579,"Poor",IF(Linked[[#This Row],[Credit Score]]&lt;=669,"Fair",IF(Linked[[#This Row],[Credit Score]]&lt;=739,"Good",IF(Linked[[#This Row],[Credit Score]]&lt;=799,"Very Good",IF(Linked[[#This Row],[Credit Score]]&gt;=800,"Excellent")))))</f>
        <v>Good</v>
      </c>
      <c r="T250" s="4">
        <v>0</v>
      </c>
      <c r="U250" s="2"/>
      <c r="V250" s="2"/>
    </row>
    <row r="251" spans="1:22" x14ac:dyDescent="0.25">
      <c r="A251" s="2" t="s">
        <v>209</v>
      </c>
      <c r="B251" s="2" t="s">
        <v>208</v>
      </c>
      <c r="C251" s="2" t="s">
        <v>1619</v>
      </c>
      <c r="D251" s="2" t="s">
        <v>1227</v>
      </c>
      <c r="E251">
        <v>33</v>
      </c>
      <c r="F251" s="2" t="s">
        <v>1220</v>
      </c>
      <c r="G251" s="2" t="s">
        <v>1243</v>
      </c>
      <c r="H251" s="2" t="s">
        <v>1259</v>
      </c>
      <c r="I251" s="1">
        <v>43767</v>
      </c>
      <c r="J251">
        <v>2019</v>
      </c>
      <c r="K251" s="2" t="s">
        <v>1620</v>
      </c>
      <c r="L251" s="4">
        <v>120732</v>
      </c>
      <c r="M251" s="2" t="s">
        <v>1245</v>
      </c>
      <c r="N251" s="2" t="s">
        <v>1231</v>
      </c>
      <c r="O251" s="2" t="s">
        <v>13</v>
      </c>
      <c r="P251" s="3">
        <v>45829</v>
      </c>
      <c r="Q251" s="4">
        <v>223492</v>
      </c>
      <c r="R251">
        <v>397</v>
      </c>
      <c r="S251" t="str">
        <f>IF(Linked[[#This Row],[Credit Score]]&lt;=579,"Poor",IF(Linked[[#This Row],[Credit Score]]&lt;=669,"Fair",IF(Linked[[#This Row],[Credit Score]]&lt;=739,"Good",IF(Linked[[#This Row],[Credit Score]]&lt;=799,"Very Good",IF(Linked[[#This Row],[Credit Score]]&gt;=800,"Excellent")))))</f>
        <v>Poor</v>
      </c>
      <c r="T251" s="4">
        <v>0</v>
      </c>
      <c r="U251" s="2"/>
      <c r="V251" s="2"/>
    </row>
    <row r="252" spans="1:22" x14ac:dyDescent="0.25">
      <c r="A252" s="2" t="s">
        <v>211</v>
      </c>
      <c r="B252" s="2" t="s">
        <v>210</v>
      </c>
      <c r="C252" s="2" t="s">
        <v>1926</v>
      </c>
      <c r="D252" s="2" t="s">
        <v>1227</v>
      </c>
      <c r="E252">
        <v>24</v>
      </c>
      <c r="F252" s="2" t="s">
        <v>1242</v>
      </c>
      <c r="G252" s="2" t="s">
        <v>1221</v>
      </c>
      <c r="H252" s="2" t="s">
        <v>1222</v>
      </c>
      <c r="I252" s="1">
        <v>45058</v>
      </c>
      <c r="J252">
        <v>2023</v>
      </c>
      <c r="K252" s="2" t="s">
        <v>1288</v>
      </c>
      <c r="L252" s="4">
        <v>53320</v>
      </c>
      <c r="M252" s="2" t="s">
        <v>1250</v>
      </c>
      <c r="N252" s="2" t="s">
        <v>1224</v>
      </c>
      <c r="O252" s="2" t="s">
        <v>10</v>
      </c>
      <c r="P252" s="3">
        <v>42332</v>
      </c>
      <c r="Q252" s="4">
        <v>261545</v>
      </c>
      <c r="R252">
        <v>564</v>
      </c>
      <c r="S252" t="str">
        <f>IF(Linked[[#This Row],[Credit Score]]&lt;=579,"Poor",IF(Linked[[#This Row],[Credit Score]]&lt;=669,"Fair",IF(Linked[[#This Row],[Credit Score]]&lt;=739,"Good",IF(Linked[[#This Row],[Credit Score]]&lt;=799,"Very Good",IF(Linked[[#This Row],[Credit Score]]&gt;=800,"Excellent")))))</f>
        <v>Poor</v>
      </c>
      <c r="T252" s="4">
        <v>0</v>
      </c>
      <c r="U252" s="2"/>
      <c r="V252" s="2"/>
    </row>
    <row r="253" spans="1:22" x14ac:dyDescent="0.25">
      <c r="A253" s="2" t="s">
        <v>211</v>
      </c>
      <c r="B253" s="2" t="s">
        <v>568</v>
      </c>
      <c r="C253" s="2" t="s">
        <v>1926</v>
      </c>
      <c r="D253" s="2" t="s">
        <v>1227</v>
      </c>
      <c r="E253">
        <v>24</v>
      </c>
      <c r="F253" s="2" t="s">
        <v>1242</v>
      </c>
      <c r="G253" s="2" t="s">
        <v>1221</v>
      </c>
      <c r="H253" s="2" t="s">
        <v>1222</v>
      </c>
      <c r="I253" s="1">
        <v>45058</v>
      </c>
      <c r="J253">
        <v>2023</v>
      </c>
      <c r="K253" s="2" t="s">
        <v>1288</v>
      </c>
      <c r="L253" s="4">
        <v>53320</v>
      </c>
      <c r="M253" s="2" t="s">
        <v>1250</v>
      </c>
      <c r="N253" s="2" t="s">
        <v>1224</v>
      </c>
      <c r="O253" s="2" t="s">
        <v>13</v>
      </c>
      <c r="P253" s="3">
        <v>45160</v>
      </c>
      <c r="Q253" s="4">
        <v>276827</v>
      </c>
      <c r="R253">
        <v>493</v>
      </c>
      <c r="S253" t="str">
        <f>IF(Linked[[#This Row],[Credit Score]]&lt;=579,"Poor",IF(Linked[[#This Row],[Credit Score]]&lt;=669,"Fair",IF(Linked[[#This Row],[Credit Score]]&lt;=739,"Good",IF(Linked[[#This Row],[Credit Score]]&lt;=799,"Very Good",IF(Linked[[#This Row],[Credit Score]]&gt;=800,"Excellent")))))</f>
        <v>Poor</v>
      </c>
      <c r="T253" s="4">
        <v>0</v>
      </c>
      <c r="U253" s="2"/>
      <c r="V253" s="2"/>
    </row>
    <row r="254" spans="1:22" x14ac:dyDescent="0.25">
      <c r="A254" s="2" t="s">
        <v>235</v>
      </c>
      <c r="B254" s="2" t="s">
        <v>234</v>
      </c>
      <c r="C254" s="2" t="s">
        <v>1473</v>
      </c>
      <c r="D254" s="2" t="s">
        <v>1227</v>
      </c>
      <c r="E254">
        <v>70</v>
      </c>
      <c r="F254" s="2" t="s">
        <v>1263</v>
      </c>
      <c r="G254" s="2" t="s">
        <v>1243</v>
      </c>
      <c r="H254" s="2" t="s">
        <v>1239</v>
      </c>
      <c r="I254" s="1">
        <v>42940</v>
      </c>
      <c r="J254">
        <v>2017</v>
      </c>
      <c r="K254" s="2" t="s">
        <v>1474</v>
      </c>
      <c r="L254" s="4">
        <v>184202</v>
      </c>
      <c r="M254" s="2" t="s">
        <v>1223</v>
      </c>
      <c r="N254" s="2" t="s">
        <v>1224</v>
      </c>
      <c r="O254" s="2" t="s">
        <v>25</v>
      </c>
      <c r="P254" s="3">
        <v>44297</v>
      </c>
      <c r="Q254" s="4">
        <v>263844</v>
      </c>
      <c r="R254">
        <v>780</v>
      </c>
      <c r="S254" t="str">
        <f>IF(Linked[[#This Row],[Credit Score]]&lt;=579,"Poor",IF(Linked[[#This Row],[Credit Score]]&lt;=669,"Fair",IF(Linked[[#This Row],[Credit Score]]&lt;=739,"Good",IF(Linked[[#This Row],[Credit Score]]&lt;=799,"Very Good",IF(Linked[[#This Row],[Credit Score]]&gt;=800,"Excellent")))))</f>
        <v>Very Good</v>
      </c>
      <c r="T254" s="4">
        <v>0</v>
      </c>
      <c r="U254" s="2"/>
      <c r="V254" s="2"/>
    </row>
    <row r="255" spans="1:22" x14ac:dyDescent="0.25">
      <c r="A255" s="2" t="s">
        <v>235</v>
      </c>
      <c r="B255" s="2" t="s">
        <v>260</v>
      </c>
      <c r="C255" s="2" t="s">
        <v>1473</v>
      </c>
      <c r="D255" s="2" t="s">
        <v>1227</v>
      </c>
      <c r="E255">
        <v>70</v>
      </c>
      <c r="F255" s="2" t="s">
        <v>1263</v>
      </c>
      <c r="G255" s="2" t="s">
        <v>1243</v>
      </c>
      <c r="H255" s="2" t="s">
        <v>1239</v>
      </c>
      <c r="I255" s="1">
        <v>42940</v>
      </c>
      <c r="J255">
        <v>2017</v>
      </c>
      <c r="K255" s="2" t="s">
        <v>1474</v>
      </c>
      <c r="L255" s="4">
        <v>184202</v>
      </c>
      <c r="M255" s="2" t="s">
        <v>1223</v>
      </c>
      <c r="N255" s="2" t="s">
        <v>1224</v>
      </c>
      <c r="O255" s="2" t="s">
        <v>32</v>
      </c>
      <c r="P255" s="3">
        <v>43925</v>
      </c>
      <c r="Q255" s="4">
        <v>14955</v>
      </c>
      <c r="R255">
        <v>414</v>
      </c>
      <c r="S255" t="str">
        <f>IF(Linked[[#This Row],[Credit Score]]&lt;=579,"Poor",IF(Linked[[#This Row],[Credit Score]]&lt;=669,"Fair",IF(Linked[[#This Row],[Credit Score]]&lt;=739,"Good",IF(Linked[[#This Row],[Credit Score]]&lt;=799,"Very Good",IF(Linked[[#This Row],[Credit Score]]&gt;=800,"Excellent")))))</f>
        <v>Poor</v>
      </c>
      <c r="T255" s="4">
        <v>0</v>
      </c>
      <c r="U255" s="2"/>
      <c r="V255" s="2"/>
    </row>
    <row r="256" spans="1:22" x14ac:dyDescent="0.25">
      <c r="A256" s="2" t="s">
        <v>213</v>
      </c>
      <c r="B256" s="2" t="s">
        <v>212</v>
      </c>
      <c r="C256" s="2" t="s">
        <v>2027</v>
      </c>
      <c r="D256" s="2" t="s">
        <v>1227</v>
      </c>
      <c r="E256">
        <v>20</v>
      </c>
      <c r="F256" s="2" t="s">
        <v>1242</v>
      </c>
      <c r="G256" s="2" t="s">
        <v>1243</v>
      </c>
      <c r="H256" s="2" t="s">
        <v>1222</v>
      </c>
      <c r="I256" s="1">
        <v>42442</v>
      </c>
      <c r="J256">
        <v>2016</v>
      </c>
      <c r="K256" s="2" t="s">
        <v>2028</v>
      </c>
      <c r="L256" s="4">
        <v>28946</v>
      </c>
      <c r="M256" s="2" t="s">
        <v>1250</v>
      </c>
      <c r="N256" s="2" t="s">
        <v>1231</v>
      </c>
      <c r="O256" s="2" t="s">
        <v>32</v>
      </c>
      <c r="P256" s="3">
        <v>43131</v>
      </c>
      <c r="Q256" s="4">
        <v>426070</v>
      </c>
      <c r="R256">
        <v>439</v>
      </c>
      <c r="S256" t="str">
        <f>IF(Linked[[#This Row],[Credit Score]]&lt;=579,"Poor",IF(Linked[[#This Row],[Credit Score]]&lt;=669,"Fair",IF(Linked[[#This Row],[Credit Score]]&lt;=739,"Good",IF(Linked[[#This Row],[Credit Score]]&lt;=799,"Very Good",IF(Linked[[#This Row],[Credit Score]]&gt;=800,"Excellent")))))</f>
        <v>Poor</v>
      </c>
      <c r="T256" s="4">
        <v>0</v>
      </c>
      <c r="U256" s="2"/>
      <c r="V256" s="2"/>
    </row>
    <row r="257" spans="1:22" x14ac:dyDescent="0.25">
      <c r="A257" s="2" t="s">
        <v>213</v>
      </c>
      <c r="B257" s="2" t="s">
        <v>233</v>
      </c>
      <c r="C257" s="2" t="s">
        <v>2027</v>
      </c>
      <c r="D257" s="2" t="s">
        <v>1227</v>
      </c>
      <c r="E257">
        <v>20</v>
      </c>
      <c r="F257" s="2" t="s">
        <v>1242</v>
      </c>
      <c r="G257" s="2" t="s">
        <v>1243</v>
      </c>
      <c r="H257" s="2" t="s">
        <v>1222</v>
      </c>
      <c r="I257" s="1">
        <v>42442</v>
      </c>
      <c r="J257">
        <v>2016</v>
      </c>
      <c r="K257" s="2" t="s">
        <v>2028</v>
      </c>
      <c r="L257" s="4">
        <v>28946</v>
      </c>
      <c r="M257" s="2" t="s">
        <v>1250</v>
      </c>
      <c r="N257" s="2" t="s">
        <v>1231</v>
      </c>
      <c r="O257" s="2" t="s">
        <v>13</v>
      </c>
      <c r="P257" s="3">
        <v>44565</v>
      </c>
      <c r="Q257" s="4">
        <v>355566</v>
      </c>
      <c r="R257">
        <v>572</v>
      </c>
      <c r="S257" t="str">
        <f>IF(Linked[[#This Row],[Credit Score]]&lt;=579,"Poor",IF(Linked[[#This Row],[Credit Score]]&lt;=669,"Fair",IF(Linked[[#This Row],[Credit Score]]&lt;=739,"Good",IF(Linked[[#This Row],[Credit Score]]&lt;=799,"Very Good",IF(Linked[[#This Row],[Credit Score]]&gt;=800,"Excellent")))))</f>
        <v>Poor</v>
      </c>
      <c r="T257" s="4">
        <v>352236</v>
      </c>
      <c r="U257" s="2"/>
      <c r="V257" s="2"/>
    </row>
    <row r="258" spans="1:22" x14ac:dyDescent="0.25">
      <c r="A258" s="2" t="s">
        <v>213</v>
      </c>
      <c r="B258" s="2" t="s">
        <v>691</v>
      </c>
      <c r="C258" s="2" t="s">
        <v>2027</v>
      </c>
      <c r="D258" s="2" t="s">
        <v>1227</v>
      </c>
      <c r="E258">
        <v>20</v>
      </c>
      <c r="F258" s="2" t="s">
        <v>1242</v>
      </c>
      <c r="G258" s="2" t="s">
        <v>1243</v>
      </c>
      <c r="H258" s="2" t="s">
        <v>1222</v>
      </c>
      <c r="I258" s="1">
        <v>42442</v>
      </c>
      <c r="J258">
        <v>2016</v>
      </c>
      <c r="K258" s="2" t="s">
        <v>2028</v>
      </c>
      <c r="L258" s="4">
        <v>28946</v>
      </c>
      <c r="M258" s="2" t="s">
        <v>1250</v>
      </c>
      <c r="N258" s="2" t="s">
        <v>1231</v>
      </c>
      <c r="O258" s="2" t="s">
        <v>10</v>
      </c>
      <c r="P258" s="3">
        <v>44561</v>
      </c>
      <c r="Q258" s="4">
        <v>49522</v>
      </c>
      <c r="R258">
        <v>704</v>
      </c>
      <c r="S258" t="str">
        <f>IF(Linked[[#This Row],[Credit Score]]&lt;=579,"Poor",IF(Linked[[#This Row],[Credit Score]]&lt;=669,"Fair",IF(Linked[[#This Row],[Credit Score]]&lt;=739,"Good",IF(Linked[[#This Row],[Credit Score]]&lt;=799,"Very Good",IF(Linked[[#This Row],[Credit Score]]&gt;=800,"Excellent")))))</f>
        <v>Good</v>
      </c>
      <c r="T258" s="4">
        <v>0</v>
      </c>
      <c r="U258" s="2"/>
      <c r="V258" s="2"/>
    </row>
    <row r="259" spans="1:22" x14ac:dyDescent="0.25">
      <c r="A259" s="2" t="s">
        <v>213</v>
      </c>
      <c r="B259" s="2" t="s">
        <v>692</v>
      </c>
      <c r="C259" s="2" t="s">
        <v>2027</v>
      </c>
      <c r="D259" s="2" t="s">
        <v>1227</v>
      </c>
      <c r="E259">
        <v>20</v>
      </c>
      <c r="F259" s="2" t="s">
        <v>1242</v>
      </c>
      <c r="G259" s="2" t="s">
        <v>1243</v>
      </c>
      <c r="H259" s="2" t="s">
        <v>1222</v>
      </c>
      <c r="I259" s="1">
        <v>42442</v>
      </c>
      <c r="J259">
        <v>2016</v>
      </c>
      <c r="K259" s="2" t="s">
        <v>2028</v>
      </c>
      <c r="L259" s="4">
        <v>28946</v>
      </c>
      <c r="M259" s="2" t="s">
        <v>1250</v>
      </c>
      <c r="N259" s="2" t="s">
        <v>1231</v>
      </c>
      <c r="O259" s="2" t="s">
        <v>25</v>
      </c>
      <c r="P259" s="3">
        <v>44906</v>
      </c>
      <c r="Q259" s="4">
        <v>230233</v>
      </c>
      <c r="R259">
        <v>513</v>
      </c>
      <c r="S259" t="str">
        <f>IF(Linked[[#This Row],[Credit Score]]&lt;=579,"Poor",IF(Linked[[#This Row],[Credit Score]]&lt;=669,"Fair",IF(Linked[[#This Row],[Credit Score]]&lt;=739,"Good",IF(Linked[[#This Row],[Credit Score]]&lt;=799,"Very Good",IF(Linked[[#This Row],[Credit Score]]&gt;=800,"Excellent")))))</f>
        <v>Poor</v>
      </c>
      <c r="T259" s="4">
        <v>0</v>
      </c>
      <c r="U259" s="2"/>
      <c r="V259" s="2"/>
    </row>
    <row r="260" spans="1:22" x14ac:dyDescent="0.25">
      <c r="A260" s="2" t="s">
        <v>215</v>
      </c>
      <c r="B260" s="2" t="s">
        <v>214</v>
      </c>
      <c r="C260" s="2" t="s">
        <v>1650</v>
      </c>
      <c r="D260" s="2" t="s">
        <v>1219</v>
      </c>
      <c r="E260">
        <v>50</v>
      </c>
      <c r="F260" s="2" t="s">
        <v>1228</v>
      </c>
      <c r="G260" s="2" t="s">
        <v>1229</v>
      </c>
      <c r="H260" s="2" t="s">
        <v>1235</v>
      </c>
      <c r="I260" s="1">
        <v>45211</v>
      </c>
      <c r="J260">
        <v>2023</v>
      </c>
      <c r="K260" s="2" t="s">
        <v>1651</v>
      </c>
      <c r="L260" s="4">
        <v>143395</v>
      </c>
      <c r="M260" s="2" t="s">
        <v>1223</v>
      </c>
      <c r="N260" s="2" t="s">
        <v>1231</v>
      </c>
      <c r="O260" s="2" t="s">
        <v>13</v>
      </c>
      <c r="P260" s="3">
        <v>45023</v>
      </c>
      <c r="Q260" s="4">
        <v>76240</v>
      </c>
      <c r="R260">
        <v>780</v>
      </c>
      <c r="S260" t="str">
        <f>IF(Linked[[#This Row],[Credit Score]]&lt;=579,"Poor",IF(Linked[[#This Row],[Credit Score]]&lt;=669,"Fair",IF(Linked[[#This Row],[Credit Score]]&lt;=739,"Good",IF(Linked[[#This Row],[Credit Score]]&lt;=799,"Very Good",IF(Linked[[#This Row],[Credit Score]]&gt;=800,"Excellent")))))</f>
        <v>Very Good</v>
      </c>
      <c r="T260" s="4">
        <v>0</v>
      </c>
      <c r="U260" s="2" t="s">
        <v>18</v>
      </c>
      <c r="V260" s="2"/>
    </row>
    <row r="261" spans="1:22" x14ac:dyDescent="0.25">
      <c r="A261" s="2" t="s">
        <v>743</v>
      </c>
      <c r="B261" s="2" t="s">
        <v>742</v>
      </c>
      <c r="C261" s="2" t="s">
        <v>1477</v>
      </c>
      <c r="D261" s="2" t="s">
        <v>1227</v>
      </c>
      <c r="E261">
        <v>26</v>
      </c>
      <c r="F261" s="2" t="s">
        <v>1242</v>
      </c>
      <c r="G261" s="2" t="s">
        <v>1243</v>
      </c>
      <c r="H261" s="2" t="s">
        <v>1259</v>
      </c>
      <c r="I261" s="1">
        <v>44224</v>
      </c>
      <c r="J261">
        <v>2021</v>
      </c>
      <c r="K261" s="2" t="s">
        <v>1478</v>
      </c>
      <c r="L261" s="4">
        <v>177364</v>
      </c>
      <c r="M261" s="2" t="s">
        <v>1223</v>
      </c>
      <c r="N261" s="2" t="s">
        <v>1224</v>
      </c>
      <c r="O261" s="2" t="s">
        <v>10</v>
      </c>
      <c r="P261" s="3">
        <v>44441</v>
      </c>
      <c r="Q261" s="4">
        <v>468758</v>
      </c>
      <c r="R261">
        <v>699</v>
      </c>
      <c r="S261" t="str">
        <f>IF(Linked[[#This Row],[Credit Score]]&lt;=579,"Poor",IF(Linked[[#This Row],[Credit Score]]&lt;=669,"Fair",IF(Linked[[#This Row],[Credit Score]]&lt;=739,"Good",IF(Linked[[#This Row],[Credit Score]]&lt;=799,"Very Good",IF(Linked[[#This Row],[Credit Score]]&gt;=800,"Excellent")))))</f>
        <v>Good</v>
      </c>
      <c r="T261" s="4">
        <v>0</v>
      </c>
      <c r="U261" s="2"/>
      <c r="V261" s="2"/>
    </row>
    <row r="262" spans="1:22" x14ac:dyDescent="0.25">
      <c r="A262" s="2" t="s">
        <v>414</v>
      </c>
      <c r="B262" s="2" t="s">
        <v>413</v>
      </c>
      <c r="C262" s="2" t="s">
        <v>1486</v>
      </c>
      <c r="D262" s="2" t="s">
        <v>1219</v>
      </c>
      <c r="E262">
        <v>18</v>
      </c>
      <c r="F262" s="2" t="s">
        <v>1242</v>
      </c>
      <c r="G262" s="2" t="s">
        <v>1229</v>
      </c>
      <c r="H262" s="2" t="s">
        <v>1259</v>
      </c>
      <c r="I262" s="1">
        <v>43931</v>
      </c>
      <c r="J262">
        <v>2020</v>
      </c>
      <c r="K262" s="2" t="s">
        <v>1487</v>
      </c>
      <c r="L262" s="4">
        <v>153541</v>
      </c>
      <c r="M262" s="2" t="s">
        <v>1223</v>
      </c>
      <c r="N262" s="2" t="s">
        <v>1231</v>
      </c>
      <c r="O262" s="2" t="s">
        <v>13</v>
      </c>
      <c r="P262" s="3">
        <v>42526</v>
      </c>
      <c r="Q262" s="4">
        <v>423914</v>
      </c>
      <c r="R262">
        <v>644</v>
      </c>
      <c r="S262" t="str">
        <f>IF(Linked[[#This Row],[Credit Score]]&lt;=579,"Poor",IF(Linked[[#This Row],[Credit Score]]&lt;=669,"Fair",IF(Linked[[#This Row],[Credit Score]]&lt;=739,"Good",IF(Linked[[#This Row],[Credit Score]]&lt;=799,"Very Good",IF(Linked[[#This Row],[Credit Score]]&gt;=800,"Excellent")))))</f>
        <v>Fair</v>
      </c>
      <c r="T262" s="4">
        <v>0</v>
      </c>
      <c r="U262" s="2"/>
      <c r="V262" s="2"/>
    </row>
    <row r="263" spans="1:22" x14ac:dyDescent="0.25">
      <c r="A263" s="2" t="s">
        <v>224</v>
      </c>
      <c r="B263" s="2" t="s">
        <v>223</v>
      </c>
      <c r="C263" s="2" t="s">
        <v>2253</v>
      </c>
      <c r="D263" s="2" t="s">
        <v>1219</v>
      </c>
      <c r="E263">
        <v>51</v>
      </c>
      <c r="F263" s="2" t="s">
        <v>1228</v>
      </c>
      <c r="G263" s="2" t="s">
        <v>1221</v>
      </c>
      <c r="H263" s="2" t="s">
        <v>1244</v>
      </c>
      <c r="I263" s="1">
        <v>44083</v>
      </c>
      <c r="J263">
        <v>2020</v>
      </c>
      <c r="K263" s="2" t="s">
        <v>2254</v>
      </c>
      <c r="L263" s="4">
        <v>180928</v>
      </c>
      <c r="M263" s="2" t="s">
        <v>1223</v>
      </c>
      <c r="N263" s="2" t="s">
        <v>1224</v>
      </c>
      <c r="O263" s="2" t="s">
        <v>13</v>
      </c>
      <c r="P263" s="3">
        <v>43042</v>
      </c>
      <c r="Q263" s="4">
        <v>6968</v>
      </c>
      <c r="R263">
        <v>620</v>
      </c>
      <c r="S263" t="str">
        <f>IF(Linked[[#This Row],[Credit Score]]&lt;=579,"Poor",IF(Linked[[#This Row],[Credit Score]]&lt;=669,"Fair",IF(Linked[[#This Row],[Credit Score]]&lt;=739,"Good",IF(Linked[[#This Row],[Credit Score]]&lt;=799,"Very Good",IF(Linked[[#This Row],[Credit Score]]&gt;=800,"Excellent")))))</f>
        <v>Fair</v>
      </c>
      <c r="T263" s="4">
        <v>0</v>
      </c>
      <c r="U263" s="2"/>
      <c r="V263" s="2"/>
    </row>
    <row r="264" spans="1:22" x14ac:dyDescent="0.25">
      <c r="A264" s="2" t="s">
        <v>583</v>
      </c>
      <c r="B264" s="2" t="s">
        <v>582</v>
      </c>
      <c r="C264" s="2" t="s">
        <v>1490</v>
      </c>
      <c r="D264" s="2" t="s">
        <v>1227</v>
      </c>
      <c r="E264">
        <v>51</v>
      </c>
      <c r="F264" s="2" t="s">
        <v>1228</v>
      </c>
      <c r="G264" s="2" t="s">
        <v>1221</v>
      </c>
      <c r="H264" s="2" t="s">
        <v>1222</v>
      </c>
      <c r="I264" s="1">
        <v>43658</v>
      </c>
      <c r="J264">
        <v>2019</v>
      </c>
      <c r="K264" s="2" t="s">
        <v>1491</v>
      </c>
      <c r="L264" s="4">
        <v>173606</v>
      </c>
      <c r="M264" s="2" t="s">
        <v>1223</v>
      </c>
      <c r="N264" s="2" t="s">
        <v>1231</v>
      </c>
      <c r="O264" s="2" t="s">
        <v>10</v>
      </c>
      <c r="P264" s="3">
        <v>43429</v>
      </c>
      <c r="Q264" s="4">
        <v>195784</v>
      </c>
      <c r="R264">
        <v>612</v>
      </c>
      <c r="S264" t="str">
        <f>IF(Linked[[#This Row],[Credit Score]]&lt;=579,"Poor",IF(Linked[[#This Row],[Credit Score]]&lt;=669,"Fair",IF(Linked[[#This Row],[Credit Score]]&lt;=739,"Good",IF(Linked[[#This Row],[Credit Score]]&lt;=799,"Very Good",IF(Linked[[#This Row],[Credit Score]]&gt;=800,"Excellent")))))</f>
        <v>Fair</v>
      </c>
      <c r="T264" s="4">
        <v>0</v>
      </c>
      <c r="U264" s="2"/>
      <c r="V264" s="2"/>
    </row>
    <row r="265" spans="1:22" x14ac:dyDescent="0.25">
      <c r="A265" s="2" t="s">
        <v>228</v>
      </c>
      <c r="B265" s="2" t="s">
        <v>227</v>
      </c>
      <c r="C265" s="2" t="s">
        <v>1705</v>
      </c>
      <c r="D265" s="2" t="s">
        <v>1219</v>
      </c>
      <c r="E265">
        <v>25</v>
      </c>
      <c r="F265" s="2" t="s">
        <v>1242</v>
      </c>
      <c r="G265" s="2" t="s">
        <v>1221</v>
      </c>
      <c r="H265" s="2" t="s">
        <v>1259</v>
      </c>
      <c r="I265" s="1">
        <v>42973</v>
      </c>
      <c r="J265">
        <v>2017</v>
      </c>
      <c r="K265" s="2" t="s">
        <v>1706</v>
      </c>
      <c r="L265" s="4">
        <v>158496</v>
      </c>
      <c r="M265" s="2" t="s">
        <v>1223</v>
      </c>
      <c r="N265" s="2" t="s">
        <v>1224</v>
      </c>
      <c r="O265" s="2" t="s">
        <v>25</v>
      </c>
      <c r="P265" s="3">
        <v>45498</v>
      </c>
      <c r="Q265" s="4">
        <v>314069</v>
      </c>
      <c r="R265">
        <v>531</v>
      </c>
      <c r="S265" t="str">
        <f>IF(Linked[[#This Row],[Credit Score]]&lt;=579,"Poor",IF(Linked[[#This Row],[Credit Score]]&lt;=669,"Fair",IF(Linked[[#This Row],[Credit Score]]&lt;=739,"Good",IF(Linked[[#This Row],[Credit Score]]&lt;=799,"Very Good",IF(Linked[[#This Row],[Credit Score]]&gt;=800,"Excellent")))))</f>
        <v>Poor</v>
      </c>
      <c r="T265" s="4">
        <v>0</v>
      </c>
      <c r="U265" s="2"/>
      <c r="V265" s="2"/>
    </row>
    <row r="266" spans="1:22" x14ac:dyDescent="0.25">
      <c r="A266" s="2" t="s">
        <v>228</v>
      </c>
      <c r="B266" s="2" t="s">
        <v>474</v>
      </c>
      <c r="C266" s="2" t="s">
        <v>1705</v>
      </c>
      <c r="D266" s="2" t="s">
        <v>1219</v>
      </c>
      <c r="E266">
        <v>25</v>
      </c>
      <c r="F266" s="2" t="s">
        <v>1242</v>
      </c>
      <c r="G266" s="2" t="s">
        <v>1221</v>
      </c>
      <c r="H266" s="2" t="s">
        <v>1259</v>
      </c>
      <c r="I266" s="1">
        <v>42973</v>
      </c>
      <c r="J266">
        <v>2017</v>
      </c>
      <c r="K266" s="2" t="s">
        <v>1706</v>
      </c>
      <c r="L266" s="4">
        <v>158496</v>
      </c>
      <c r="M266" s="2" t="s">
        <v>1223</v>
      </c>
      <c r="N266" s="2" t="s">
        <v>1224</v>
      </c>
      <c r="O266" s="2" t="s">
        <v>13</v>
      </c>
      <c r="P266" s="3">
        <v>42487</v>
      </c>
      <c r="Q266" s="4">
        <v>23185</v>
      </c>
      <c r="R266">
        <v>465</v>
      </c>
      <c r="S266" t="str">
        <f>IF(Linked[[#This Row],[Credit Score]]&lt;=579,"Poor",IF(Linked[[#This Row],[Credit Score]]&lt;=669,"Fair",IF(Linked[[#This Row],[Credit Score]]&lt;=739,"Good",IF(Linked[[#This Row],[Credit Score]]&lt;=799,"Very Good",IF(Linked[[#This Row],[Credit Score]]&gt;=800,"Excellent")))))</f>
        <v>Poor</v>
      </c>
      <c r="T266" s="4">
        <v>0</v>
      </c>
      <c r="U266" s="2"/>
      <c r="V266" s="2"/>
    </row>
    <row r="267" spans="1:22" x14ac:dyDescent="0.25">
      <c r="A267" s="2" t="s">
        <v>228</v>
      </c>
      <c r="B267" s="2" t="s">
        <v>695</v>
      </c>
      <c r="C267" s="2" t="s">
        <v>1705</v>
      </c>
      <c r="D267" s="2" t="s">
        <v>1219</v>
      </c>
      <c r="E267">
        <v>25</v>
      </c>
      <c r="F267" s="2" t="s">
        <v>1242</v>
      </c>
      <c r="G267" s="2" t="s">
        <v>1221</v>
      </c>
      <c r="H267" s="2" t="s">
        <v>1259</v>
      </c>
      <c r="I267" s="1">
        <v>42973</v>
      </c>
      <c r="J267">
        <v>2017</v>
      </c>
      <c r="K267" s="2" t="s">
        <v>1706</v>
      </c>
      <c r="L267" s="4">
        <v>158496</v>
      </c>
      <c r="M267" s="2" t="s">
        <v>1223</v>
      </c>
      <c r="N267" s="2" t="s">
        <v>1224</v>
      </c>
      <c r="O267" s="2" t="s">
        <v>13</v>
      </c>
      <c r="P267" s="3">
        <v>42287</v>
      </c>
      <c r="Q267" s="4">
        <v>373393</v>
      </c>
      <c r="R267">
        <v>747</v>
      </c>
      <c r="S267" t="str">
        <f>IF(Linked[[#This Row],[Credit Score]]&lt;=579,"Poor",IF(Linked[[#This Row],[Credit Score]]&lt;=669,"Fair",IF(Linked[[#This Row],[Credit Score]]&lt;=739,"Good",IF(Linked[[#This Row],[Credit Score]]&lt;=799,"Very Good",IF(Linked[[#This Row],[Credit Score]]&gt;=800,"Excellent")))))</f>
        <v>Very Good</v>
      </c>
      <c r="T267" s="4">
        <v>0</v>
      </c>
      <c r="U267" s="2"/>
      <c r="V267" s="2"/>
    </row>
    <row r="268" spans="1:22" x14ac:dyDescent="0.25">
      <c r="A268" s="2" t="s">
        <v>818</v>
      </c>
      <c r="B268" s="2" t="s">
        <v>817</v>
      </c>
      <c r="C268" s="2" t="s">
        <v>1492</v>
      </c>
      <c r="D268" s="2" t="s">
        <v>1219</v>
      </c>
      <c r="E268">
        <v>49</v>
      </c>
      <c r="F268" s="2" t="s">
        <v>1228</v>
      </c>
      <c r="G268" s="2" t="s">
        <v>1243</v>
      </c>
      <c r="H268" s="2" t="s">
        <v>1222</v>
      </c>
      <c r="I268" s="1">
        <v>45532</v>
      </c>
      <c r="J268">
        <v>2024</v>
      </c>
      <c r="K268" s="2" t="s">
        <v>1493</v>
      </c>
      <c r="L268" s="4">
        <v>68874</v>
      </c>
      <c r="M268" s="2" t="s">
        <v>1250</v>
      </c>
      <c r="N268" s="2" t="s">
        <v>1231</v>
      </c>
      <c r="O268" s="2" t="s">
        <v>13</v>
      </c>
      <c r="P268" s="3">
        <v>42379</v>
      </c>
      <c r="Q268" s="4">
        <v>426940</v>
      </c>
      <c r="R268">
        <v>587</v>
      </c>
      <c r="S268" t="str">
        <f>IF(Linked[[#This Row],[Credit Score]]&lt;=579,"Poor",IF(Linked[[#This Row],[Credit Score]]&lt;=669,"Fair",IF(Linked[[#This Row],[Credit Score]]&lt;=739,"Good",IF(Linked[[#This Row],[Credit Score]]&lt;=799,"Very Good",IF(Linked[[#This Row],[Credit Score]]&gt;=800,"Excellent")))))</f>
        <v>Fair</v>
      </c>
      <c r="T268" s="4">
        <v>0</v>
      </c>
      <c r="U268" s="2"/>
      <c r="V268" s="2"/>
    </row>
    <row r="269" spans="1:22" x14ac:dyDescent="0.25">
      <c r="A269" s="2" t="s">
        <v>230</v>
      </c>
      <c r="B269" s="2" t="s">
        <v>229</v>
      </c>
      <c r="C269" s="2" t="s">
        <v>2135</v>
      </c>
      <c r="D269" s="2" t="s">
        <v>1219</v>
      </c>
      <c r="E269">
        <v>41</v>
      </c>
      <c r="F269" s="2" t="s">
        <v>1220</v>
      </c>
      <c r="G269" s="2" t="s">
        <v>1229</v>
      </c>
      <c r="H269" s="2" t="s">
        <v>1222</v>
      </c>
      <c r="I269" s="1">
        <v>42457</v>
      </c>
      <c r="J269">
        <v>2016</v>
      </c>
      <c r="K269" s="2" t="s">
        <v>1402</v>
      </c>
      <c r="L269" s="4">
        <v>196037</v>
      </c>
      <c r="M269" s="2" t="s">
        <v>1223</v>
      </c>
      <c r="N269" s="2" t="s">
        <v>1231</v>
      </c>
      <c r="O269" s="2" t="s">
        <v>10</v>
      </c>
      <c r="P269" s="3">
        <v>45114</v>
      </c>
      <c r="Q269" s="4">
        <v>190920</v>
      </c>
      <c r="R269">
        <v>341</v>
      </c>
      <c r="S269" t="str">
        <f>IF(Linked[[#This Row],[Credit Score]]&lt;=579,"Poor",IF(Linked[[#This Row],[Credit Score]]&lt;=669,"Fair",IF(Linked[[#This Row],[Credit Score]]&lt;=739,"Good",IF(Linked[[#This Row],[Credit Score]]&lt;=799,"Very Good",IF(Linked[[#This Row],[Credit Score]]&gt;=800,"Excellent")))))</f>
        <v>Poor</v>
      </c>
      <c r="T269" s="4">
        <v>0</v>
      </c>
      <c r="U269" s="2" t="s">
        <v>18</v>
      </c>
      <c r="V269" s="2"/>
    </row>
    <row r="270" spans="1:22" x14ac:dyDescent="0.25">
      <c r="A270" s="2" t="s">
        <v>230</v>
      </c>
      <c r="B270" s="2" t="s">
        <v>236</v>
      </c>
      <c r="C270" s="2" t="s">
        <v>2135</v>
      </c>
      <c r="D270" s="2" t="s">
        <v>1219</v>
      </c>
      <c r="E270">
        <v>41</v>
      </c>
      <c r="F270" s="2" t="s">
        <v>1220</v>
      </c>
      <c r="G270" s="2" t="s">
        <v>1229</v>
      </c>
      <c r="H270" s="2" t="s">
        <v>1222</v>
      </c>
      <c r="I270" s="1">
        <v>42457</v>
      </c>
      <c r="J270">
        <v>2016</v>
      </c>
      <c r="K270" s="2" t="s">
        <v>1402</v>
      </c>
      <c r="L270" s="4">
        <v>196037</v>
      </c>
      <c r="M270" s="2" t="s">
        <v>1223</v>
      </c>
      <c r="N270" s="2" t="s">
        <v>1231</v>
      </c>
      <c r="O270" s="2" t="s">
        <v>25</v>
      </c>
      <c r="P270" s="3">
        <v>42512</v>
      </c>
      <c r="Q270" s="4">
        <v>355926</v>
      </c>
      <c r="R270">
        <v>715</v>
      </c>
      <c r="S270" t="str">
        <f>IF(Linked[[#This Row],[Credit Score]]&lt;=579,"Poor",IF(Linked[[#This Row],[Credit Score]]&lt;=669,"Fair",IF(Linked[[#This Row],[Credit Score]]&lt;=739,"Good",IF(Linked[[#This Row],[Credit Score]]&lt;=799,"Very Good",IF(Linked[[#This Row],[Credit Score]]&gt;=800,"Excellent")))))</f>
        <v>Good</v>
      </c>
      <c r="T270" s="4">
        <v>0</v>
      </c>
      <c r="U270" s="2"/>
      <c r="V270" s="2"/>
    </row>
    <row r="271" spans="1:22" x14ac:dyDescent="0.25">
      <c r="A271" s="2" t="s">
        <v>232</v>
      </c>
      <c r="B271" s="2" t="s">
        <v>231</v>
      </c>
      <c r="C271" s="2" t="s">
        <v>2122</v>
      </c>
      <c r="D271" s="2" t="s">
        <v>1227</v>
      </c>
      <c r="E271">
        <v>27</v>
      </c>
      <c r="F271" s="2" t="s">
        <v>1242</v>
      </c>
      <c r="G271" s="2" t="s">
        <v>1229</v>
      </c>
      <c r="H271" s="2" t="s">
        <v>1259</v>
      </c>
      <c r="I271" s="1">
        <v>42571</v>
      </c>
      <c r="J271">
        <v>2016</v>
      </c>
      <c r="K271" s="2" t="s">
        <v>2123</v>
      </c>
      <c r="L271" s="4">
        <v>174351</v>
      </c>
      <c r="M271" s="2" t="s">
        <v>1223</v>
      </c>
      <c r="N271" s="2" t="s">
        <v>1224</v>
      </c>
      <c r="O271" s="2" t="s">
        <v>25</v>
      </c>
      <c r="P271" s="3">
        <v>42671</v>
      </c>
      <c r="Q271" s="4">
        <v>374044</v>
      </c>
      <c r="R271">
        <v>438</v>
      </c>
      <c r="S271" t="str">
        <f>IF(Linked[[#This Row],[Credit Score]]&lt;=579,"Poor",IF(Linked[[#This Row],[Credit Score]]&lt;=669,"Fair",IF(Linked[[#This Row],[Credit Score]]&lt;=739,"Good",IF(Linked[[#This Row],[Credit Score]]&lt;=799,"Very Good",IF(Linked[[#This Row],[Credit Score]]&gt;=800,"Excellent")))))</f>
        <v>Poor</v>
      </c>
      <c r="T271" s="4">
        <v>251983</v>
      </c>
      <c r="U271" s="2"/>
      <c r="V271" s="2"/>
    </row>
    <row r="272" spans="1:22" x14ac:dyDescent="0.25">
      <c r="A272" s="2" t="s">
        <v>232</v>
      </c>
      <c r="B272" s="2" t="s">
        <v>543</v>
      </c>
      <c r="C272" s="2" t="s">
        <v>2122</v>
      </c>
      <c r="D272" s="2" t="s">
        <v>1227</v>
      </c>
      <c r="E272">
        <v>27</v>
      </c>
      <c r="F272" s="2" t="s">
        <v>1242</v>
      </c>
      <c r="G272" s="2" t="s">
        <v>1229</v>
      </c>
      <c r="H272" s="2" t="s">
        <v>1259</v>
      </c>
      <c r="I272" s="1">
        <v>42571</v>
      </c>
      <c r="J272">
        <v>2016</v>
      </c>
      <c r="K272" s="2" t="s">
        <v>2123</v>
      </c>
      <c r="L272" s="4">
        <v>174351</v>
      </c>
      <c r="M272" s="2" t="s">
        <v>1223</v>
      </c>
      <c r="N272" s="2" t="s">
        <v>1224</v>
      </c>
      <c r="O272" s="2" t="s">
        <v>13</v>
      </c>
      <c r="P272" s="3">
        <v>43634</v>
      </c>
      <c r="Q272" s="4">
        <v>22010</v>
      </c>
      <c r="R272">
        <v>626</v>
      </c>
      <c r="S272" t="str">
        <f>IF(Linked[[#This Row],[Credit Score]]&lt;=579,"Poor",IF(Linked[[#This Row],[Credit Score]]&lt;=669,"Fair",IF(Linked[[#This Row],[Credit Score]]&lt;=739,"Good",IF(Linked[[#This Row],[Credit Score]]&lt;=799,"Very Good",IF(Linked[[#This Row],[Credit Score]]&gt;=800,"Excellent")))))</f>
        <v>Fair</v>
      </c>
      <c r="T272" s="4">
        <v>268312</v>
      </c>
      <c r="U272" s="2" t="s">
        <v>59</v>
      </c>
      <c r="V272" s="2"/>
    </row>
    <row r="273" spans="1:22" x14ac:dyDescent="0.25">
      <c r="A273" s="2" t="s">
        <v>251</v>
      </c>
      <c r="B273" s="2" t="s">
        <v>250</v>
      </c>
      <c r="C273" s="2" t="s">
        <v>1502</v>
      </c>
      <c r="D273" s="2" t="s">
        <v>1219</v>
      </c>
      <c r="E273">
        <v>62</v>
      </c>
      <c r="F273" s="2" t="s">
        <v>1263</v>
      </c>
      <c r="G273" s="2" t="s">
        <v>1229</v>
      </c>
      <c r="H273" s="2" t="s">
        <v>1239</v>
      </c>
      <c r="I273" s="1">
        <v>43555</v>
      </c>
      <c r="J273">
        <v>2019</v>
      </c>
      <c r="K273" s="2" t="s">
        <v>1503</v>
      </c>
      <c r="L273" s="4">
        <v>67638</v>
      </c>
      <c r="M273" s="2" t="s">
        <v>1250</v>
      </c>
      <c r="N273" s="2" t="s">
        <v>1224</v>
      </c>
      <c r="O273" s="2" t="s">
        <v>25</v>
      </c>
      <c r="P273" s="3">
        <v>44456</v>
      </c>
      <c r="Q273" s="4">
        <v>109814</v>
      </c>
      <c r="R273">
        <v>798</v>
      </c>
      <c r="S273" t="str">
        <f>IF(Linked[[#This Row],[Credit Score]]&lt;=579,"Poor",IF(Linked[[#This Row],[Credit Score]]&lt;=669,"Fair",IF(Linked[[#This Row],[Credit Score]]&lt;=739,"Good",IF(Linked[[#This Row],[Credit Score]]&lt;=799,"Very Good",IF(Linked[[#This Row],[Credit Score]]&gt;=800,"Excellent")))))</f>
        <v>Very Good</v>
      </c>
      <c r="T273" s="4">
        <v>0</v>
      </c>
      <c r="U273" s="2"/>
      <c r="V273" s="2"/>
    </row>
    <row r="274" spans="1:22" x14ac:dyDescent="0.25">
      <c r="A274" s="2" t="s">
        <v>238</v>
      </c>
      <c r="B274" s="2" t="s">
        <v>237</v>
      </c>
      <c r="C274" s="2" t="s">
        <v>1980</v>
      </c>
      <c r="D274" s="2" t="s">
        <v>1227</v>
      </c>
      <c r="E274">
        <v>23</v>
      </c>
      <c r="F274" s="2" t="s">
        <v>1242</v>
      </c>
      <c r="G274" s="2" t="s">
        <v>1221</v>
      </c>
      <c r="H274" s="2" t="s">
        <v>1239</v>
      </c>
      <c r="I274" s="1">
        <v>45017</v>
      </c>
      <c r="J274">
        <v>2023</v>
      </c>
      <c r="K274" s="2" t="s">
        <v>1981</v>
      </c>
      <c r="L274" s="4">
        <v>130091</v>
      </c>
      <c r="M274" s="2" t="s">
        <v>1245</v>
      </c>
      <c r="N274" s="2" t="s">
        <v>1231</v>
      </c>
      <c r="O274" s="2" t="s">
        <v>32</v>
      </c>
      <c r="P274" s="3">
        <v>44775</v>
      </c>
      <c r="Q274" s="4">
        <v>232076</v>
      </c>
      <c r="R274">
        <v>805</v>
      </c>
      <c r="S274" t="str">
        <f>IF(Linked[[#This Row],[Credit Score]]&lt;=579,"Poor",IF(Linked[[#This Row],[Credit Score]]&lt;=669,"Fair",IF(Linked[[#This Row],[Credit Score]]&lt;=739,"Good",IF(Linked[[#This Row],[Credit Score]]&lt;=799,"Very Good",IF(Linked[[#This Row],[Credit Score]]&gt;=800,"Excellent")))))</f>
        <v>Excellent</v>
      </c>
      <c r="T274" s="4">
        <v>0</v>
      </c>
      <c r="U274" s="2"/>
      <c r="V274" s="2"/>
    </row>
    <row r="275" spans="1:22" x14ac:dyDescent="0.25">
      <c r="A275" s="2" t="s">
        <v>240</v>
      </c>
      <c r="B275" s="2" t="s">
        <v>239</v>
      </c>
      <c r="C275" s="2" t="s">
        <v>1719</v>
      </c>
      <c r="D275" s="2" t="s">
        <v>1219</v>
      </c>
      <c r="E275">
        <v>58</v>
      </c>
      <c r="F275" s="2" t="s">
        <v>1228</v>
      </c>
      <c r="G275" s="2" t="s">
        <v>1221</v>
      </c>
      <c r="H275" s="2" t="s">
        <v>1253</v>
      </c>
      <c r="I275" s="1">
        <v>45427</v>
      </c>
      <c r="J275">
        <v>2024</v>
      </c>
      <c r="K275" s="2" t="s">
        <v>1720</v>
      </c>
      <c r="L275" s="4">
        <v>102711</v>
      </c>
      <c r="M275" s="2" t="s">
        <v>1245</v>
      </c>
      <c r="N275" s="2" t="s">
        <v>1224</v>
      </c>
      <c r="O275" s="2" t="s">
        <v>13</v>
      </c>
      <c r="P275" s="3">
        <v>43515</v>
      </c>
      <c r="Q275" s="4">
        <v>23199</v>
      </c>
      <c r="R275">
        <v>723</v>
      </c>
      <c r="S275" t="str">
        <f>IF(Linked[[#This Row],[Credit Score]]&lt;=579,"Poor",IF(Linked[[#This Row],[Credit Score]]&lt;=669,"Fair",IF(Linked[[#This Row],[Credit Score]]&lt;=739,"Good",IF(Linked[[#This Row],[Credit Score]]&lt;=799,"Very Good",IF(Linked[[#This Row],[Credit Score]]&gt;=800,"Excellent")))))</f>
        <v>Good</v>
      </c>
      <c r="T275" s="4">
        <v>0</v>
      </c>
      <c r="U275" s="2"/>
      <c r="V275" s="2"/>
    </row>
    <row r="276" spans="1:22" x14ac:dyDescent="0.25">
      <c r="A276" s="2" t="s">
        <v>240</v>
      </c>
      <c r="B276" s="2" t="s">
        <v>247</v>
      </c>
      <c r="C276" s="2" t="s">
        <v>1719</v>
      </c>
      <c r="D276" s="2" t="s">
        <v>1219</v>
      </c>
      <c r="E276">
        <v>58</v>
      </c>
      <c r="F276" s="2" t="s">
        <v>1228</v>
      </c>
      <c r="G276" s="2" t="s">
        <v>1221</v>
      </c>
      <c r="H276" s="2" t="s">
        <v>1253</v>
      </c>
      <c r="I276" s="1">
        <v>45427</v>
      </c>
      <c r="J276">
        <v>2024</v>
      </c>
      <c r="K276" s="2" t="s">
        <v>1720</v>
      </c>
      <c r="L276" s="4">
        <v>102711</v>
      </c>
      <c r="M276" s="2" t="s">
        <v>1245</v>
      </c>
      <c r="N276" s="2" t="s">
        <v>1224</v>
      </c>
      <c r="O276" s="2" t="s">
        <v>10</v>
      </c>
      <c r="P276" s="3">
        <v>42587</v>
      </c>
      <c r="Q276" s="4">
        <v>185388</v>
      </c>
      <c r="R276">
        <v>792</v>
      </c>
      <c r="S276" t="str">
        <f>IF(Linked[[#This Row],[Credit Score]]&lt;=579,"Poor",IF(Linked[[#This Row],[Credit Score]]&lt;=669,"Fair",IF(Linked[[#This Row],[Credit Score]]&lt;=739,"Good",IF(Linked[[#This Row],[Credit Score]]&lt;=799,"Very Good",IF(Linked[[#This Row],[Credit Score]]&gt;=800,"Excellent")))))</f>
        <v>Very Good</v>
      </c>
      <c r="T276" s="4">
        <v>0</v>
      </c>
      <c r="U276" s="2"/>
      <c r="V276" s="2"/>
    </row>
    <row r="277" spans="1:22" x14ac:dyDescent="0.25">
      <c r="A277" s="2" t="s">
        <v>240</v>
      </c>
      <c r="B277" s="2" t="s">
        <v>589</v>
      </c>
      <c r="C277" s="2" t="s">
        <v>1719</v>
      </c>
      <c r="D277" s="2" t="s">
        <v>1219</v>
      </c>
      <c r="E277">
        <v>58</v>
      </c>
      <c r="F277" s="2" t="s">
        <v>1228</v>
      </c>
      <c r="G277" s="2" t="s">
        <v>1221</v>
      </c>
      <c r="H277" s="2" t="s">
        <v>1253</v>
      </c>
      <c r="I277" s="1">
        <v>45427</v>
      </c>
      <c r="J277">
        <v>2024</v>
      </c>
      <c r="K277" s="2" t="s">
        <v>1720</v>
      </c>
      <c r="L277" s="4">
        <v>102711</v>
      </c>
      <c r="M277" s="2" t="s">
        <v>1245</v>
      </c>
      <c r="N277" s="2" t="s">
        <v>1224</v>
      </c>
      <c r="O277" s="2" t="s">
        <v>32</v>
      </c>
      <c r="P277" s="3">
        <v>42767</v>
      </c>
      <c r="Q277" s="4">
        <v>163244</v>
      </c>
      <c r="R277">
        <v>470</v>
      </c>
      <c r="S277" t="str">
        <f>IF(Linked[[#This Row],[Credit Score]]&lt;=579,"Poor",IF(Linked[[#This Row],[Credit Score]]&lt;=669,"Fair",IF(Linked[[#This Row],[Credit Score]]&lt;=739,"Good",IF(Linked[[#This Row],[Credit Score]]&lt;=799,"Very Good",IF(Linked[[#This Row],[Credit Score]]&gt;=800,"Excellent")))))</f>
        <v>Poor</v>
      </c>
      <c r="T277" s="4">
        <v>0</v>
      </c>
      <c r="U277" s="2"/>
      <c r="V277" s="2"/>
    </row>
    <row r="278" spans="1:22" x14ac:dyDescent="0.25">
      <c r="A278" s="2" t="s">
        <v>242</v>
      </c>
      <c r="B278" s="2" t="s">
        <v>241</v>
      </c>
      <c r="C278" s="2" t="s">
        <v>2087</v>
      </c>
      <c r="D278" s="2" t="s">
        <v>1219</v>
      </c>
      <c r="E278">
        <v>35</v>
      </c>
      <c r="F278" s="2" t="s">
        <v>1220</v>
      </c>
      <c r="G278" s="2" t="s">
        <v>1221</v>
      </c>
      <c r="H278" s="2" t="s">
        <v>1259</v>
      </c>
      <c r="I278" s="1">
        <v>42931</v>
      </c>
      <c r="J278">
        <v>2017</v>
      </c>
      <c r="K278" s="2" t="s">
        <v>2088</v>
      </c>
      <c r="L278" s="4">
        <v>46017</v>
      </c>
      <c r="M278" s="2" t="s">
        <v>1250</v>
      </c>
      <c r="N278" s="2" t="s">
        <v>1231</v>
      </c>
      <c r="O278" s="2" t="s">
        <v>10</v>
      </c>
      <c r="P278" s="3">
        <v>45207</v>
      </c>
      <c r="Q278" s="4">
        <v>437805</v>
      </c>
      <c r="R278">
        <v>706</v>
      </c>
      <c r="S278" t="str">
        <f>IF(Linked[[#This Row],[Credit Score]]&lt;=579,"Poor",IF(Linked[[#This Row],[Credit Score]]&lt;=669,"Fair",IF(Linked[[#This Row],[Credit Score]]&lt;=739,"Good",IF(Linked[[#This Row],[Credit Score]]&lt;=799,"Very Good",IF(Linked[[#This Row],[Credit Score]]&gt;=800,"Excellent")))))</f>
        <v>Good</v>
      </c>
      <c r="T278" s="4">
        <v>0</v>
      </c>
      <c r="U278" s="2" t="s">
        <v>39</v>
      </c>
      <c r="V278" s="2"/>
    </row>
    <row r="279" spans="1:22" x14ac:dyDescent="0.25">
      <c r="A279" s="2" t="s">
        <v>242</v>
      </c>
      <c r="B279" s="2" t="s">
        <v>456</v>
      </c>
      <c r="C279" s="2" t="s">
        <v>2087</v>
      </c>
      <c r="D279" s="2" t="s">
        <v>1219</v>
      </c>
      <c r="E279">
        <v>35</v>
      </c>
      <c r="F279" s="2" t="s">
        <v>1220</v>
      </c>
      <c r="G279" s="2" t="s">
        <v>1221</v>
      </c>
      <c r="H279" s="2" t="s">
        <v>1259</v>
      </c>
      <c r="I279" s="1">
        <v>42931</v>
      </c>
      <c r="J279">
        <v>2017</v>
      </c>
      <c r="K279" s="2" t="s">
        <v>2088</v>
      </c>
      <c r="L279" s="4">
        <v>46017</v>
      </c>
      <c r="M279" s="2" t="s">
        <v>1250</v>
      </c>
      <c r="N279" s="2" t="s">
        <v>1231</v>
      </c>
      <c r="O279" s="2" t="s">
        <v>13</v>
      </c>
      <c r="P279" s="3">
        <v>43441</v>
      </c>
      <c r="Q279" s="4">
        <v>180882</v>
      </c>
      <c r="R279">
        <v>410</v>
      </c>
      <c r="S279" t="str">
        <f>IF(Linked[[#This Row],[Credit Score]]&lt;=579,"Poor",IF(Linked[[#This Row],[Credit Score]]&lt;=669,"Fair",IF(Linked[[#This Row],[Credit Score]]&lt;=739,"Good",IF(Linked[[#This Row],[Credit Score]]&lt;=799,"Very Good",IF(Linked[[#This Row],[Credit Score]]&gt;=800,"Excellent")))))</f>
        <v>Poor</v>
      </c>
      <c r="T279" s="4">
        <v>0</v>
      </c>
      <c r="U279" s="2" t="s">
        <v>39</v>
      </c>
      <c r="V279" s="2"/>
    </row>
    <row r="280" spans="1:22" x14ac:dyDescent="0.25">
      <c r="A280" s="2" t="s">
        <v>244</v>
      </c>
      <c r="B280" s="2" t="s">
        <v>243</v>
      </c>
      <c r="C280" s="2" t="s">
        <v>1594</v>
      </c>
      <c r="D280" s="2" t="s">
        <v>1227</v>
      </c>
      <c r="E280">
        <v>51</v>
      </c>
      <c r="F280" s="2" t="s">
        <v>1228</v>
      </c>
      <c r="G280" s="2" t="s">
        <v>1243</v>
      </c>
      <c r="H280" s="2" t="s">
        <v>1222</v>
      </c>
      <c r="I280" s="1">
        <v>44789</v>
      </c>
      <c r="J280">
        <v>2022</v>
      </c>
      <c r="K280" s="2" t="s">
        <v>1595</v>
      </c>
      <c r="L280" s="4">
        <v>40953</v>
      </c>
      <c r="M280" s="2" t="s">
        <v>1250</v>
      </c>
      <c r="N280" s="2" t="s">
        <v>1224</v>
      </c>
      <c r="O280" s="2" t="s">
        <v>10</v>
      </c>
      <c r="P280" s="3">
        <v>45343</v>
      </c>
      <c r="Q280" s="4">
        <v>163187</v>
      </c>
      <c r="R280">
        <v>689</v>
      </c>
      <c r="S280" t="str">
        <f>IF(Linked[[#This Row],[Credit Score]]&lt;=579,"Poor",IF(Linked[[#This Row],[Credit Score]]&lt;=669,"Fair",IF(Linked[[#This Row],[Credit Score]]&lt;=739,"Good",IF(Linked[[#This Row],[Credit Score]]&lt;=799,"Very Good",IF(Linked[[#This Row],[Credit Score]]&gt;=800,"Excellent")))))</f>
        <v>Good</v>
      </c>
      <c r="T280" s="4">
        <v>497174</v>
      </c>
      <c r="U280" s="2"/>
      <c r="V280" s="2"/>
    </row>
    <row r="281" spans="1:22" x14ac:dyDescent="0.25">
      <c r="A281" s="2" t="s">
        <v>244</v>
      </c>
      <c r="B281" s="2" t="s">
        <v>721</v>
      </c>
      <c r="C281" s="2" t="s">
        <v>1594</v>
      </c>
      <c r="D281" s="2" t="s">
        <v>1227</v>
      </c>
      <c r="E281">
        <v>51</v>
      </c>
      <c r="F281" s="2" t="s">
        <v>1228</v>
      </c>
      <c r="G281" s="2" t="s">
        <v>1243</v>
      </c>
      <c r="H281" s="2" t="s">
        <v>1222</v>
      </c>
      <c r="I281" s="1">
        <v>44789</v>
      </c>
      <c r="J281">
        <v>2022</v>
      </c>
      <c r="K281" s="2" t="s">
        <v>1595</v>
      </c>
      <c r="L281" s="4">
        <v>40953</v>
      </c>
      <c r="M281" s="2" t="s">
        <v>1250</v>
      </c>
      <c r="N281" s="2" t="s">
        <v>1224</v>
      </c>
      <c r="O281" s="2" t="s">
        <v>32</v>
      </c>
      <c r="P281" s="3">
        <v>43914</v>
      </c>
      <c r="Q281" s="4">
        <v>481247</v>
      </c>
      <c r="R281">
        <v>632</v>
      </c>
      <c r="S281" t="str">
        <f>IF(Linked[[#This Row],[Credit Score]]&lt;=579,"Poor",IF(Linked[[#This Row],[Credit Score]]&lt;=669,"Fair",IF(Linked[[#This Row],[Credit Score]]&lt;=739,"Good",IF(Linked[[#This Row],[Credit Score]]&lt;=799,"Very Good",IF(Linked[[#This Row],[Credit Score]]&gt;=800,"Excellent")))))</f>
        <v>Fair</v>
      </c>
      <c r="T281" s="4">
        <v>0</v>
      </c>
      <c r="U281" s="2"/>
      <c r="V281" s="2"/>
    </row>
    <row r="282" spans="1:22" x14ac:dyDescent="0.25">
      <c r="A282" s="2" t="s">
        <v>246</v>
      </c>
      <c r="B282" s="2" t="s">
        <v>245</v>
      </c>
      <c r="C282" s="2" t="s">
        <v>2179</v>
      </c>
      <c r="D282" s="2" t="s">
        <v>1219</v>
      </c>
      <c r="E282">
        <v>30</v>
      </c>
      <c r="F282" s="2" t="s">
        <v>1220</v>
      </c>
      <c r="G282" s="2" t="s">
        <v>1229</v>
      </c>
      <c r="H282" s="2" t="s">
        <v>1259</v>
      </c>
      <c r="I282" s="1">
        <v>45328</v>
      </c>
      <c r="J282">
        <v>2024</v>
      </c>
      <c r="K282" s="2" t="s">
        <v>2180</v>
      </c>
      <c r="L282" s="4">
        <v>96367</v>
      </c>
      <c r="M282" s="2" t="s">
        <v>1245</v>
      </c>
      <c r="N282" s="2" t="s">
        <v>1224</v>
      </c>
      <c r="O282" s="2" t="s">
        <v>13</v>
      </c>
      <c r="P282" s="3">
        <v>45708</v>
      </c>
      <c r="Q282" s="4">
        <v>455150</v>
      </c>
      <c r="R282">
        <v>641</v>
      </c>
      <c r="S282" t="str">
        <f>IF(Linked[[#This Row],[Credit Score]]&lt;=579,"Poor",IF(Linked[[#This Row],[Credit Score]]&lt;=669,"Fair",IF(Linked[[#This Row],[Credit Score]]&lt;=739,"Good",IF(Linked[[#This Row],[Credit Score]]&lt;=799,"Very Good",IF(Linked[[#This Row],[Credit Score]]&gt;=800,"Excellent")))))</f>
        <v>Fair</v>
      </c>
      <c r="T282" s="4">
        <v>93741</v>
      </c>
      <c r="U282" s="2" t="s">
        <v>18</v>
      </c>
      <c r="V282" s="2"/>
    </row>
    <row r="283" spans="1:22" x14ac:dyDescent="0.25">
      <c r="A283" s="2" t="s">
        <v>427</v>
      </c>
      <c r="B283" s="2" t="s">
        <v>426</v>
      </c>
      <c r="C283" s="2" t="s">
        <v>1513</v>
      </c>
      <c r="D283" s="2" t="s">
        <v>1219</v>
      </c>
      <c r="E283">
        <v>22</v>
      </c>
      <c r="F283" s="2" t="s">
        <v>1242</v>
      </c>
      <c r="G283" s="2" t="s">
        <v>1249</v>
      </c>
      <c r="H283" s="2" t="s">
        <v>1253</v>
      </c>
      <c r="I283" s="1">
        <v>42754</v>
      </c>
      <c r="J283">
        <v>2017</v>
      </c>
      <c r="K283" s="2" t="s">
        <v>1514</v>
      </c>
      <c r="L283" s="4">
        <v>187581</v>
      </c>
      <c r="M283" s="2" t="s">
        <v>1223</v>
      </c>
      <c r="N283" s="2" t="s">
        <v>1231</v>
      </c>
      <c r="O283" s="2" t="s">
        <v>10</v>
      </c>
      <c r="P283" s="3">
        <v>45108</v>
      </c>
      <c r="Q283" s="4">
        <v>42056</v>
      </c>
      <c r="R283">
        <v>848</v>
      </c>
      <c r="S283" t="str">
        <f>IF(Linked[[#This Row],[Credit Score]]&lt;=579,"Poor",IF(Linked[[#This Row],[Credit Score]]&lt;=669,"Fair",IF(Linked[[#This Row],[Credit Score]]&lt;=739,"Good",IF(Linked[[#This Row],[Credit Score]]&lt;=799,"Very Good",IF(Linked[[#This Row],[Credit Score]]&gt;=800,"Excellent")))))</f>
        <v>Excellent</v>
      </c>
      <c r="T283" s="4">
        <v>436739</v>
      </c>
      <c r="U283" s="2"/>
      <c r="V283" s="2"/>
    </row>
    <row r="284" spans="1:22" x14ac:dyDescent="0.25">
      <c r="A284" s="2" t="s">
        <v>249</v>
      </c>
      <c r="B284" s="2" t="s">
        <v>248</v>
      </c>
      <c r="C284" s="2" t="s">
        <v>1826</v>
      </c>
      <c r="D284" s="2" t="s">
        <v>1219</v>
      </c>
      <c r="E284">
        <v>29</v>
      </c>
      <c r="F284" s="2" t="s">
        <v>1220</v>
      </c>
      <c r="G284" s="2" t="s">
        <v>1243</v>
      </c>
      <c r="H284" s="2" t="s">
        <v>1244</v>
      </c>
      <c r="I284" s="1">
        <v>42737</v>
      </c>
      <c r="J284">
        <v>2017</v>
      </c>
      <c r="K284" s="2" t="s">
        <v>1827</v>
      </c>
      <c r="L284" s="4">
        <v>172876</v>
      </c>
      <c r="M284" s="2" t="s">
        <v>1223</v>
      </c>
      <c r="N284" s="2" t="s">
        <v>1224</v>
      </c>
      <c r="O284" s="2" t="s">
        <v>13</v>
      </c>
      <c r="P284" s="3">
        <v>44581</v>
      </c>
      <c r="Q284" s="4">
        <v>5520</v>
      </c>
      <c r="R284">
        <v>491</v>
      </c>
      <c r="S284" t="str">
        <f>IF(Linked[[#This Row],[Credit Score]]&lt;=579,"Poor",IF(Linked[[#This Row],[Credit Score]]&lt;=669,"Fair",IF(Linked[[#This Row],[Credit Score]]&lt;=739,"Good",IF(Linked[[#This Row],[Credit Score]]&lt;=799,"Very Good",IF(Linked[[#This Row],[Credit Score]]&gt;=800,"Excellent")))))</f>
        <v>Poor</v>
      </c>
      <c r="T284" s="4">
        <v>0</v>
      </c>
      <c r="U284" s="2" t="s">
        <v>59</v>
      </c>
      <c r="V284" s="2"/>
    </row>
    <row r="285" spans="1:22" x14ac:dyDescent="0.25">
      <c r="A285" s="2" t="s">
        <v>249</v>
      </c>
      <c r="B285" s="2" t="s">
        <v>481</v>
      </c>
      <c r="C285" s="2" t="s">
        <v>1826</v>
      </c>
      <c r="D285" s="2" t="s">
        <v>1219</v>
      </c>
      <c r="E285">
        <v>29</v>
      </c>
      <c r="F285" s="2" t="s">
        <v>1220</v>
      </c>
      <c r="G285" s="2" t="s">
        <v>1243</v>
      </c>
      <c r="H285" s="2" t="s">
        <v>1244</v>
      </c>
      <c r="I285" s="1">
        <v>42737</v>
      </c>
      <c r="J285">
        <v>2017</v>
      </c>
      <c r="K285" s="2" t="s">
        <v>1827</v>
      </c>
      <c r="L285" s="4">
        <v>172876</v>
      </c>
      <c r="M285" s="2" t="s">
        <v>1223</v>
      </c>
      <c r="N285" s="2" t="s">
        <v>1224</v>
      </c>
      <c r="O285" s="2" t="s">
        <v>25</v>
      </c>
      <c r="P285" s="3">
        <v>43275</v>
      </c>
      <c r="Q285" s="4">
        <v>495239</v>
      </c>
      <c r="R285">
        <v>825</v>
      </c>
      <c r="S285" t="str">
        <f>IF(Linked[[#This Row],[Credit Score]]&lt;=579,"Poor",IF(Linked[[#This Row],[Credit Score]]&lt;=669,"Fair",IF(Linked[[#This Row],[Credit Score]]&lt;=739,"Good",IF(Linked[[#This Row],[Credit Score]]&lt;=799,"Very Good",IF(Linked[[#This Row],[Credit Score]]&gt;=800,"Excellent")))))</f>
        <v>Excellent</v>
      </c>
      <c r="T285" s="4">
        <v>0</v>
      </c>
      <c r="U285" s="2"/>
      <c r="V285" s="2"/>
    </row>
    <row r="286" spans="1:22" x14ac:dyDescent="0.25">
      <c r="A286" s="2" t="s">
        <v>297</v>
      </c>
      <c r="B286" s="2" t="s">
        <v>296</v>
      </c>
      <c r="C286" s="2" t="s">
        <v>1517</v>
      </c>
      <c r="D286" s="2" t="s">
        <v>1227</v>
      </c>
      <c r="E286">
        <v>46</v>
      </c>
      <c r="F286" s="2" t="s">
        <v>1228</v>
      </c>
      <c r="G286" s="2" t="s">
        <v>1249</v>
      </c>
      <c r="H286" s="2" t="s">
        <v>1222</v>
      </c>
      <c r="I286" s="1">
        <v>42374</v>
      </c>
      <c r="J286">
        <v>2016</v>
      </c>
      <c r="K286" s="2" t="s">
        <v>1518</v>
      </c>
      <c r="L286" s="4">
        <v>112241</v>
      </c>
      <c r="M286" s="2" t="s">
        <v>1245</v>
      </c>
      <c r="N286" s="2" t="s">
        <v>1231</v>
      </c>
      <c r="O286" s="2" t="s">
        <v>32</v>
      </c>
      <c r="P286" s="3">
        <v>43906</v>
      </c>
      <c r="Q286" s="4">
        <v>384010</v>
      </c>
      <c r="R286">
        <v>527</v>
      </c>
      <c r="S286" t="str">
        <f>IF(Linked[[#This Row],[Credit Score]]&lt;=579,"Poor",IF(Linked[[#This Row],[Credit Score]]&lt;=669,"Fair",IF(Linked[[#This Row],[Credit Score]]&lt;=739,"Good",IF(Linked[[#This Row],[Credit Score]]&lt;=799,"Very Good",IF(Linked[[#This Row],[Credit Score]]&gt;=800,"Excellent")))))</f>
        <v>Poor</v>
      </c>
      <c r="T286" s="4">
        <v>0</v>
      </c>
      <c r="U286" s="2"/>
      <c r="V286" s="2"/>
    </row>
    <row r="287" spans="1:22" x14ac:dyDescent="0.25">
      <c r="A287" s="2" t="s">
        <v>645</v>
      </c>
      <c r="B287" s="2" t="s">
        <v>644</v>
      </c>
      <c r="C287" s="2" t="s">
        <v>1519</v>
      </c>
      <c r="D287" s="2" t="s">
        <v>1219</v>
      </c>
      <c r="E287">
        <v>72</v>
      </c>
      <c r="F287" s="2" t="s">
        <v>1263</v>
      </c>
      <c r="G287" s="2" t="s">
        <v>1221</v>
      </c>
      <c r="H287" s="2" t="s">
        <v>1259</v>
      </c>
      <c r="I287" s="1">
        <v>45039</v>
      </c>
      <c r="J287">
        <v>2023</v>
      </c>
      <c r="K287" s="2" t="s">
        <v>1520</v>
      </c>
      <c r="L287" s="4">
        <v>169859</v>
      </c>
      <c r="M287" s="2" t="s">
        <v>1223</v>
      </c>
      <c r="N287" s="2" t="s">
        <v>1224</v>
      </c>
      <c r="O287" s="2" t="s">
        <v>13</v>
      </c>
      <c r="P287" s="3">
        <v>44164</v>
      </c>
      <c r="Q287" s="4">
        <v>449449</v>
      </c>
      <c r="R287">
        <v>829</v>
      </c>
      <c r="S287" t="str">
        <f>IF(Linked[[#This Row],[Credit Score]]&lt;=579,"Poor",IF(Linked[[#This Row],[Credit Score]]&lt;=669,"Fair",IF(Linked[[#This Row],[Credit Score]]&lt;=739,"Good",IF(Linked[[#This Row],[Credit Score]]&lt;=799,"Very Good",IF(Linked[[#This Row],[Credit Score]]&gt;=800,"Excellent")))))</f>
        <v>Excellent</v>
      </c>
      <c r="T287" s="4">
        <v>0</v>
      </c>
      <c r="U287" s="2"/>
      <c r="V287" s="2"/>
    </row>
    <row r="288" spans="1:22" x14ac:dyDescent="0.25">
      <c r="A288" s="2" t="s">
        <v>645</v>
      </c>
      <c r="B288" s="2" t="s">
        <v>778</v>
      </c>
      <c r="C288" s="2" t="s">
        <v>1519</v>
      </c>
      <c r="D288" s="2" t="s">
        <v>1219</v>
      </c>
      <c r="E288">
        <v>72</v>
      </c>
      <c r="F288" s="2" t="s">
        <v>1263</v>
      </c>
      <c r="G288" s="2" t="s">
        <v>1221</v>
      </c>
      <c r="H288" s="2" t="s">
        <v>1259</v>
      </c>
      <c r="I288" s="1">
        <v>45039</v>
      </c>
      <c r="J288">
        <v>2023</v>
      </c>
      <c r="K288" s="2" t="s">
        <v>1520</v>
      </c>
      <c r="L288" s="4">
        <v>169859</v>
      </c>
      <c r="M288" s="2" t="s">
        <v>1223</v>
      </c>
      <c r="N288" s="2" t="s">
        <v>1224</v>
      </c>
      <c r="O288" s="2" t="s">
        <v>32</v>
      </c>
      <c r="P288" s="3">
        <v>44272</v>
      </c>
      <c r="Q288" s="4">
        <v>426673</v>
      </c>
      <c r="R288">
        <v>520</v>
      </c>
      <c r="S288" t="str">
        <f>IF(Linked[[#This Row],[Credit Score]]&lt;=579,"Poor",IF(Linked[[#This Row],[Credit Score]]&lt;=669,"Fair",IF(Linked[[#This Row],[Credit Score]]&lt;=739,"Good",IF(Linked[[#This Row],[Credit Score]]&lt;=799,"Very Good",IF(Linked[[#This Row],[Credit Score]]&gt;=800,"Excellent")))))</f>
        <v>Poor</v>
      </c>
      <c r="T288" s="4">
        <v>0</v>
      </c>
      <c r="U288" s="2"/>
      <c r="V288" s="2"/>
    </row>
    <row r="289" spans="1:22" x14ac:dyDescent="0.25">
      <c r="A289" s="2" t="s">
        <v>253</v>
      </c>
      <c r="B289" s="2" t="s">
        <v>252</v>
      </c>
      <c r="C289" s="2" t="s">
        <v>2094</v>
      </c>
      <c r="D289" s="2" t="s">
        <v>1227</v>
      </c>
      <c r="E289">
        <v>66</v>
      </c>
      <c r="F289" s="2" t="s">
        <v>1263</v>
      </c>
      <c r="G289" s="2" t="s">
        <v>1221</v>
      </c>
      <c r="H289" s="2" t="s">
        <v>1253</v>
      </c>
      <c r="I289" s="1">
        <v>42384</v>
      </c>
      <c r="J289">
        <v>2016</v>
      </c>
      <c r="K289" s="2" t="s">
        <v>2095</v>
      </c>
      <c r="L289" s="4">
        <v>163273</v>
      </c>
      <c r="M289" s="2" t="s">
        <v>1223</v>
      </c>
      <c r="N289" s="2" t="s">
        <v>1231</v>
      </c>
      <c r="O289" s="2" t="s">
        <v>10</v>
      </c>
      <c r="P289" s="3">
        <v>43216</v>
      </c>
      <c r="Q289" s="4">
        <v>167527</v>
      </c>
      <c r="R289">
        <v>532</v>
      </c>
      <c r="S289" t="str">
        <f>IF(Linked[[#This Row],[Credit Score]]&lt;=579,"Poor",IF(Linked[[#This Row],[Credit Score]]&lt;=669,"Fair",IF(Linked[[#This Row],[Credit Score]]&lt;=739,"Good",IF(Linked[[#This Row],[Credit Score]]&lt;=799,"Very Good",IF(Linked[[#This Row],[Credit Score]]&gt;=800,"Excellent")))))</f>
        <v>Poor</v>
      </c>
      <c r="T289" s="4">
        <v>0</v>
      </c>
      <c r="U289" s="2"/>
      <c r="V289" s="2"/>
    </row>
    <row r="290" spans="1:22" x14ac:dyDescent="0.25">
      <c r="A290" s="2" t="s">
        <v>255</v>
      </c>
      <c r="B290" s="2" t="s">
        <v>254</v>
      </c>
      <c r="C290" s="2" t="s">
        <v>1968</v>
      </c>
      <c r="D290" s="2" t="s">
        <v>1227</v>
      </c>
      <c r="E290">
        <v>34</v>
      </c>
      <c r="F290" s="2" t="s">
        <v>1220</v>
      </c>
      <c r="G290" s="2" t="s">
        <v>1249</v>
      </c>
      <c r="H290" s="2" t="s">
        <v>1239</v>
      </c>
      <c r="I290" s="1">
        <v>42817</v>
      </c>
      <c r="J290">
        <v>2017</v>
      </c>
      <c r="K290" s="2" t="s">
        <v>1541</v>
      </c>
      <c r="L290" s="4">
        <v>115081</v>
      </c>
      <c r="M290" s="2" t="s">
        <v>1245</v>
      </c>
      <c r="N290" s="2" t="s">
        <v>1236</v>
      </c>
      <c r="O290" s="2" t="s">
        <v>13</v>
      </c>
      <c r="P290" s="3">
        <v>44377</v>
      </c>
      <c r="Q290" s="4">
        <v>246356</v>
      </c>
      <c r="R290">
        <v>526</v>
      </c>
      <c r="S290" t="str">
        <f>IF(Linked[[#This Row],[Credit Score]]&lt;=579,"Poor",IF(Linked[[#This Row],[Credit Score]]&lt;=669,"Fair",IF(Linked[[#This Row],[Credit Score]]&lt;=739,"Good",IF(Linked[[#This Row],[Credit Score]]&lt;=799,"Very Good",IF(Linked[[#This Row],[Credit Score]]&gt;=800,"Excellent")))))</f>
        <v>Poor</v>
      </c>
      <c r="T290" s="4">
        <v>0</v>
      </c>
      <c r="U290" s="2"/>
      <c r="V290" s="2"/>
    </row>
    <row r="291" spans="1:22" x14ac:dyDescent="0.25">
      <c r="A291" s="2" t="s">
        <v>255</v>
      </c>
      <c r="B291" s="2" t="s">
        <v>576</v>
      </c>
      <c r="C291" s="2" t="s">
        <v>1968</v>
      </c>
      <c r="D291" s="2" t="s">
        <v>1227</v>
      </c>
      <c r="E291">
        <v>34</v>
      </c>
      <c r="F291" s="2" t="s">
        <v>1220</v>
      </c>
      <c r="G291" s="2" t="s">
        <v>1249</v>
      </c>
      <c r="H291" s="2" t="s">
        <v>1239</v>
      </c>
      <c r="I291" s="1">
        <v>42817</v>
      </c>
      <c r="J291">
        <v>2017</v>
      </c>
      <c r="K291" s="2" t="s">
        <v>1541</v>
      </c>
      <c r="L291" s="4">
        <v>115081</v>
      </c>
      <c r="M291" s="2" t="s">
        <v>1245</v>
      </c>
      <c r="N291" s="2" t="s">
        <v>1236</v>
      </c>
      <c r="O291" s="2" t="s">
        <v>10</v>
      </c>
      <c r="P291" s="3">
        <v>44188</v>
      </c>
      <c r="Q291" s="4">
        <v>340686</v>
      </c>
      <c r="R291">
        <v>786</v>
      </c>
      <c r="S291" t="str">
        <f>IF(Linked[[#This Row],[Credit Score]]&lt;=579,"Poor",IF(Linked[[#This Row],[Credit Score]]&lt;=669,"Fair",IF(Linked[[#This Row],[Credit Score]]&lt;=739,"Good",IF(Linked[[#This Row],[Credit Score]]&lt;=799,"Very Good",IF(Linked[[#This Row],[Credit Score]]&gt;=800,"Excellent")))))</f>
        <v>Very Good</v>
      </c>
      <c r="T291" s="4">
        <v>0</v>
      </c>
      <c r="U291" s="2"/>
      <c r="V291" s="2"/>
    </row>
    <row r="292" spans="1:22" x14ac:dyDescent="0.25">
      <c r="A292" s="2" t="s">
        <v>336</v>
      </c>
      <c r="B292" s="2" t="s">
        <v>335</v>
      </c>
      <c r="C292" s="2" t="s">
        <v>1526</v>
      </c>
      <c r="D292" s="2" t="s">
        <v>1227</v>
      </c>
      <c r="E292">
        <v>43</v>
      </c>
      <c r="F292" s="2" t="s">
        <v>1220</v>
      </c>
      <c r="G292" s="2" t="s">
        <v>1221</v>
      </c>
      <c r="H292" s="2" t="s">
        <v>1244</v>
      </c>
      <c r="I292" s="1">
        <v>43955</v>
      </c>
      <c r="J292">
        <v>2020</v>
      </c>
      <c r="K292" s="2" t="s">
        <v>1527</v>
      </c>
      <c r="L292" s="4">
        <v>112124</v>
      </c>
      <c r="M292" s="2" t="s">
        <v>1245</v>
      </c>
      <c r="N292" s="2" t="s">
        <v>1231</v>
      </c>
      <c r="O292" s="2" t="s">
        <v>32</v>
      </c>
      <c r="P292" s="3">
        <v>42494</v>
      </c>
      <c r="Q292" s="4">
        <v>234473</v>
      </c>
      <c r="R292">
        <v>581</v>
      </c>
      <c r="S292" t="str">
        <f>IF(Linked[[#This Row],[Credit Score]]&lt;=579,"Poor",IF(Linked[[#This Row],[Credit Score]]&lt;=669,"Fair",IF(Linked[[#This Row],[Credit Score]]&lt;=739,"Good",IF(Linked[[#This Row],[Credit Score]]&lt;=799,"Very Good",IF(Linked[[#This Row],[Credit Score]]&gt;=800,"Excellent")))))</f>
        <v>Fair</v>
      </c>
      <c r="T292" s="4">
        <v>295477</v>
      </c>
      <c r="U292" s="2"/>
      <c r="V292" s="2"/>
    </row>
    <row r="293" spans="1:22" x14ac:dyDescent="0.25">
      <c r="A293" s="2" t="s">
        <v>336</v>
      </c>
      <c r="B293" s="2" t="s">
        <v>650</v>
      </c>
      <c r="C293" s="2" t="s">
        <v>1526</v>
      </c>
      <c r="D293" s="2" t="s">
        <v>1227</v>
      </c>
      <c r="E293">
        <v>43</v>
      </c>
      <c r="F293" s="2" t="s">
        <v>1220</v>
      </c>
      <c r="G293" s="2" t="s">
        <v>1221</v>
      </c>
      <c r="H293" s="2" t="s">
        <v>1244</v>
      </c>
      <c r="I293" s="1">
        <v>43955</v>
      </c>
      <c r="J293">
        <v>2020</v>
      </c>
      <c r="K293" s="2" t="s">
        <v>1527</v>
      </c>
      <c r="L293" s="4">
        <v>112124</v>
      </c>
      <c r="M293" s="2" t="s">
        <v>1245</v>
      </c>
      <c r="N293" s="2" t="s">
        <v>1231</v>
      </c>
      <c r="O293" s="2" t="s">
        <v>25</v>
      </c>
      <c r="P293" s="3">
        <v>45154</v>
      </c>
      <c r="Q293" s="4">
        <v>380172</v>
      </c>
      <c r="R293">
        <v>382</v>
      </c>
      <c r="S293" t="str">
        <f>IF(Linked[[#This Row],[Credit Score]]&lt;=579,"Poor",IF(Linked[[#This Row],[Credit Score]]&lt;=669,"Fair",IF(Linked[[#This Row],[Credit Score]]&lt;=739,"Good",IF(Linked[[#This Row],[Credit Score]]&lt;=799,"Very Good",IF(Linked[[#This Row],[Credit Score]]&gt;=800,"Excellent")))))</f>
        <v>Poor</v>
      </c>
      <c r="T293" s="4">
        <v>0</v>
      </c>
      <c r="U293" s="2" t="s">
        <v>39</v>
      </c>
      <c r="V293" s="2"/>
    </row>
    <row r="294" spans="1:22" x14ac:dyDescent="0.25">
      <c r="A294" s="2" t="s">
        <v>336</v>
      </c>
      <c r="B294" s="2" t="s">
        <v>702</v>
      </c>
      <c r="C294" s="2" t="s">
        <v>1526</v>
      </c>
      <c r="D294" s="2" t="s">
        <v>1227</v>
      </c>
      <c r="E294">
        <v>43</v>
      </c>
      <c r="F294" s="2" t="s">
        <v>1220</v>
      </c>
      <c r="G294" s="2" t="s">
        <v>1221</v>
      </c>
      <c r="H294" s="2" t="s">
        <v>1244</v>
      </c>
      <c r="I294" s="1">
        <v>43955</v>
      </c>
      <c r="J294">
        <v>2020</v>
      </c>
      <c r="K294" s="2" t="s">
        <v>1527</v>
      </c>
      <c r="L294" s="4">
        <v>112124</v>
      </c>
      <c r="M294" s="2" t="s">
        <v>1245</v>
      </c>
      <c r="N294" s="2" t="s">
        <v>1231</v>
      </c>
      <c r="O294" s="2" t="s">
        <v>10</v>
      </c>
      <c r="P294" s="3">
        <v>45051</v>
      </c>
      <c r="Q294" s="4">
        <v>409983</v>
      </c>
      <c r="R294">
        <v>630</v>
      </c>
      <c r="S294" t="str">
        <f>IF(Linked[[#This Row],[Credit Score]]&lt;=579,"Poor",IF(Linked[[#This Row],[Credit Score]]&lt;=669,"Fair",IF(Linked[[#This Row],[Credit Score]]&lt;=739,"Good",IF(Linked[[#This Row],[Credit Score]]&lt;=799,"Very Good",IF(Linked[[#This Row],[Credit Score]]&gt;=800,"Excellent")))))</f>
        <v>Fair</v>
      </c>
      <c r="T294" s="4">
        <v>0</v>
      </c>
      <c r="U294" s="2"/>
      <c r="V294" s="2"/>
    </row>
    <row r="295" spans="1:22" x14ac:dyDescent="0.25">
      <c r="A295" s="2" t="s">
        <v>259</v>
      </c>
      <c r="B295" s="2" t="s">
        <v>258</v>
      </c>
      <c r="C295" s="2" t="s">
        <v>2264</v>
      </c>
      <c r="D295" s="2" t="s">
        <v>1219</v>
      </c>
      <c r="E295">
        <v>72</v>
      </c>
      <c r="F295" s="2" t="s">
        <v>1263</v>
      </c>
      <c r="G295" s="2" t="s">
        <v>1229</v>
      </c>
      <c r="H295" s="2" t="s">
        <v>1253</v>
      </c>
      <c r="I295" s="1">
        <v>44108</v>
      </c>
      <c r="J295">
        <v>2020</v>
      </c>
      <c r="K295" s="2" t="s">
        <v>1761</v>
      </c>
      <c r="L295" s="4">
        <v>192307</v>
      </c>
      <c r="M295" s="2" t="s">
        <v>1223</v>
      </c>
      <c r="N295" s="2" t="s">
        <v>1231</v>
      </c>
      <c r="O295" s="2" t="s">
        <v>13</v>
      </c>
      <c r="P295" s="3">
        <v>43335</v>
      </c>
      <c r="Q295" s="4">
        <v>434821</v>
      </c>
      <c r="R295">
        <v>448</v>
      </c>
      <c r="S295" t="str">
        <f>IF(Linked[[#This Row],[Credit Score]]&lt;=579,"Poor",IF(Linked[[#This Row],[Credit Score]]&lt;=669,"Fair",IF(Linked[[#This Row],[Credit Score]]&lt;=739,"Good",IF(Linked[[#This Row],[Credit Score]]&lt;=799,"Very Good",IF(Linked[[#This Row],[Credit Score]]&gt;=800,"Excellent")))))</f>
        <v>Poor</v>
      </c>
      <c r="T295" s="4">
        <v>374653</v>
      </c>
      <c r="U295" s="2"/>
      <c r="V295" s="2"/>
    </row>
    <row r="296" spans="1:22" x14ac:dyDescent="0.25">
      <c r="A296" s="2" t="s">
        <v>664</v>
      </c>
      <c r="B296" s="2" t="s">
        <v>663</v>
      </c>
      <c r="C296" s="2" t="s">
        <v>1530</v>
      </c>
      <c r="D296" s="2" t="s">
        <v>1219</v>
      </c>
      <c r="E296">
        <v>68</v>
      </c>
      <c r="F296" s="2" t="s">
        <v>1263</v>
      </c>
      <c r="G296" s="2" t="s">
        <v>1243</v>
      </c>
      <c r="H296" s="2" t="s">
        <v>1253</v>
      </c>
      <c r="I296" s="1">
        <v>44454</v>
      </c>
      <c r="J296">
        <v>2021</v>
      </c>
      <c r="K296" s="2" t="s">
        <v>1531</v>
      </c>
      <c r="L296" s="4">
        <v>184134</v>
      </c>
      <c r="M296" s="2" t="s">
        <v>1223</v>
      </c>
      <c r="N296" s="2" t="s">
        <v>1224</v>
      </c>
      <c r="O296" s="2" t="s">
        <v>13</v>
      </c>
      <c r="P296" s="3">
        <v>44121</v>
      </c>
      <c r="Q296" s="4">
        <v>195623</v>
      </c>
      <c r="R296">
        <v>536</v>
      </c>
      <c r="S296" t="str">
        <f>IF(Linked[[#This Row],[Credit Score]]&lt;=579,"Poor",IF(Linked[[#This Row],[Credit Score]]&lt;=669,"Fair",IF(Linked[[#This Row],[Credit Score]]&lt;=739,"Good",IF(Linked[[#This Row],[Credit Score]]&lt;=799,"Very Good",IF(Linked[[#This Row],[Credit Score]]&gt;=800,"Excellent")))))</f>
        <v>Poor</v>
      </c>
      <c r="T296" s="4">
        <v>0</v>
      </c>
      <c r="U296" s="2"/>
      <c r="V296" s="2"/>
    </row>
    <row r="297" spans="1:22" x14ac:dyDescent="0.25">
      <c r="A297" s="2" t="s">
        <v>678</v>
      </c>
      <c r="B297" s="2" t="s">
        <v>677</v>
      </c>
      <c r="C297" s="2" t="s">
        <v>1532</v>
      </c>
      <c r="D297" s="2" t="s">
        <v>1219</v>
      </c>
      <c r="E297">
        <v>54</v>
      </c>
      <c r="F297" s="2" t="s">
        <v>1228</v>
      </c>
      <c r="G297" s="2" t="s">
        <v>1249</v>
      </c>
      <c r="H297" s="2" t="s">
        <v>1235</v>
      </c>
      <c r="I297" s="1">
        <v>43302</v>
      </c>
      <c r="J297">
        <v>2018</v>
      </c>
      <c r="K297" s="2" t="s">
        <v>1414</v>
      </c>
      <c r="L297" s="4">
        <v>95713</v>
      </c>
      <c r="M297" s="2" t="s">
        <v>1245</v>
      </c>
      <c r="N297" s="2" t="s">
        <v>1224</v>
      </c>
      <c r="O297" s="2" t="s">
        <v>25</v>
      </c>
      <c r="P297" s="3">
        <v>45296</v>
      </c>
      <c r="Q297" s="4">
        <v>110986</v>
      </c>
      <c r="R297">
        <v>324</v>
      </c>
      <c r="S297" t="str">
        <f>IF(Linked[[#This Row],[Credit Score]]&lt;=579,"Poor",IF(Linked[[#This Row],[Credit Score]]&lt;=669,"Fair",IF(Linked[[#This Row],[Credit Score]]&lt;=739,"Good",IF(Linked[[#This Row],[Credit Score]]&lt;=799,"Very Good",IF(Linked[[#This Row],[Credit Score]]&gt;=800,"Excellent")))))</f>
        <v>Poor</v>
      </c>
      <c r="T297" s="4">
        <v>79231</v>
      </c>
      <c r="U297" s="2" t="s">
        <v>18</v>
      </c>
      <c r="V297" s="2"/>
    </row>
    <row r="298" spans="1:22" x14ac:dyDescent="0.25">
      <c r="A298" s="2" t="s">
        <v>678</v>
      </c>
      <c r="B298" s="2" t="s">
        <v>821</v>
      </c>
      <c r="C298" s="2" t="s">
        <v>1532</v>
      </c>
      <c r="D298" s="2" t="s">
        <v>1219</v>
      </c>
      <c r="E298">
        <v>54</v>
      </c>
      <c r="F298" s="2" t="s">
        <v>1228</v>
      </c>
      <c r="G298" s="2" t="s">
        <v>1249</v>
      </c>
      <c r="H298" s="2" t="s">
        <v>1235</v>
      </c>
      <c r="I298" s="1">
        <v>43302</v>
      </c>
      <c r="J298">
        <v>2018</v>
      </c>
      <c r="K298" s="2" t="s">
        <v>1414</v>
      </c>
      <c r="L298" s="4">
        <v>95713</v>
      </c>
      <c r="M298" s="2" t="s">
        <v>1245</v>
      </c>
      <c r="N298" s="2" t="s">
        <v>1224</v>
      </c>
      <c r="O298" s="2" t="s">
        <v>10</v>
      </c>
      <c r="P298" s="3">
        <v>43784</v>
      </c>
      <c r="Q298" s="4">
        <v>336986</v>
      </c>
      <c r="R298">
        <v>437</v>
      </c>
      <c r="S298" t="str">
        <f>IF(Linked[[#This Row],[Credit Score]]&lt;=579,"Poor",IF(Linked[[#This Row],[Credit Score]]&lt;=669,"Fair",IF(Linked[[#This Row],[Credit Score]]&lt;=739,"Good",IF(Linked[[#This Row],[Credit Score]]&lt;=799,"Very Good",IF(Linked[[#This Row],[Credit Score]]&gt;=800,"Excellent")))))</f>
        <v>Poor</v>
      </c>
      <c r="T298" s="4">
        <v>0</v>
      </c>
      <c r="U298" s="2"/>
      <c r="V298" s="2"/>
    </row>
    <row r="299" spans="1:22" x14ac:dyDescent="0.25">
      <c r="A299" s="2" t="s">
        <v>262</v>
      </c>
      <c r="B299" s="2" t="s">
        <v>261</v>
      </c>
      <c r="C299" s="2" t="s">
        <v>1713</v>
      </c>
      <c r="D299" s="2" t="s">
        <v>1227</v>
      </c>
      <c r="E299">
        <v>43</v>
      </c>
      <c r="F299" s="2" t="s">
        <v>1220</v>
      </c>
      <c r="G299" s="2" t="s">
        <v>1249</v>
      </c>
      <c r="H299" s="2" t="s">
        <v>1239</v>
      </c>
      <c r="I299" s="1">
        <v>45083</v>
      </c>
      <c r="J299">
        <v>2023</v>
      </c>
      <c r="K299" s="2" t="s">
        <v>1714</v>
      </c>
      <c r="L299" s="4">
        <v>199362</v>
      </c>
      <c r="M299" s="2" t="s">
        <v>1223</v>
      </c>
      <c r="N299" s="2" t="s">
        <v>1224</v>
      </c>
      <c r="O299" s="2" t="s">
        <v>32</v>
      </c>
      <c r="P299" s="3">
        <v>42807</v>
      </c>
      <c r="Q299" s="4">
        <v>175121</v>
      </c>
      <c r="R299">
        <v>749</v>
      </c>
      <c r="S299" t="str">
        <f>IF(Linked[[#This Row],[Credit Score]]&lt;=579,"Poor",IF(Linked[[#This Row],[Credit Score]]&lt;=669,"Fair",IF(Linked[[#This Row],[Credit Score]]&lt;=739,"Good",IF(Linked[[#This Row],[Credit Score]]&lt;=799,"Very Good",IF(Linked[[#This Row],[Credit Score]]&gt;=800,"Excellent")))))</f>
        <v>Very Good</v>
      </c>
      <c r="T299" s="4">
        <v>0</v>
      </c>
      <c r="U299" s="2"/>
      <c r="V299" s="2"/>
    </row>
    <row r="300" spans="1:22" x14ac:dyDescent="0.25">
      <c r="A300" s="2" t="s">
        <v>264</v>
      </c>
      <c r="B300" s="2" t="s">
        <v>263</v>
      </c>
      <c r="C300" s="2" t="s">
        <v>1687</v>
      </c>
      <c r="D300" s="2" t="s">
        <v>1227</v>
      </c>
      <c r="E300">
        <v>63</v>
      </c>
      <c r="F300" s="2" t="s">
        <v>1263</v>
      </c>
      <c r="G300" s="2" t="s">
        <v>1221</v>
      </c>
      <c r="H300" s="2" t="s">
        <v>1239</v>
      </c>
      <c r="I300" s="1">
        <v>45587</v>
      </c>
      <c r="J300">
        <v>2024</v>
      </c>
      <c r="K300" s="2" t="s">
        <v>1688</v>
      </c>
      <c r="L300" s="4">
        <v>73268</v>
      </c>
      <c r="M300" s="2" t="s">
        <v>1250</v>
      </c>
      <c r="N300" s="2" t="s">
        <v>1224</v>
      </c>
      <c r="O300" s="2" t="s">
        <v>10</v>
      </c>
      <c r="P300" s="3">
        <v>45862</v>
      </c>
      <c r="Q300" s="4">
        <v>144989</v>
      </c>
      <c r="R300">
        <v>362</v>
      </c>
      <c r="S300" t="str">
        <f>IF(Linked[[#This Row],[Credit Score]]&lt;=579,"Poor",IF(Linked[[#This Row],[Credit Score]]&lt;=669,"Fair",IF(Linked[[#This Row],[Credit Score]]&lt;=739,"Good",IF(Linked[[#This Row],[Credit Score]]&lt;=799,"Very Good",IF(Linked[[#This Row],[Credit Score]]&gt;=800,"Excellent")))))</f>
        <v>Poor</v>
      </c>
      <c r="T300" s="4">
        <v>0</v>
      </c>
      <c r="U300" s="2" t="s">
        <v>39</v>
      </c>
      <c r="V300" s="2"/>
    </row>
    <row r="301" spans="1:22" x14ac:dyDescent="0.25">
      <c r="A301" s="2" t="s">
        <v>269</v>
      </c>
      <c r="B301" s="2" t="s">
        <v>268</v>
      </c>
      <c r="C301" s="2" t="s">
        <v>1953</v>
      </c>
      <c r="D301" s="2" t="s">
        <v>1227</v>
      </c>
      <c r="E301">
        <v>36</v>
      </c>
      <c r="F301" s="2" t="s">
        <v>1220</v>
      </c>
      <c r="G301" s="2" t="s">
        <v>1221</v>
      </c>
      <c r="H301" s="2" t="s">
        <v>1222</v>
      </c>
      <c r="I301" s="1">
        <v>44791</v>
      </c>
      <c r="J301">
        <v>2022</v>
      </c>
      <c r="K301" s="2" t="s">
        <v>1954</v>
      </c>
      <c r="L301" s="4">
        <v>118511</v>
      </c>
      <c r="M301" s="2" t="s">
        <v>1245</v>
      </c>
      <c r="N301" s="2" t="s">
        <v>1231</v>
      </c>
      <c r="O301" s="2" t="s">
        <v>10</v>
      </c>
      <c r="P301" s="3">
        <v>42553</v>
      </c>
      <c r="Q301" s="4">
        <v>250144</v>
      </c>
      <c r="R301">
        <v>305</v>
      </c>
      <c r="S301" t="str">
        <f>IF(Linked[[#This Row],[Credit Score]]&lt;=579,"Poor",IF(Linked[[#This Row],[Credit Score]]&lt;=669,"Fair",IF(Linked[[#This Row],[Credit Score]]&lt;=739,"Good",IF(Linked[[#This Row],[Credit Score]]&lt;=799,"Very Good",IF(Linked[[#This Row],[Credit Score]]&gt;=800,"Excellent")))))</f>
        <v>Poor</v>
      </c>
      <c r="T301" s="4">
        <v>0</v>
      </c>
      <c r="U301" s="2" t="s">
        <v>18</v>
      </c>
      <c r="V301" s="2"/>
    </row>
    <row r="302" spans="1:22" x14ac:dyDescent="0.25">
      <c r="A302" s="2" t="s">
        <v>745</v>
      </c>
      <c r="B302" s="2" t="s">
        <v>744</v>
      </c>
      <c r="C302" s="2" t="s">
        <v>1542</v>
      </c>
      <c r="D302" s="2" t="s">
        <v>1219</v>
      </c>
      <c r="E302">
        <v>45</v>
      </c>
      <c r="F302" s="2" t="s">
        <v>1228</v>
      </c>
      <c r="G302" s="2" t="s">
        <v>1249</v>
      </c>
      <c r="H302" s="2" t="s">
        <v>1230</v>
      </c>
      <c r="I302" s="1">
        <v>45619</v>
      </c>
      <c r="J302">
        <v>2024</v>
      </c>
      <c r="K302" s="2" t="s">
        <v>1543</v>
      </c>
      <c r="L302" s="4">
        <v>164059</v>
      </c>
      <c r="M302" s="2" t="s">
        <v>1223</v>
      </c>
      <c r="N302" s="2" t="s">
        <v>1224</v>
      </c>
      <c r="O302" s="2" t="s">
        <v>10</v>
      </c>
      <c r="P302" s="3">
        <v>42791</v>
      </c>
      <c r="Q302" s="4">
        <v>125814</v>
      </c>
      <c r="R302">
        <v>370</v>
      </c>
      <c r="S302" t="str">
        <f>IF(Linked[[#This Row],[Credit Score]]&lt;=579,"Poor",IF(Linked[[#This Row],[Credit Score]]&lt;=669,"Fair",IF(Linked[[#This Row],[Credit Score]]&lt;=739,"Good",IF(Linked[[#This Row],[Credit Score]]&lt;=799,"Very Good",IF(Linked[[#This Row],[Credit Score]]&gt;=800,"Excellent")))))</f>
        <v>Poor</v>
      </c>
      <c r="T302" s="4">
        <v>0</v>
      </c>
      <c r="U302" s="2"/>
      <c r="V302" s="2"/>
    </row>
    <row r="303" spans="1:22" x14ac:dyDescent="0.25">
      <c r="A303" s="2" t="s">
        <v>273</v>
      </c>
      <c r="B303" s="2" t="s">
        <v>272</v>
      </c>
      <c r="C303" s="2" t="s">
        <v>1640</v>
      </c>
      <c r="D303" s="2" t="s">
        <v>1219</v>
      </c>
      <c r="E303">
        <v>41</v>
      </c>
      <c r="F303" s="2" t="s">
        <v>1220</v>
      </c>
      <c r="G303" s="2" t="s">
        <v>1229</v>
      </c>
      <c r="H303" s="2" t="s">
        <v>1239</v>
      </c>
      <c r="I303" s="1">
        <v>44775</v>
      </c>
      <c r="J303">
        <v>2022</v>
      </c>
      <c r="K303" s="2" t="s">
        <v>1442</v>
      </c>
      <c r="L303" s="4">
        <v>195641</v>
      </c>
      <c r="M303" s="2" t="s">
        <v>1223</v>
      </c>
      <c r="N303" s="2" t="s">
        <v>1224</v>
      </c>
      <c r="O303" s="2" t="s">
        <v>10</v>
      </c>
      <c r="P303" s="3">
        <v>43090</v>
      </c>
      <c r="Q303" s="4">
        <v>70269</v>
      </c>
      <c r="R303">
        <v>327</v>
      </c>
      <c r="S303" t="str">
        <f>IF(Linked[[#This Row],[Credit Score]]&lt;=579,"Poor",IF(Linked[[#This Row],[Credit Score]]&lt;=669,"Fair",IF(Linked[[#This Row],[Credit Score]]&lt;=739,"Good",IF(Linked[[#This Row],[Credit Score]]&lt;=799,"Very Good",IF(Linked[[#This Row],[Credit Score]]&gt;=800,"Excellent")))))</f>
        <v>Poor</v>
      </c>
      <c r="T303" s="4">
        <v>0</v>
      </c>
      <c r="U303" s="2"/>
      <c r="V303" s="2"/>
    </row>
    <row r="304" spans="1:22" x14ac:dyDescent="0.25">
      <c r="A304" s="2" t="s">
        <v>326</v>
      </c>
      <c r="B304" s="2" t="s">
        <v>325</v>
      </c>
      <c r="C304" s="2" t="s">
        <v>1549</v>
      </c>
      <c r="D304" s="2" t="s">
        <v>1219</v>
      </c>
      <c r="E304">
        <v>66</v>
      </c>
      <c r="F304" s="2" t="s">
        <v>1263</v>
      </c>
      <c r="G304" s="2" t="s">
        <v>1221</v>
      </c>
      <c r="H304" s="2" t="s">
        <v>1259</v>
      </c>
      <c r="I304" s="1">
        <v>45560</v>
      </c>
      <c r="J304">
        <v>2024</v>
      </c>
      <c r="K304" s="2" t="s">
        <v>1550</v>
      </c>
      <c r="L304" s="4">
        <v>83852</v>
      </c>
      <c r="M304" s="2" t="s">
        <v>1245</v>
      </c>
      <c r="N304" s="2" t="s">
        <v>1224</v>
      </c>
      <c r="O304" s="2" t="s">
        <v>10</v>
      </c>
      <c r="P304" s="3">
        <v>43423</v>
      </c>
      <c r="Q304" s="4">
        <v>15534</v>
      </c>
      <c r="R304">
        <v>771</v>
      </c>
      <c r="S304" t="str">
        <f>IF(Linked[[#This Row],[Credit Score]]&lt;=579,"Poor",IF(Linked[[#This Row],[Credit Score]]&lt;=669,"Fair",IF(Linked[[#This Row],[Credit Score]]&lt;=739,"Good",IF(Linked[[#This Row],[Credit Score]]&lt;=799,"Very Good",IF(Linked[[#This Row],[Credit Score]]&gt;=800,"Excellent")))))</f>
        <v>Very Good</v>
      </c>
      <c r="T304" s="4">
        <v>0</v>
      </c>
      <c r="U304" s="2"/>
      <c r="V304" s="2"/>
    </row>
    <row r="305" spans="1:22" x14ac:dyDescent="0.25">
      <c r="A305" s="2" t="s">
        <v>326</v>
      </c>
      <c r="B305" s="2" t="s">
        <v>799</v>
      </c>
      <c r="C305" s="2" t="s">
        <v>1549</v>
      </c>
      <c r="D305" s="2" t="s">
        <v>1219</v>
      </c>
      <c r="E305">
        <v>66</v>
      </c>
      <c r="F305" s="2" t="s">
        <v>1263</v>
      </c>
      <c r="G305" s="2" t="s">
        <v>1221</v>
      </c>
      <c r="H305" s="2" t="s">
        <v>1259</v>
      </c>
      <c r="I305" s="1">
        <v>45560</v>
      </c>
      <c r="J305">
        <v>2024</v>
      </c>
      <c r="K305" s="2" t="s">
        <v>1550</v>
      </c>
      <c r="L305" s="4">
        <v>83852</v>
      </c>
      <c r="M305" s="2" t="s">
        <v>1245</v>
      </c>
      <c r="N305" s="2" t="s">
        <v>1224</v>
      </c>
      <c r="O305" s="2" t="s">
        <v>25</v>
      </c>
      <c r="P305" s="3">
        <v>42488</v>
      </c>
      <c r="Q305" s="4">
        <v>343303</v>
      </c>
      <c r="R305">
        <v>446</v>
      </c>
      <c r="S305" t="str">
        <f>IF(Linked[[#This Row],[Credit Score]]&lt;=579,"Poor",IF(Linked[[#This Row],[Credit Score]]&lt;=669,"Fair",IF(Linked[[#This Row],[Credit Score]]&lt;=739,"Good",IF(Linked[[#This Row],[Credit Score]]&lt;=799,"Very Good",IF(Linked[[#This Row],[Credit Score]]&gt;=800,"Excellent")))))</f>
        <v>Poor</v>
      </c>
      <c r="T305" s="4">
        <v>0</v>
      </c>
      <c r="U305" s="2"/>
      <c r="V305" s="2"/>
    </row>
    <row r="306" spans="1:22" x14ac:dyDescent="0.25">
      <c r="A306" s="2" t="s">
        <v>311</v>
      </c>
      <c r="B306" s="2" t="s">
        <v>310</v>
      </c>
      <c r="C306" s="2" t="s">
        <v>1551</v>
      </c>
      <c r="D306" s="2" t="s">
        <v>1227</v>
      </c>
      <c r="E306">
        <v>47</v>
      </c>
      <c r="F306" s="2" t="s">
        <v>1228</v>
      </c>
      <c r="G306" s="2" t="s">
        <v>1249</v>
      </c>
      <c r="H306" s="2" t="s">
        <v>1259</v>
      </c>
      <c r="I306" s="1">
        <v>44528</v>
      </c>
      <c r="J306">
        <v>2021</v>
      </c>
      <c r="K306" s="2" t="s">
        <v>1552</v>
      </c>
      <c r="L306" s="4">
        <v>152079</v>
      </c>
      <c r="M306" s="2" t="s">
        <v>1223</v>
      </c>
      <c r="N306" s="2" t="s">
        <v>1224</v>
      </c>
      <c r="O306" s="2" t="s">
        <v>13</v>
      </c>
      <c r="P306" s="3">
        <v>43705</v>
      </c>
      <c r="Q306" s="4">
        <v>440437</v>
      </c>
      <c r="R306">
        <v>746</v>
      </c>
      <c r="S306" t="str">
        <f>IF(Linked[[#This Row],[Credit Score]]&lt;=579,"Poor",IF(Linked[[#This Row],[Credit Score]]&lt;=669,"Fair",IF(Linked[[#This Row],[Credit Score]]&lt;=739,"Good",IF(Linked[[#This Row],[Credit Score]]&lt;=799,"Very Good",IF(Linked[[#This Row],[Credit Score]]&gt;=800,"Excellent")))))</f>
        <v>Very Good</v>
      </c>
      <c r="T306" s="4">
        <v>499927</v>
      </c>
      <c r="U306" s="2" t="s">
        <v>39</v>
      </c>
      <c r="V306" s="2"/>
    </row>
    <row r="307" spans="1:22" x14ac:dyDescent="0.25">
      <c r="A307" s="2" t="s">
        <v>311</v>
      </c>
      <c r="B307" s="2" t="s">
        <v>470</v>
      </c>
      <c r="C307" s="2" t="s">
        <v>1551</v>
      </c>
      <c r="D307" s="2" t="s">
        <v>1227</v>
      </c>
      <c r="E307">
        <v>47</v>
      </c>
      <c r="F307" s="2" t="s">
        <v>1228</v>
      </c>
      <c r="G307" s="2" t="s">
        <v>1249</v>
      </c>
      <c r="H307" s="2" t="s">
        <v>1259</v>
      </c>
      <c r="I307" s="1">
        <v>44528</v>
      </c>
      <c r="J307">
        <v>2021</v>
      </c>
      <c r="K307" s="2" t="s">
        <v>1552</v>
      </c>
      <c r="L307" s="4">
        <v>152079</v>
      </c>
      <c r="M307" s="2" t="s">
        <v>1223</v>
      </c>
      <c r="N307" s="2" t="s">
        <v>1224</v>
      </c>
      <c r="O307" s="2" t="s">
        <v>10</v>
      </c>
      <c r="P307" s="3">
        <v>44634</v>
      </c>
      <c r="Q307" s="4">
        <v>37405</v>
      </c>
      <c r="R307">
        <v>507</v>
      </c>
      <c r="S307" t="str">
        <f>IF(Linked[[#This Row],[Credit Score]]&lt;=579,"Poor",IF(Linked[[#This Row],[Credit Score]]&lt;=669,"Fair",IF(Linked[[#This Row],[Credit Score]]&lt;=739,"Good",IF(Linked[[#This Row],[Credit Score]]&lt;=799,"Very Good",IF(Linked[[#This Row],[Credit Score]]&gt;=800,"Excellent")))))</f>
        <v>Poor</v>
      </c>
      <c r="T307" s="4">
        <v>0</v>
      </c>
      <c r="U307" s="2" t="s">
        <v>18</v>
      </c>
      <c r="V307" s="2"/>
    </row>
    <row r="308" spans="1:22" x14ac:dyDescent="0.25">
      <c r="A308" s="2" t="s">
        <v>311</v>
      </c>
      <c r="B308" s="2" t="s">
        <v>789</v>
      </c>
      <c r="C308" s="2" t="s">
        <v>1551</v>
      </c>
      <c r="D308" s="2" t="s">
        <v>1227</v>
      </c>
      <c r="E308">
        <v>47</v>
      </c>
      <c r="F308" s="2" t="s">
        <v>1228</v>
      </c>
      <c r="G308" s="2" t="s">
        <v>1249</v>
      </c>
      <c r="H308" s="2" t="s">
        <v>1259</v>
      </c>
      <c r="I308" s="1">
        <v>44528</v>
      </c>
      <c r="J308">
        <v>2021</v>
      </c>
      <c r="K308" s="2" t="s">
        <v>1552</v>
      </c>
      <c r="L308" s="4">
        <v>152079</v>
      </c>
      <c r="M308" s="2" t="s">
        <v>1223</v>
      </c>
      <c r="N308" s="2" t="s">
        <v>1224</v>
      </c>
      <c r="O308" s="2" t="s">
        <v>25</v>
      </c>
      <c r="P308" s="3">
        <v>44620</v>
      </c>
      <c r="Q308" s="4">
        <v>409319</v>
      </c>
      <c r="R308">
        <v>447</v>
      </c>
      <c r="S308" t="str">
        <f>IF(Linked[[#This Row],[Credit Score]]&lt;=579,"Poor",IF(Linked[[#This Row],[Credit Score]]&lt;=669,"Fair",IF(Linked[[#This Row],[Credit Score]]&lt;=739,"Good",IF(Linked[[#This Row],[Credit Score]]&lt;=799,"Very Good",IF(Linked[[#This Row],[Credit Score]]&gt;=800,"Excellent")))))</f>
        <v>Poor</v>
      </c>
      <c r="T308" s="4">
        <v>0</v>
      </c>
      <c r="U308" s="2"/>
      <c r="V308" s="2"/>
    </row>
    <row r="309" spans="1:22" x14ac:dyDescent="0.25">
      <c r="A309" s="2" t="s">
        <v>421</v>
      </c>
      <c r="B309" s="2" t="s">
        <v>420</v>
      </c>
      <c r="C309" s="2" t="s">
        <v>1553</v>
      </c>
      <c r="D309" s="2" t="s">
        <v>1227</v>
      </c>
      <c r="E309">
        <v>63</v>
      </c>
      <c r="F309" s="2" t="s">
        <v>1263</v>
      </c>
      <c r="G309" s="2" t="s">
        <v>1221</v>
      </c>
      <c r="H309" s="2" t="s">
        <v>1222</v>
      </c>
      <c r="I309" s="1">
        <v>43084</v>
      </c>
      <c r="J309">
        <v>2017</v>
      </c>
      <c r="K309" s="2" t="s">
        <v>1554</v>
      </c>
      <c r="L309" s="4">
        <v>96242</v>
      </c>
      <c r="M309" s="2" t="s">
        <v>1245</v>
      </c>
      <c r="N309" s="2" t="s">
        <v>1224</v>
      </c>
      <c r="O309" s="2" t="s">
        <v>13</v>
      </c>
      <c r="P309" s="3">
        <v>45431</v>
      </c>
      <c r="Q309" s="4">
        <v>391192</v>
      </c>
      <c r="R309">
        <v>304</v>
      </c>
      <c r="S309" t="str">
        <f>IF(Linked[[#This Row],[Credit Score]]&lt;=579,"Poor",IF(Linked[[#This Row],[Credit Score]]&lt;=669,"Fair",IF(Linked[[#This Row],[Credit Score]]&lt;=739,"Good",IF(Linked[[#This Row],[Credit Score]]&lt;=799,"Very Good",IF(Linked[[#This Row],[Credit Score]]&gt;=800,"Excellent")))))</f>
        <v>Poor</v>
      </c>
      <c r="T309" s="4">
        <v>196480</v>
      </c>
      <c r="U309" s="2" t="s">
        <v>59</v>
      </c>
      <c r="V309" s="2"/>
    </row>
    <row r="310" spans="1:22" x14ac:dyDescent="0.25">
      <c r="A310" s="2" t="s">
        <v>277</v>
      </c>
      <c r="B310" s="2" t="s">
        <v>276</v>
      </c>
      <c r="C310" s="2" t="s">
        <v>1971</v>
      </c>
      <c r="D310" s="2" t="s">
        <v>1219</v>
      </c>
      <c r="E310">
        <v>42</v>
      </c>
      <c r="F310" s="2" t="s">
        <v>1220</v>
      </c>
      <c r="G310" s="2" t="s">
        <v>1221</v>
      </c>
      <c r="H310" s="2" t="s">
        <v>1235</v>
      </c>
      <c r="I310" s="1">
        <v>44868</v>
      </c>
      <c r="J310">
        <v>2022</v>
      </c>
      <c r="K310" s="2" t="s">
        <v>1972</v>
      </c>
      <c r="L310" s="4">
        <v>131562</v>
      </c>
      <c r="M310" s="2" t="s">
        <v>1245</v>
      </c>
      <c r="N310" s="2" t="s">
        <v>1224</v>
      </c>
      <c r="O310" s="2" t="s">
        <v>10</v>
      </c>
      <c r="P310" s="3">
        <v>45879</v>
      </c>
      <c r="Q310" s="4">
        <v>465833</v>
      </c>
      <c r="R310">
        <v>592</v>
      </c>
      <c r="S310" t="str">
        <f>IF(Linked[[#This Row],[Credit Score]]&lt;=579,"Poor",IF(Linked[[#This Row],[Credit Score]]&lt;=669,"Fair",IF(Linked[[#This Row],[Credit Score]]&lt;=739,"Good",IF(Linked[[#This Row],[Credit Score]]&lt;=799,"Very Good",IF(Linked[[#This Row],[Credit Score]]&gt;=800,"Excellent")))))</f>
        <v>Fair</v>
      </c>
      <c r="T310" s="4">
        <v>0</v>
      </c>
      <c r="U310" s="2"/>
      <c r="V310" s="2"/>
    </row>
    <row r="311" spans="1:22" x14ac:dyDescent="0.25">
      <c r="A311" s="2" t="s">
        <v>277</v>
      </c>
      <c r="B311" s="2" t="s">
        <v>730</v>
      </c>
      <c r="C311" s="2" t="s">
        <v>1971</v>
      </c>
      <c r="D311" s="2" t="s">
        <v>1219</v>
      </c>
      <c r="E311">
        <v>42</v>
      </c>
      <c r="F311" s="2" t="s">
        <v>1220</v>
      </c>
      <c r="G311" s="2" t="s">
        <v>1221</v>
      </c>
      <c r="H311" s="2" t="s">
        <v>1235</v>
      </c>
      <c r="I311" s="1">
        <v>44868</v>
      </c>
      <c r="J311">
        <v>2022</v>
      </c>
      <c r="K311" s="2" t="s">
        <v>1972</v>
      </c>
      <c r="L311" s="4">
        <v>131562</v>
      </c>
      <c r="M311" s="2" t="s">
        <v>1245</v>
      </c>
      <c r="N311" s="2" t="s">
        <v>1224</v>
      </c>
      <c r="O311" s="2" t="s">
        <v>25</v>
      </c>
      <c r="P311" s="3">
        <v>45563</v>
      </c>
      <c r="Q311" s="4">
        <v>197530</v>
      </c>
      <c r="R311">
        <v>440</v>
      </c>
      <c r="S311" t="str">
        <f>IF(Linked[[#This Row],[Credit Score]]&lt;=579,"Poor",IF(Linked[[#This Row],[Credit Score]]&lt;=669,"Fair",IF(Linked[[#This Row],[Credit Score]]&lt;=739,"Good",IF(Linked[[#This Row],[Credit Score]]&lt;=799,"Very Good",IF(Linked[[#This Row],[Credit Score]]&gt;=800,"Excellent")))))</f>
        <v>Poor</v>
      </c>
      <c r="T311" s="4">
        <v>183371</v>
      </c>
      <c r="U311" s="2" t="s">
        <v>39</v>
      </c>
      <c r="V311" s="2"/>
    </row>
    <row r="312" spans="1:22" x14ac:dyDescent="0.25">
      <c r="A312" s="2" t="s">
        <v>279</v>
      </c>
      <c r="B312" s="2" t="s">
        <v>278</v>
      </c>
      <c r="C312" s="2" t="s">
        <v>1786</v>
      </c>
      <c r="D312" s="2" t="s">
        <v>1219</v>
      </c>
      <c r="E312">
        <v>54</v>
      </c>
      <c r="F312" s="2" t="s">
        <v>1228</v>
      </c>
      <c r="G312" s="2" t="s">
        <v>1249</v>
      </c>
      <c r="H312" s="2" t="s">
        <v>1230</v>
      </c>
      <c r="I312" s="1">
        <v>43294</v>
      </c>
      <c r="J312">
        <v>2018</v>
      </c>
      <c r="K312" s="2" t="s">
        <v>1787</v>
      </c>
      <c r="L312" s="4">
        <v>28712</v>
      </c>
      <c r="M312" s="2" t="s">
        <v>1250</v>
      </c>
      <c r="N312" s="2" t="s">
        <v>1224</v>
      </c>
      <c r="O312" s="2" t="s">
        <v>32</v>
      </c>
      <c r="P312" s="3">
        <v>44994</v>
      </c>
      <c r="Q312" s="4">
        <v>303602</v>
      </c>
      <c r="R312">
        <v>670</v>
      </c>
      <c r="S312" t="str">
        <f>IF(Linked[[#This Row],[Credit Score]]&lt;=579,"Poor",IF(Linked[[#This Row],[Credit Score]]&lt;=669,"Fair",IF(Linked[[#This Row],[Credit Score]]&lt;=739,"Good",IF(Linked[[#This Row],[Credit Score]]&lt;=799,"Very Good",IF(Linked[[#This Row],[Credit Score]]&gt;=800,"Excellent")))))</f>
        <v>Good</v>
      </c>
      <c r="T312" s="4">
        <v>0</v>
      </c>
      <c r="U312" s="2"/>
      <c r="V312" s="2"/>
    </row>
    <row r="313" spans="1:22" x14ac:dyDescent="0.25">
      <c r="A313" s="2" t="s">
        <v>281</v>
      </c>
      <c r="B313" s="2" t="s">
        <v>280</v>
      </c>
      <c r="C313" s="2" t="s">
        <v>2025</v>
      </c>
      <c r="D313" s="2" t="s">
        <v>1219</v>
      </c>
      <c r="E313">
        <v>18</v>
      </c>
      <c r="F313" s="2" t="s">
        <v>1242</v>
      </c>
      <c r="G313" s="2" t="s">
        <v>1249</v>
      </c>
      <c r="H313" s="2" t="s">
        <v>1230</v>
      </c>
      <c r="I313" s="1">
        <v>42581</v>
      </c>
      <c r="J313">
        <v>2016</v>
      </c>
      <c r="K313" s="2" t="s">
        <v>2026</v>
      </c>
      <c r="L313" s="4">
        <v>99561</v>
      </c>
      <c r="M313" s="2" t="s">
        <v>1245</v>
      </c>
      <c r="N313" s="2" t="s">
        <v>1236</v>
      </c>
      <c r="O313" s="2" t="s">
        <v>13</v>
      </c>
      <c r="P313" s="3">
        <v>43698</v>
      </c>
      <c r="Q313" s="4">
        <v>351181</v>
      </c>
      <c r="R313">
        <v>543</v>
      </c>
      <c r="S313" t="str">
        <f>IF(Linked[[#This Row],[Credit Score]]&lt;=579,"Poor",IF(Linked[[#This Row],[Credit Score]]&lt;=669,"Fair",IF(Linked[[#This Row],[Credit Score]]&lt;=739,"Good",IF(Linked[[#This Row],[Credit Score]]&lt;=799,"Very Good",IF(Linked[[#This Row],[Credit Score]]&gt;=800,"Excellent")))))</f>
        <v>Poor</v>
      </c>
      <c r="T313" s="4">
        <v>0</v>
      </c>
      <c r="U313" s="2"/>
      <c r="V313" s="2"/>
    </row>
    <row r="314" spans="1:22" x14ac:dyDescent="0.25">
      <c r="A314" s="2" t="s">
        <v>281</v>
      </c>
      <c r="B314" s="2" t="s">
        <v>584</v>
      </c>
      <c r="C314" s="2" t="s">
        <v>2025</v>
      </c>
      <c r="D314" s="2" t="s">
        <v>1219</v>
      </c>
      <c r="E314">
        <v>18</v>
      </c>
      <c r="F314" s="2" t="s">
        <v>1242</v>
      </c>
      <c r="G314" s="2" t="s">
        <v>1249</v>
      </c>
      <c r="H314" s="2" t="s">
        <v>1230</v>
      </c>
      <c r="I314" s="1">
        <v>42581</v>
      </c>
      <c r="J314">
        <v>2016</v>
      </c>
      <c r="K314" s="2" t="s">
        <v>2026</v>
      </c>
      <c r="L314" s="4">
        <v>99561</v>
      </c>
      <c r="M314" s="2" t="s">
        <v>1245</v>
      </c>
      <c r="N314" s="2" t="s">
        <v>1236</v>
      </c>
      <c r="O314" s="2" t="s">
        <v>13</v>
      </c>
      <c r="P314" s="3">
        <v>45482</v>
      </c>
      <c r="Q314" s="4">
        <v>409849</v>
      </c>
      <c r="R314">
        <v>757</v>
      </c>
      <c r="S314" t="str">
        <f>IF(Linked[[#This Row],[Credit Score]]&lt;=579,"Poor",IF(Linked[[#This Row],[Credit Score]]&lt;=669,"Fair",IF(Linked[[#This Row],[Credit Score]]&lt;=739,"Good",IF(Linked[[#This Row],[Credit Score]]&lt;=799,"Very Good",IF(Linked[[#This Row],[Credit Score]]&gt;=800,"Excellent")))))</f>
        <v>Very Good</v>
      </c>
      <c r="T314" s="4">
        <v>0</v>
      </c>
      <c r="U314" s="2"/>
      <c r="V314" s="2"/>
    </row>
    <row r="315" spans="1:22" x14ac:dyDescent="0.25">
      <c r="A315" s="2" t="s">
        <v>283</v>
      </c>
      <c r="B315" s="2" t="s">
        <v>282</v>
      </c>
      <c r="C315" s="2" t="s">
        <v>2184</v>
      </c>
      <c r="D315" s="2" t="s">
        <v>1219</v>
      </c>
      <c r="E315">
        <v>52</v>
      </c>
      <c r="F315" s="2" t="s">
        <v>1228</v>
      </c>
      <c r="G315" s="2" t="s">
        <v>1221</v>
      </c>
      <c r="H315" s="2" t="s">
        <v>1230</v>
      </c>
      <c r="I315" s="1">
        <v>44964</v>
      </c>
      <c r="J315">
        <v>2023</v>
      </c>
      <c r="K315" s="2" t="s">
        <v>2185</v>
      </c>
      <c r="L315" s="4">
        <v>96619</v>
      </c>
      <c r="M315" s="2" t="s">
        <v>1245</v>
      </c>
      <c r="N315" s="2" t="s">
        <v>1224</v>
      </c>
      <c r="O315" s="2" t="s">
        <v>25</v>
      </c>
      <c r="P315" s="3">
        <v>43903</v>
      </c>
      <c r="Q315" s="4">
        <v>152185</v>
      </c>
      <c r="R315">
        <v>517</v>
      </c>
      <c r="S315" t="str">
        <f>IF(Linked[[#This Row],[Credit Score]]&lt;=579,"Poor",IF(Linked[[#This Row],[Credit Score]]&lt;=669,"Fair",IF(Linked[[#This Row],[Credit Score]]&lt;=739,"Good",IF(Linked[[#This Row],[Credit Score]]&lt;=799,"Very Good",IF(Linked[[#This Row],[Credit Score]]&gt;=800,"Excellent")))))</f>
        <v>Poor</v>
      </c>
      <c r="T315" s="4">
        <v>0</v>
      </c>
      <c r="U315" s="2"/>
      <c r="V315" s="2"/>
    </row>
    <row r="316" spans="1:22" x14ac:dyDescent="0.25">
      <c r="A316" s="2" t="s">
        <v>283</v>
      </c>
      <c r="B316" s="2" t="s">
        <v>733</v>
      </c>
      <c r="C316" s="2" t="s">
        <v>2184</v>
      </c>
      <c r="D316" s="2" t="s">
        <v>1219</v>
      </c>
      <c r="E316">
        <v>52</v>
      </c>
      <c r="F316" s="2" t="s">
        <v>1228</v>
      </c>
      <c r="G316" s="2" t="s">
        <v>1221</v>
      </c>
      <c r="H316" s="2" t="s">
        <v>1230</v>
      </c>
      <c r="I316" s="1">
        <v>44964</v>
      </c>
      <c r="J316">
        <v>2023</v>
      </c>
      <c r="K316" s="2" t="s">
        <v>2185</v>
      </c>
      <c r="L316" s="4">
        <v>96619</v>
      </c>
      <c r="M316" s="2" t="s">
        <v>1245</v>
      </c>
      <c r="N316" s="2" t="s">
        <v>1224</v>
      </c>
      <c r="O316" s="2" t="s">
        <v>10</v>
      </c>
      <c r="P316" s="3">
        <v>44789</v>
      </c>
      <c r="Q316" s="4">
        <v>466709</v>
      </c>
      <c r="R316">
        <v>552</v>
      </c>
      <c r="S316" t="str">
        <f>IF(Linked[[#This Row],[Credit Score]]&lt;=579,"Poor",IF(Linked[[#This Row],[Credit Score]]&lt;=669,"Fair",IF(Linked[[#This Row],[Credit Score]]&lt;=739,"Good",IF(Linked[[#This Row],[Credit Score]]&lt;=799,"Very Good",IF(Linked[[#This Row],[Credit Score]]&gt;=800,"Excellent")))))</f>
        <v>Poor</v>
      </c>
      <c r="T316" s="4">
        <v>0</v>
      </c>
      <c r="U316" s="2" t="s">
        <v>18</v>
      </c>
      <c r="V316" s="2"/>
    </row>
    <row r="317" spans="1:22" x14ac:dyDescent="0.25">
      <c r="A317" s="2" t="s">
        <v>287</v>
      </c>
      <c r="B317" s="2" t="s">
        <v>286</v>
      </c>
      <c r="C317" s="2" t="s">
        <v>1668</v>
      </c>
      <c r="D317" s="2" t="s">
        <v>1227</v>
      </c>
      <c r="E317">
        <v>50</v>
      </c>
      <c r="F317" s="2" t="s">
        <v>1228</v>
      </c>
      <c r="G317" s="2" t="s">
        <v>1229</v>
      </c>
      <c r="H317" s="2" t="s">
        <v>1239</v>
      </c>
      <c r="I317" s="1">
        <v>43612</v>
      </c>
      <c r="J317">
        <v>2019</v>
      </c>
      <c r="K317" s="2" t="s">
        <v>1669</v>
      </c>
      <c r="L317" s="4">
        <v>43411</v>
      </c>
      <c r="M317" s="2" t="s">
        <v>1250</v>
      </c>
      <c r="N317" s="2" t="s">
        <v>1231</v>
      </c>
      <c r="O317" s="2" t="s">
        <v>10</v>
      </c>
      <c r="P317" s="3">
        <v>44299</v>
      </c>
      <c r="Q317" s="4">
        <v>483442</v>
      </c>
      <c r="R317">
        <v>598</v>
      </c>
      <c r="S317" t="str">
        <f>IF(Linked[[#This Row],[Credit Score]]&lt;=579,"Poor",IF(Linked[[#This Row],[Credit Score]]&lt;=669,"Fair",IF(Linked[[#This Row],[Credit Score]]&lt;=739,"Good",IF(Linked[[#This Row],[Credit Score]]&lt;=799,"Very Good",IF(Linked[[#This Row],[Credit Score]]&gt;=800,"Excellent")))))</f>
        <v>Fair</v>
      </c>
      <c r="T317" s="4">
        <v>0</v>
      </c>
      <c r="U317" s="2"/>
      <c r="V317" s="2"/>
    </row>
    <row r="318" spans="1:22" x14ac:dyDescent="0.25">
      <c r="A318" s="2" t="s">
        <v>287</v>
      </c>
      <c r="B318" s="2" t="s">
        <v>361</v>
      </c>
      <c r="C318" s="2" t="s">
        <v>1668</v>
      </c>
      <c r="D318" s="2" t="s">
        <v>1227</v>
      </c>
      <c r="E318">
        <v>50</v>
      </c>
      <c r="F318" s="2" t="s">
        <v>1228</v>
      </c>
      <c r="G318" s="2" t="s">
        <v>1229</v>
      </c>
      <c r="H318" s="2" t="s">
        <v>1239</v>
      </c>
      <c r="I318" s="1">
        <v>43612</v>
      </c>
      <c r="J318">
        <v>2019</v>
      </c>
      <c r="K318" s="2" t="s">
        <v>1669</v>
      </c>
      <c r="L318" s="4">
        <v>43411</v>
      </c>
      <c r="M318" s="2" t="s">
        <v>1250</v>
      </c>
      <c r="N318" s="2" t="s">
        <v>1231</v>
      </c>
      <c r="O318" s="2" t="s">
        <v>25</v>
      </c>
      <c r="P318" s="3">
        <v>43513</v>
      </c>
      <c r="Q318" s="4">
        <v>70463</v>
      </c>
      <c r="R318">
        <v>733</v>
      </c>
      <c r="S318" t="str">
        <f>IF(Linked[[#This Row],[Credit Score]]&lt;=579,"Poor",IF(Linked[[#This Row],[Credit Score]]&lt;=669,"Fair",IF(Linked[[#This Row],[Credit Score]]&lt;=739,"Good",IF(Linked[[#This Row],[Credit Score]]&lt;=799,"Very Good",IF(Linked[[#This Row],[Credit Score]]&gt;=800,"Excellent")))))</f>
        <v>Good</v>
      </c>
      <c r="T318" s="4">
        <v>0</v>
      </c>
      <c r="U318" s="2"/>
      <c r="V318" s="2"/>
    </row>
    <row r="319" spans="1:22" x14ac:dyDescent="0.25">
      <c r="A319" s="2" t="s">
        <v>287</v>
      </c>
      <c r="B319" s="2" t="s">
        <v>653</v>
      </c>
      <c r="C319" s="2" t="s">
        <v>1668</v>
      </c>
      <c r="D319" s="2" t="s">
        <v>1227</v>
      </c>
      <c r="E319">
        <v>50</v>
      </c>
      <c r="F319" s="2" t="s">
        <v>1228</v>
      </c>
      <c r="G319" s="2" t="s">
        <v>1229</v>
      </c>
      <c r="H319" s="2" t="s">
        <v>1239</v>
      </c>
      <c r="I319" s="1">
        <v>43612</v>
      </c>
      <c r="J319">
        <v>2019</v>
      </c>
      <c r="K319" s="2" t="s">
        <v>1669</v>
      </c>
      <c r="L319" s="4">
        <v>43411</v>
      </c>
      <c r="M319" s="2" t="s">
        <v>1250</v>
      </c>
      <c r="N319" s="2" t="s">
        <v>1231</v>
      </c>
      <c r="O319" s="2" t="s">
        <v>10</v>
      </c>
      <c r="P319" s="3">
        <v>44080</v>
      </c>
      <c r="Q319" s="4">
        <v>294965</v>
      </c>
      <c r="R319">
        <v>474</v>
      </c>
      <c r="S319" t="str">
        <f>IF(Linked[[#This Row],[Credit Score]]&lt;=579,"Poor",IF(Linked[[#This Row],[Credit Score]]&lt;=669,"Fair",IF(Linked[[#This Row],[Credit Score]]&lt;=739,"Good",IF(Linked[[#This Row],[Credit Score]]&lt;=799,"Very Good",IF(Linked[[#This Row],[Credit Score]]&gt;=800,"Excellent")))))</f>
        <v>Poor</v>
      </c>
      <c r="T319" s="4">
        <v>0</v>
      </c>
      <c r="U319" s="2"/>
      <c r="V319" s="2"/>
    </row>
    <row r="320" spans="1:22" x14ac:dyDescent="0.25">
      <c r="A320" s="2" t="s">
        <v>738</v>
      </c>
      <c r="B320" s="2" t="s">
        <v>737</v>
      </c>
      <c r="C320" s="2" t="s">
        <v>1566</v>
      </c>
      <c r="D320" s="2" t="s">
        <v>1227</v>
      </c>
      <c r="E320">
        <v>43</v>
      </c>
      <c r="F320" s="2" t="s">
        <v>1220</v>
      </c>
      <c r="G320" s="2" t="s">
        <v>1249</v>
      </c>
      <c r="H320" s="2" t="s">
        <v>1230</v>
      </c>
      <c r="I320" s="1">
        <v>44015</v>
      </c>
      <c r="J320">
        <v>2020</v>
      </c>
      <c r="K320" s="2" t="s">
        <v>1567</v>
      </c>
      <c r="L320" s="4">
        <v>21435</v>
      </c>
      <c r="M320" s="2" t="s">
        <v>1250</v>
      </c>
      <c r="N320" s="2" t="s">
        <v>1224</v>
      </c>
      <c r="O320" s="2" t="s">
        <v>13</v>
      </c>
      <c r="P320" s="3">
        <v>43921</v>
      </c>
      <c r="Q320" s="4">
        <v>492750</v>
      </c>
      <c r="R320">
        <v>389</v>
      </c>
      <c r="S320" t="str">
        <f>IF(Linked[[#This Row],[Credit Score]]&lt;=579,"Poor",IF(Linked[[#This Row],[Credit Score]]&lt;=669,"Fair",IF(Linked[[#This Row],[Credit Score]]&lt;=739,"Good",IF(Linked[[#This Row],[Credit Score]]&lt;=799,"Very Good",IF(Linked[[#This Row],[Credit Score]]&gt;=800,"Excellent")))))</f>
        <v>Poor</v>
      </c>
      <c r="T320" s="4">
        <v>0</v>
      </c>
      <c r="U320" s="2"/>
      <c r="V320" s="2"/>
    </row>
    <row r="321" spans="1:22" x14ac:dyDescent="0.25">
      <c r="A321" s="2" t="s">
        <v>289</v>
      </c>
      <c r="B321" s="2" t="s">
        <v>288</v>
      </c>
      <c r="C321" s="2" t="s">
        <v>1627</v>
      </c>
      <c r="D321" s="2" t="s">
        <v>1219</v>
      </c>
      <c r="E321">
        <v>19</v>
      </c>
      <c r="F321" s="2" t="s">
        <v>1242</v>
      </c>
      <c r="G321" s="2" t="s">
        <v>1249</v>
      </c>
      <c r="H321" s="2" t="s">
        <v>1244</v>
      </c>
      <c r="I321" s="1">
        <v>45642</v>
      </c>
      <c r="J321">
        <v>2024</v>
      </c>
      <c r="K321" s="2" t="s">
        <v>1628</v>
      </c>
      <c r="L321" s="4">
        <v>195136</v>
      </c>
      <c r="M321" s="2" t="s">
        <v>1223</v>
      </c>
      <c r="N321" s="2" t="s">
        <v>1231</v>
      </c>
      <c r="O321" s="2" t="s">
        <v>10</v>
      </c>
      <c r="P321" s="3">
        <v>43931</v>
      </c>
      <c r="Q321" s="4">
        <v>306083</v>
      </c>
      <c r="R321">
        <v>357</v>
      </c>
      <c r="S321" t="str">
        <f>IF(Linked[[#This Row],[Credit Score]]&lt;=579,"Poor",IF(Linked[[#This Row],[Credit Score]]&lt;=669,"Fair",IF(Linked[[#This Row],[Credit Score]]&lt;=739,"Good",IF(Linked[[#This Row],[Credit Score]]&lt;=799,"Very Good",IF(Linked[[#This Row],[Credit Score]]&gt;=800,"Excellent")))))</f>
        <v>Poor</v>
      </c>
      <c r="T321" s="4">
        <v>0</v>
      </c>
      <c r="U321" s="2"/>
      <c r="V321" s="2"/>
    </row>
    <row r="322" spans="1:22" x14ac:dyDescent="0.25">
      <c r="A322" s="2" t="s">
        <v>289</v>
      </c>
      <c r="B322" s="2" t="s">
        <v>359</v>
      </c>
      <c r="C322" s="2" t="s">
        <v>1627</v>
      </c>
      <c r="D322" s="2" t="s">
        <v>1219</v>
      </c>
      <c r="E322">
        <v>19</v>
      </c>
      <c r="F322" s="2" t="s">
        <v>1242</v>
      </c>
      <c r="G322" s="2" t="s">
        <v>1249</v>
      </c>
      <c r="H322" s="2" t="s">
        <v>1244</v>
      </c>
      <c r="I322" s="1">
        <v>45642</v>
      </c>
      <c r="J322">
        <v>2024</v>
      </c>
      <c r="K322" s="2" t="s">
        <v>1628</v>
      </c>
      <c r="L322" s="4">
        <v>195136</v>
      </c>
      <c r="M322" s="2" t="s">
        <v>1223</v>
      </c>
      <c r="N322" s="2" t="s">
        <v>1231</v>
      </c>
      <c r="O322" s="2" t="s">
        <v>13</v>
      </c>
      <c r="P322" s="3">
        <v>44739</v>
      </c>
      <c r="Q322" s="4">
        <v>202160</v>
      </c>
      <c r="R322">
        <v>461</v>
      </c>
      <c r="S322" t="str">
        <f>IF(Linked[[#This Row],[Credit Score]]&lt;=579,"Poor",IF(Linked[[#This Row],[Credit Score]]&lt;=669,"Fair",IF(Linked[[#This Row],[Credit Score]]&lt;=739,"Good",IF(Linked[[#This Row],[Credit Score]]&lt;=799,"Very Good",IF(Linked[[#This Row],[Credit Score]]&gt;=800,"Excellent")))))</f>
        <v>Poor</v>
      </c>
      <c r="T322" s="4">
        <v>0</v>
      </c>
      <c r="U322" s="2"/>
      <c r="V322" s="2"/>
    </row>
    <row r="323" spans="1:22" x14ac:dyDescent="0.25">
      <c r="A323" s="2" t="s">
        <v>289</v>
      </c>
      <c r="B323" s="2" t="s">
        <v>528</v>
      </c>
      <c r="C323" s="2" t="s">
        <v>1627</v>
      </c>
      <c r="D323" s="2" t="s">
        <v>1219</v>
      </c>
      <c r="E323">
        <v>19</v>
      </c>
      <c r="F323" s="2" t="s">
        <v>1242</v>
      </c>
      <c r="G323" s="2" t="s">
        <v>1249</v>
      </c>
      <c r="H323" s="2" t="s">
        <v>1244</v>
      </c>
      <c r="I323" s="1">
        <v>45642</v>
      </c>
      <c r="J323">
        <v>2024</v>
      </c>
      <c r="K323" s="2" t="s">
        <v>1628</v>
      </c>
      <c r="L323" s="4">
        <v>195136</v>
      </c>
      <c r="M323" s="2" t="s">
        <v>1223</v>
      </c>
      <c r="N323" s="2" t="s">
        <v>1231</v>
      </c>
      <c r="O323" s="2" t="s">
        <v>10</v>
      </c>
      <c r="P323" s="3">
        <v>43730</v>
      </c>
      <c r="Q323" s="4">
        <v>245762</v>
      </c>
      <c r="R323">
        <v>718</v>
      </c>
      <c r="S323" t="str">
        <f>IF(Linked[[#This Row],[Credit Score]]&lt;=579,"Poor",IF(Linked[[#This Row],[Credit Score]]&lt;=669,"Fair",IF(Linked[[#This Row],[Credit Score]]&lt;=739,"Good",IF(Linked[[#This Row],[Credit Score]]&lt;=799,"Very Good",IF(Linked[[#This Row],[Credit Score]]&gt;=800,"Excellent")))))</f>
        <v>Good</v>
      </c>
      <c r="T323" s="4">
        <v>291100</v>
      </c>
      <c r="U323" s="2"/>
      <c r="V323" s="2"/>
    </row>
    <row r="324" spans="1:22" x14ac:dyDescent="0.25">
      <c r="A324" s="2" t="s">
        <v>291</v>
      </c>
      <c r="B324" s="2" t="s">
        <v>290</v>
      </c>
      <c r="C324" s="2" t="s">
        <v>2140</v>
      </c>
      <c r="D324" s="2" t="s">
        <v>1219</v>
      </c>
      <c r="E324">
        <v>25</v>
      </c>
      <c r="F324" s="2" t="s">
        <v>1242</v>
      </c>
      <c r="G324" s="2" t="s">
        <v>1221</v>
      </c>
      <c r="H324" s="2" t="s">
        <v>1235</v>
      </c>
      <c r="I324" s="1">
        <v>45595</v>
      </c>
      <c r="J324">
        <v>2024</v>
      </c>
      <c r="K324" s="2" t="s">
        <v>2141</v>
      </c>
      <c r="L324" s="4">
        <v>186205</v>
      </c>
      <c r="M324" s="2" t="s">
        <v>1223</v>
      </c>
      <c r="N324" s="2" t="s">
        <v>1236</v>
      </c>
      <c r="O324" s="2" t="s">
        <v>10</v>
      </c>
      <c r="P324" s="3">
        <v>44257</v>
      </c>
      <c r="Q324" s="4">
        <v>29345</v>
      </c>
      <c r="R324">
        <v>568</v>
      </c>
      <c r="S324" t="str">
        <f>IF(Linked[[#This Row],[Credit Score]]&lt;=579,"Poor",IF(Linked[[#This Row],[Credit Score]]&lt;=669,"Fair",IF(Linked[[#This Row],[Credit Score]]&lt;=739,"Good",IF(Linked[[#This Row],[Credit Score]]&lt;=799,"Very Good",IF(Linked[[#This Row],[Credit Score]]&gt;=800,"Excellent")))))</f>
        <v>Poor</v>
      </c>
      <c r="T324" s="4">
        <v>213886</v>
      </c>
      <c r="U324" s="2"/>
      <c r="V324" s="2"/>
    </row>
    <row r="325" spans="1:22" x14ac:dyDescent="0.25">
      <c r="A325" s="2" t="s">
        <v>291</v>
      </c>
      <c r="B325" s="2" t="s">
        <v>588</v>
      </c>
      <c r="C325" s="2" t="s">
        <v>2140</v>
      </c>
      <c r="D325" s="2" t="s">
        <v>1219</v>
      </c>
      <c r="E325">
        <v>25</v>
      </c>
      <c r="F325" s="2" t="s">
        <v>1242</v>
      </c>
      <c r="G325" s="2" t="s">
        <v>1221</v>
      </c>
      <c r="H325" s="2" t="s">
        <v>1235</v>
      </c>
      <c r="I325" s="1">
        <v>45595</v>
      </c>
      <c r="J325">
        <v>2024</v>
      </c>
      <c r="K325" s="2" t="s">
        <v>2141</v>
      </c>
      <c r="L325" s="4">
        <v>186205</v>
      </c>
      <c r="M325" s="2" t="s">
        <v>1223</v>
      </c>
      <c r="N325" s="2" t="s">
        <v>1236</v>
      </c>
      <c r="O325" s="2" t="s">
        <v>25</v>
      </c>
      <c r="P325" s="3">
        <v>44861</v>
      </c>
      <c r="Q325" s="4">
        <v>331119</v>
      </c>
      <c r="R325">
        <v>722</v>
      </c>
      <c r="S325" t="str">
        <f>IF(Linked[[#This Row],[Credit Score]]&lt;=579,"Poor",IF(Linked[[#This Row],[Credit Score]]&lt;=669,"Fair",IF(Linked[[#This Row],[Credit Score]]&lt;=739,"Good",IF(Linked[[#This Row],[Credit Score]]&lt;=799,"Very Good",IF(Linked[[#This Row],[Credit Score]]&gt;=800,"Excellent")))))</f>
        <v>Good</v>
      </c>
      <c r="T325" s="4">
        <v>0</v>
      </c>
      <c r="U325" s="2"/>
      <c r="V325" s="2"/>
    </row>
    <row r="326" spans="1:22" x14ac:dyDescent="0.25">
      <c r="A326" s="2" t="s">
        <v>291</v>
      </c>
      <c r="B326" s="2" t="s">
        <v>718</v>
      </c>
      <c r="C326" s="2" t="s">
        <v>2140</v>
      </c>
      <c r="D326" s="2" t="s">
        <v>1219</v>
      </c>
      <c r="E326">
        <v>25</v>
      </c>
      <c r="F326" s="2" t="s">
        <v>1242</v>
      </c>
      <c r="G326" s="2" t="s">
        <v>1221</v>
      </c>
      <c r="H326" s="2" t="s">
        <v>1235</v>
      </c>
      <c r="I326" s="1">
        <v>45595</v>
      </c>
      <c r="J326">
        <v>2024</v>
      </c>
      <c r="K326" s="2" t="s">
        <v>2141</v>
      </c>
      <c r="L326" s="4">
        <v>186205</v>
      </c>
      <c r="M326" s="2" t="s">
        <v>1223</v>
      </c>
      <c r="N326" s="2" t="s">
        <v>1236</v>
      </c>
      <c r="O326" s="2" t="s">
        <v>32</v>
      </c>
      <c r="P326" s="3">
        <v>45530</v>
      </c>
      <c r="Q326" s="4">
        <v>162781</v>
      </c>
      <c r="R326">
        <v>597</v>
      </c>
      <c r="S326" t="str">
        <f>IF(Linked[[#This Row],[Credit Score]]&lt;=579,"Poor",IF(Linked[[#This Row],[Credit Score]]&lt;=669,"Fair",IF(Linked[[#This Row],[Credit Score]]&lt;=739,"Good",IF(Linked[[#This Row],[Credit Score]]&lt;=799,"Very Good",IF(Linked[[#This Row],[Credit Score]]&gt;=800,"Excellent")))))</f>
        <v>Fair</v>
      </c>
      <c r="T326" s="4">
        <v>0</v>
      </c>
      <c r="U326" s="2"/>
      <c r="V326" s="2"/>
    </row>
    <row r="327" spans="1:22" x14ac:dyDescent="0.25">
      <c r="A327" s="2" t="s">
        <v>318</v>
      </c>
      <c r="B327" s="2" t="s">
        <v>317</v>
      </c>
      <c r="C327" s="2" t="s">
        <v>1575</v>
      </c>
      <c r="D327" s="2" t="s">
        <v>1219</v>
      </c>
      <c r="E327">
        <v>53</v>
      </c>
      <c r="F327" s="2" t="s">
        <v>1228</v>
      </c>
      <c r="G327" s="2" t="s">
        <v>1221</v>
      </c>
      <c r="H327" s="2" t="s">
        <v>1230</v>
      </c>
      <c r="I327" s="1">
        <v>42280</v>
      </c>
      <c r="J327">
        <v>2015</v>
      </c>
      <c r="K327" s="2" t="s">
        <v>1576</v>
      </c>
      <c r="L327" s="4">
        <v>164579</v>
      </c>
      <c r="M327" s="2" t="s">
        <v>1223</v>
      </c>
      <c r="N327" s="2" t="s">
        <v>1236</v>
      </c>
      <c r="O327" s="2" t="s">
        <v>32</v>
      </c>
      <c r="P327" s="3">
        <v>43983</v>
      </c>
      <c r="Q327" s="4">
        <v>384583</v>
      </c>
      <c r="R327">
        <v>436</v>
      </c>
      <c r="S327" t="str">
        <f>IF(Linked[[#This Row],[Credit Score]]&lt;=579,"Poor",IF(Linked[[#This Row],[Credit Score]]&lt;=669,"Fair",IF(Linked[[#This Row],[Credit Score]]&lt;=739,"Good",IF(Linked[[#This Row],[Credit Score]]&lt;=799,"Very Good",IF(Linked[[#This Row],[Credit Score]]&gt;=800,"Excellent")))))</f>
        <v>Poor</v>
      </c>
      <c r="T327" s="4">
        <v>0</v>
      </c>
      <c r="U327" s="2"/>
      <c r="V327" s="2"/>
    </row>
    <row r="328" spans="1:22" x14ac:dyDescent="0.25">
      <c r="A328" s="2" t="s">
        <v>318</v>
      </c>
      <c r="B328" s="2" t="s">
        <v>461</v>
      </c>
      <c r="C328" s="2" t="s">
        <v>1575</v>
      </c>
      <c r="D328" s="2" t="s">
        <v>1219</v>
      </c>
      <c r="E328">
        <v>53</v>
      </c>
      <c r="F328" s="2" t="s">
        <v>1228</v>
      </c>
      <c r="G328" s="2" t="s">
        <v>1221</v>
      </c>
      <c r="H328" s="2" t="s">
        <v>1230</v>
      </c>
      <c r="I328" s="1">
        <v>42280</v>
      </c>
      <c r="J328">
        <v>2015</v>
      </c>
      <c r="K328" s="2" t="s">
        <v>1576</v>
      </c>
      <c r="L328" s="4">
        <v>164579</v>
      </c>
      <c r="M328" s="2" t="s">
        <v>1223</v>
      </c>
      <c r="N328" s="2" t="s">
        <v>1236</v>
      </c>
      <c r="O328" s="2" t="s">
        <v>13</v>
      </c>
      <c r="P328" s="3">
        <v>44284</v>
      </c>
      <c r="Q328" s="4">
        <v>487852</v>
      </c>
      <c r="R328">
        <v>789</v>
      </c>
      <c r="S328" t="str">
        <f>IF(Linked[[#This Row],[Credit Score]]&lt;=579,"Poor",IF(Linked[[#This Row],[Credit Score]]&lt;=669,"Fair",IF(Linked[[#This Row],[Credit Score]]&lt;=739,"Good",IF(Linked[[#This Row],[Credit Score]]&lt;=799,"Very Good",IF(Linked[[#This Row],[Credit Score]]&gt;=800,"Excellent")))))</f>
        <v>Very Good</v>
      </c>
      <c r="T328" s="4">
        <v>0</v>
      </c>
      <c r="U328" s="2"/>
      <c r="V328" s="2"/>
    </row>
    <row r="329" spans="1:22" x14ac:dyDescent="0.25">
      <c r="A329" s="2" t="s">
        <v>318</v>
      </c>
      <c r="B329" s="2" t="s">
        <v>660</v>
      </c>
      <c r="C329" s="2" t="s">
        <v>1575</v>
      </c>
      <c r="D329" s="2" t="s">
        <v>1219</v>
      </c>
      <c r="E329">
        <v>53</v>
      </c>
      <c r="F329" s="2" t="s">
        <v>1228</v>
      </c>
      <c r="G329" s="2" t="s">
        <v>1221</v>
      </c>
      <c r="H329" s="2" t="s">
        <v>1230</v>
      </c>
      <c r="I329" s="1">
        <v>42280</v>
      </c>
      <c r="J329">
        <v>2015</v>
      </c>
      <c r="K329" s="2" t="s">
        <v>1576</v>
      </c>
      <c r="L329" s="4">
        <v>164579</v>
      </c>
      <c r="M329" s="2" t="s">
        <v>1223</v>
      </c>
      <c r="N329" s="2" t="s">
        <v>1236</v>
      </c>
      <c r="O329" s="2" t="s">
        <v>10</v>
      </c>
      <c r="P329" s="3">
        <v>43283</v>
      </c>
      <c r="Q329" s="4">
        <v>455738</v>
      </c>
      <c r="R329">
        <v>329</v>
      </c>
      <c r="S329" t="str">
        <f>IF(Linked[[#This Row],[Credit Score]]&lt;=579,"Poor",IF(Linked[[#This Row],[Credit Score]]&lt;=669,"Fair",IF(Linked[[#This Row],[Credit Score]]&lt;=739,"Good",IF(Linked[[#This Row],[Credit Score]]&lt;=799,"Very Good",IF(Linked[[#This Row],[Credit Score]]&gt;=800,"Excellent")))))</f>
        <v>Poor</v>
      </c>
      <c r="T329" s="4">
        <v>0</v>
      </c>
      <c r="U329" s="2"/>
      <c r="V329" s="2"/>
    </row>
    <row r="330" spans="1:22" x14ac:dyDescent="0.25">
      <c r="A330" s="2" t="s">
        <v>713</v>
      </c>
      <c r="B330" s="2" t="s">
        <v>712</v>
      </c>
      <c r="C330" s="2" t="s">
        <v>1580</v>
      </c>
      <c r="D330" s="2" t="s">
        <v>1227</v>
      </c>
      <c r="E330">
        <v>47</v>
      </c>
      <c r="F330" s="2" t="s">
        <v>1228</v>
      </c>
      <c r="G330" s="2" t="s">
        <v>1249</v>
      </c>
      <c r="H330" s="2" t="s">
        <v>1259</v>
      </c>
      <c r="I330" s="1">
        <v>44850</v>
      </c>
      <c r="J330">
        <v>2022</v>
      </c>
      <c r="K330" s="2" t="s">
        <v>1581</v>
      </c>
      <c r="L330" s="4">
        <v>196611</v>
      </c>
      <c r="M330" s="2" t="s">
        <v>1223</v>
      </c>
      <c r="N330" s="2" t="s">
        <v>1224</v>
      </c>
      <c r="O330" s="2" t="s">
        <v>13</v>
      </c>
      <c r="P330" s="3">
        <v>44091</v>
      </c>
      <c r="Q330" s="4">
        <v>274370</v>
      </c>
      <c r="R330">
        <v>790</v>
      </c>
      <c r="S330" t="str">
        <f>IF(Linked[[#This Row],[Credit Score]]&lt;=579,"Poor",IF(Linked[[#This Row],[Credit Score]]&lt;=669,"Fair",IF(Linked[[#This Row],[Credit Score]]&lt;=739,"Good",IF(Linked[[#This Row],[Credit Score]]&lt;=799,"Very Good",IF(Linked[[#This Row],[Credit Score]]&gt;=800,"Excellent")))))</f>
        <v>Very Good</v>
      </c>
      <c r="T330" s="4">
        <v>0</v>
      </c>
      <c r="U330" s="2"/>
      <c r="V330" s="2"/>
    </row>
    <row r="331" spans="1:22" x14ac:dyDescent="0.25">
      <c r="A331" s="2" t="s">
        <v>713</v>
      </c>
      <c r="B331" s="2" t="s">
        <v>764</v>
      </c>
      <c r="C331" s="2" t="s">
        <v>1580</v>
      </c>
      <c r="D331" s="2" t="s">
        <v>1227</v>
      </c>
      <c r="E331">
        <v>47</v>
      </c>
      <c r="F331" s="2" t="s">
        <v>1228</v>
      </c>
      <c r="G331" s="2" t="s">
        <v>1249</v>
      </c>
      <c r="H331" s="2" t="s">
        <v>1259</v>
      </c>
      <c r="I331" s="1">
        <v>44850</v>
      </c>
      <c r="J331">
        <v>2022</v>
      </c>
      <c r="K331" s="2" t="s">
        <v>1581</v>
      </c>
      <c r="L331" s="4">
        <v>196611</v>
      </c>
      <c r="M331" s="2" t="s">
        <v>1223</v>
      </c>
      <c r="N331" s="2" t="s">
        <v>1224</v>
      </c>
      <c r="O331" s="2" t="s">
        <v>10</v>
      </c>
      <c r="P331" s="3">
        <v>42314</v>
      </c>
      <c r="Q331" s="4">
        <v>379413</v>
      </c>
      <c r="R331">
        <v>610</v>
      </c>
      <c r="S331" t="str">
        <f>IF(Linked[[#This Row],[Credit Score]]&lt;=579,"Poor",IF(Linked[[#This Row],[Credit Score]]&lt;=669,"Fair",IF(Linked[[#This Row],[Credit Score]]&lt;=739,"Good",IF(Linked[[#This Row],[Credit Score]]&lt;=799,"Very Good",IF(Linked[[#This Row],[Credit Score]]&gt;=800,"Excellent")))))</f>
        <v>Fair</v>
      </c>
      <c r="T331" s="4">
        <v>0</v>
      </c>
      <c r="U331" s="2"/>
      <c r="V331" s="2"/>
    </row>
    <row r="332" spans="1:22" x14ac:dyDescent="0.25">
      <c r="A332" s="2" t="s">
        <v>300</v>
      </c>
      <c r="B332" s="2" t="s">
        <v>299</v>
      </c>
      <c r="C332" s="2" t="s">
        <v>2239</v>
      </c>
      <c r="D332" s="2" t="s">
        <v>1219</v>
      </c>
      <c r="E332">
        <v>43</v>
      </c>
      <c r="F332" s="2" t="s">
        <v>1220</v>
      </c>
      <c r="G332" s="2" t="s">
        <v>1243</v>
      </c>
      <c r="H332" s="2" t="s">
        <v>1235</v>
      </c>
      <c r="I332" s="1">
        <v>44745</v>
      </c>
      <c r="J332">
        <v>2022</v>
      </c>
      <c r="K332" s="2" t="s">
        <v>1295</v>
      </c>
      <c r="L332" s="4">
        <v>111155</v>
      </c>
      <c r="M332" s="2" t="s">
        <v>1245</v>
      </c>
      <c r="N332" s="2" t="s">
        <v>1224</v>
      </c>
      <c r="O332" s="2" t="s">
        <v>13</v>
      </c>
      <c r="P332" s="3">
        <v>43858</v>
      </c>
      <c r="Q332" s="4">
        <v>261798</v>
      </c>
      <c r="R332">
        <v>793</v>
      </c>
      <c r="S332" t="str">
        <f>IF(Linked[[#This Row],[Credit Score]]&lt;=579,"Poor",IF(Linked[[#This Row],[Credit Score]]&lt;=669,"Fair",IF(Linked[[#This Row],[Credit Score]]&lt;=739,"Good",IF(Linked[[#This Row],[Credit Score]]&lt;=799,"Very Good",IF(Linked[[#This Row],[Credit Score]]&gt;=800,"Excellent")))))</f>
        <v>Very Good</v>
      </c>
      <c r="T332" s="4">
        <v>0</v>
      </c>
      <c r="U332" s="2" t="s">
        <v>18</v>
      </c>
      <c r="V332" s="2"/>
    </row>
    <row r="333" spans="1:22" x14ac:dyDescent="0.25">
      <c r="A333" s="2" t="s">
        <v>629</v>
      </c>
      <c r="B333" s="2" t="s">
        <v>628</v>
      </c>
      <c r="C333" s="2" t="s">
        <v>1584</v>
      </c>
      <c r="D333" s="2" t="s">
        <v>1227</v>
      </c>
      <c r="E333">
        <v>40</v>
      </c>
      <c r="F333" s="2" t="s">
        <v>1220</v>
      </c>
      <c r="G333" s="2" t="s">
        <v>1221</v>
      </c>
      <c r="H333" s="2" t="s">
        <v>1253</v>
      </c>
      <c r="I333" s="1">
        <v>45774</v>
      </c>
      <c r="J333">
        <v>2025</v>
      </c>
      <c r="K333" s="2" t="s">
        <v>1585</v>
      </c>
      <c r="L333" s="4">
        <v>158563</v>
      </c>
      <c r="M333" s="2" t="s">
        <v>1223</v>
      </c>
      <c r="N333" s="2" t="s">
        <v>1224</v>
      </c>
      <c r="O333" s="2" t="s">
        <v>10</v>
      </c>
      <c r="P333" s="3">
        <v>45831</v>
      </c>
      <c r="Q333" s="4">
        <v>247572</v>
      </c>
      <c r="R333">
        <v>833</v>
      </c>
      <c r="S333" t="str">
        <f>IF(Linked[[#This Row],[Credit Score]]&lt;=579,"Poor",IF(Linked[[#This Row],[Credit Score]]&lt;=669,"Fair",IF(Linked[[#This Row],[Credit Score]]&lt;=739,"Good",IF(Linked[[#This Row],[Credit Score]]&lt;=799,"Very Good",IF(Linked[[#This Row],[Credit Score]]&gt;=800,"Excellent")))))</f>
        <v>Excellent</v>
      </c>
      <c r="T333" s="4">
        <v>0</v>
      </c>
      <c r="U333" s="2"/>
      <c r="V333" s="2"/>
    </row>
    <row r="334" spans="1:22" x14ac:dyDescent="0.25">
      <c r="A334" s="2" t="s">
        <v>302</v>
      </c>
      <c r="B334" s="2" t="s">
        <v>301</v>
      </c>
      <c r="C334" s="2" t="s">
        <v>1588</v>
      </c>
      <c r="D334" s="2" t="s">
        <v>1227</v>
      </c>
      <c r="E334">
        <v>71</v>
      </c>
      <c r="F334" s="2" t="s">
        <v>1263</v>
      </c>
      <c r="G334" s="2" t="s">
        <v>1221</v>
      </c>
      <c r="H334" s="2" t="s">
        <v>1259</v>
      </c>
      <c r="I334" s="1">
        <v>42314</v>
      </c>
      <c r="J334">
        <v>2015</v>
      </c>
      <c r="K334" s="2" t="s">
        <v>1589</v>
      </c>
      <c r="L334" s="4">
        <v>83888</v>
      </c>
      <c r="M334" s="2" t="s">
        <v>1245</v>
      </c>
      <c r="N334" s="2" t="s">
        <v>1224</v>
      </c>
      <c r="O334" s="2" t="s">
        <v>10</v>
      </c>
      <c r="P334" s="3">
        <v>43956</v>
      </c>
      <c r="Q334" s="4">
        <v>493814</v>
      </c>
      <c r="R334">
        <v>382</v>
      </c>
      <c r="S334" t="str">
        <f>IF(Linked[[#This Row],[Credit Score]]&lt;=579,"Poor",IF(Linked[[#This Row],[Credit Score]]&lt;=669,"Fair",IF(Linked[[#This Row],[Credit Score]]&lt;=739,"Good",IF(Linked[[#This Row],[Credit Score]]&lt;=799,"Very Good",IF(Linked[[#This Row],[Credit Score]]&gt;=800,"Excellent")))))</f>
        <v>Poor</v>
      </c>
      <c r="T334" s="4">
        <v>192646</v>
      </c>
      <c r="U334" s="2"/>
      <c r="V334" s="2"/>
    </row>
    <row r="335" spans="1:22" x14ac:dyDescent="0.25">
      <c r="A335" s="2" t="s">
        <v>304</v>
      </c>
      <c r="B335" s="2" t="s">
        <v>303</v>
      </c>
      <c r="C335" s="2" t="s">
        <v>1781</v>
      </c>
      <c r="D335" s="2" t="s">
        <v>1219</v>
      </c>
      <c r="E335">
        <v>40</v>
      </c>
      <c r="F335" s="2" t="s">
        <v>1220</v>
      </c>
      <c r="G335" s="2" t="s">
        <v>1221</v>
      </c>
      <c r="H335" s="2" t="s">
        <v>1222</v>
      </c>
      <c r="I335" s="1">
        <v>45179</v>
      </c>
      <c r="J335">
        <v>2023</v>
      </c>
      <c r="K335" s="2" t="s">
        <v>1782</v>
      </c>
      <c r="L335" s="4">
        <v>99083</v>
      </c>
      <c r="M335" s="2" t="s">
        <v>1245</v>
      </c>
      <c r="N335" s="2" t="s">
        <v>1231</v>
      </c>
      <c r="O335" s="2" t="s">
        <v>13</v>
      </c>
      <c r="P335" s="3">
        <v>45218</v>
      </c>
      <c r="Q335" s="4">
        <v>331310</v>
      </c>
      <c r="R335">
        <v>485</v>
      </c>
      <c r="S335" t="str">
        <f>IF(Linked[[#This Row],[Credit Score]]&lt;=579,"Poor",IF(Linked[[#This Row],[Credit Score]]&lt;=669,"Fair",IF(Linked[[#This Row],[Credit Score]]&lt;=739,"Good",IF(Linked[[#This Row],[Credit Score]]&lt;=799,"Very Good",IF(Linked[[#This Row],[Credit Score]]&gt;=800,"Excellent")))))</f>
        <v>Poor</v>
      </c>
      <c r="T335" s="4">
        <v>0</v>
      </c>
      <c r="U335" s="2"/>
      <c r="V335" s="2"/>
    </row>
    <row r="336" spans="1:22" x14ac:dyDescent="0.25">
      <c r="A336" s="2" t="s">
        <v>304</v>
      </c>
      <c r="B336" s="2" t="s">
        <v>503</v>
      </c>
      <c r="C336" s="2" t="s">
        <v>1781</v>
      </c>
      <c r="D336" s="2" t="s">
        <v>1219</v>
      </c>
      <c r="E336">
        <v>40</v>
      </c>
      <c r="F336" s="2" t="s">
        <v>1220</v>
      </c>
      <c r="G336" s="2" t="s">
        <v>1221</v>
      </c>
      <c r="H336" s="2" t="s">
        <v>1222</v>
      </c>
      <c r="I336" s="1">
        <v>45179</v>
      </c>
      <c r="J336">
        <v>2023</v>
      </c>
      <c r="K336" s="2" t="s">
        <v>1782</v>
      </c>
      <c r="L336" s="4">
        <v>99083</v>
      </c>
      <c r="M336" s="2" t="s">
        <v>1245</v>
      </c>
      <c r="N336" s="2" t="s">
        <v>1231</v>
      </c>
      <c r="O336" s="2" t="s">
        <v>25</v>
      </c>
      <c r="P336" s="3">
        <v>43449</v>
      </c>
      <c r="Q336" s="4">
        <v>76848</v>
      </c>
      <c r="R336">
        <v>325</v>
      </c>
      <c r="S336" t="str">
        <f>IF(Linked[[#This Row],[Credit Score]]&lt;=579,"Poor",IF(Linked[[#This Row],[Credit Score]]&lt;=669,"Fair",IF(Linked[[#This Row],[Credit Score]]&lt;=739,"Good",IF(Linked[[#This Row],[Credit Score]]&lt;=799,"Very Good",IF(Linked[[#This Row],[Credit Score]]&gt;=800,"Excellent")))))</f>
        <v>Poor</v>
      </c>
      <c r="T336" s="4">
        <v>0</v>
      </c>
      <c r="U336" s="2"/>
      <c r="V336" s="2"/>
    </row>
    <row r="337" spans="1:22" x14ac:dyDescent="0.25">
      <c r="A337" s="2" t="s">
        <v>304</v>
      </c>
      <c r="B337" s="2" t="s">
        <v>714</v>
      </c>
      <c r="C337" s="2" t="s">
        <v>1781</v>
      </c>
      <c r="D337" s="2" t="s">
        <v>1219</v>
      </c>
      <c r="E337">
        <v>40</v>
      </c>
      <c r="F337" s="2" t="s">
        <v>1220</v>
      </c>
      <c r="G337" s="2" t="s">
        <v>1221</v>
      </c>
      <c r="H337" s="2" t="s">
        <v>1222</v>
      </c>
      <c r="I337" s="1">
        <v>45179</v>
      </c>
      <c r="J337">
        <v>2023</v>
      </c>
      <c r="K337" s="2" t="s">
        <v>1782</v>
      </c>
      <c r="L337" s="4">
        <v>99083</v>
      </c>
      <c r="M337" s="2" t="s">
        <v>1245</v>
      </c>
      <c r="N337" s="2" t="s">
        <v>1231</v>
      </c>
      <c r="O337" s="2" t="s">
        <v>25</v>
      </c>
      <c r="P337" s="3">
        <v>45573</v>
      </c>
      <c r="Q337" s="4">
        <v>93405</v>
      </c>
      <c r="R337">
        <v>730</v>
      </c>
      <c r="S337" t="str">
        <f>IF(Linked[[#This Row],[Credit Score]]&lt;=579,"Poor",IF(Linked[[#This Row],[Credit Score]]&lt;=669,"Fair",IF(Linked[[#This Row],[Credit Score]]&lt;=739,"Good",IF(Linked[[#This Row],[Credit Score]]&lt;=799,"Very Good",IF(Linked[[#This Row],[Credit Score]]&gt;=800,"Excellent")))))</f>
        <v>Good</v>
      </c>
      <c r="T337" s="4">
        <v>0</v>
      </c>
      <c r="U337" s="2"/>
      <c r="V337" s="2"/>
    </row>
    <row r="338" spans="1:22" x14ac:dyDescent="0.25">
      <c r="A338" s="2" t="s">
        <v>304</v>
      </c>
      <c r="B338" s="2" t="s">
        <v>763</v>
      </c>
      <c r="C338" s="2" t="s">
        <v>1781</v>
      </c>
      <c r="D338" s="2" t="s">
        <v>1219</v>
      </c>
      <c r="E338">
        <v>40</v>
      </c>
      <c r="F338" s="2" t="s">
        <v>1220</v>
      </c>
      <c r="G338" s="2" t="s">
        <v>1221</v>
      </c>
      <c r="H338" s="2" t="s">
        <v>1222</v>
      </c>
      <c r="I338" s="1">
        <v>45179</v>
      </c>
      <c r="J338">
        <v>2023</v>
      </c>
      <c r="K338" s="2" t="s">
        <v>1782</v>
      </c>
      <c r="L338" s="4">
        <v>99083</v>
      </c>
      <c r="M338" s="2" t="s">
        <v>1245</v>
      </c>
      <c r="N338" s="2" t="s">
        <v>1231</v>
      </c>
      <c r="O338" s="2" t="s">
        <v>13</v>
      </c>
      <c r="P338" s="3">
        <v>43213</v>
      </c>
      <c r="Q338" s="4">
        <v>236094</v>
      </c>
      <c r="R338">
        <v>326</v>
      </c>
      <c r="S338" t="str">
        <f>IF(Linked[[#This Row],[Credit Score]]&lt;=579,"Poor",IF(Linked[[#This Row],[Credit Score]]&lt;=669,"Fair",IF(Linked[[#This Row],[Credit Score]]&lt;=739,"Good",IF(Linked[[#This Row],[Credit Score]]&lt;=799,"Very Good",IF(Linked[[#This Row],[Credit Score]]&gt;=800,"Excellent")))))</f>
        <v>Poor</v>
      </c>
      <c r="T338" s="4">
        <v>98448</v>
      </c>
      <c r="U338" s="2"/>
      <c r="V338" s="2"/>
    </row>
    <row r="339" spans="1:22" x14ac:dyDescent="0.25">
      <c r="A339" s="2" t="s">
        <v>306</v>
      </c>
      <c r="B339" s="2" t="s">
        <v>305</v>
      </c>
      <c r="C339" s="2" t="s">
        <v>1683</v>
      </c>
      <c r="D339" s="2" t="s">
        <v>1219</v>
      </c>
      <c r="E339">
        <v>29</v>
      </c>
      <c r="F339" s="2" t="s">
        <v>1220</v>
      </c>
      <c r="G339" s="2" t="s">
        <v>1229</v>
      </c>
      <c r="H339" s="2" t="s">
        <v>1253</v>
      </c>
      <c r="I339" s="1">
        <v>45525</v>
      </c>
      <c r="J339">
        <v>2024</v>
      </c>
      <c r="K339" s="2" t="s">
        <v>1684</v>
      </c>
      <c r="L339" s="4">
        <v>117883</v>
      </c>
      <c r="M339" s="2" t="s">
        <v>1245</v>
      </c>
      <c r="N339" s="2" t="s">
        <v>1224</v>
      </c>
      <c r="O339" s="2" t="s">
        <v>13</v>
      </c>
      <c r="P339" s="3">
        <v>42822</v>
      </c>
      <c r="Q339" s="4">
        <v>178933</v>
      </c>
      <c r="R339">
        <v>551</v>
      </c>
      <c r="S339" t="str">
        <f>IF(Linked[[#This Row],[Credit Score]]&lt;=579,"Poor",IF(Linked[[#This Row],[Credit Score]]&lt;=669,"Fair",IF(Linked[[#This Row],[Credit Score]]&lt;=739,"Good",IF(Linked[[#This Row],[Credit Score]]&lt;=799,"Very Good",IF(Linked[[#This Row],[Credit Score]]&gt;=800,"Excellent")))))</f>
        <v>Poor</v>
      </c>
      <c r="T339" s="4">
        <v>0</v>
      </c>
      <c r="U339" s="2"/>
      <c r="V339" s="2"/>
    </row>
    <row r="340" spans="1:22" x14ac:dyDescent="0.25">
      <c r="A340" s="2" t="s">
        <v>633</v>
      </c>
      <c r="B340" s="2" t="s">
        <v>632</v>
      </c>
      <c r="C340" s="2" t="s">
        <v>1592</v>
      </c>
      <c r="D340" s="2" t="s">
        <v>1219</v>
      </c>
      <c r="E340">
        <v>53</v>
      </c>
      <c r="F340" s="2" t="s">
        <v>1228</v>
      </c>
      <c r="G340" s="2" t="s">
        <v>1221</v>
      </c>
      <c r="H340" s="2" t="s">
        <v>1259</v>
      </c>
      <c r="I340" s="1">
        <v>42248</v>
      </c>
      <c r="J340">
        <v>2015</v>
      </c>
      <c r="K340" s="2" t="s">
        <v>1593</v>
      </c>
      <c r="L340" s="4">
        <v>29077</v>
      </c>
      <c r="M340" s="2" t="s">
        <v>1250</v>
      </c>
      <c r="N340" s="2" t="s">
        <v>1231</v>
      </c>
      <c r="O340" s="2" t="s">
        <v>10</v>
      </c>
      <c r="P340" s="3">
        <v>44439</v>
      </c>
      <c r="Q340" s="4">
        <v>45913</v>
      </c>
      <c r="R340">
        <v>449</v>
      </c>
      <c r="S340" t="str">
        <f>IF(Linked[[#This Row],[Credit Score]]&lt;=579,"Poor",IF(Linked[[#This Row],[Credit Score]]&lt;=669,"Fair",IF(Linked[[#This Row],[Credit Score]]&lt;=739,"Good",IF(Linked[[#This Row],[Credit Score]]&lt;=799,"Very Good",IF(Linked[[#This Row],[Credit Score]]&gt;=800,"Excellent")))))</f>
        <v>Poor</v>
      </c>
      <c r="T340" s="4">
        <v>185775</v>
      </c>
      <c r="U340" s="2"/>
      <c r="V340" s="2"/>
    </row>
    <row r="341" spans="1:22" x14ac:dyDescent="0.25">
      <c r="A341" s="2" t="s">
        <v>309</v>
      </c>
      <c r="B341" s="2" t="s">
        <v>308</v>
      </c>
      <c r="C341" s="2" t="s">
        <v>2251</v>
      </c>
      <c r="D341" s="2" t="s">
        <v>1227</v>
      </c>
      <c r="E341">
        <v>50</v>
      </c>
      <c r="F341" s="2" t="s">
        <v>1228</v>
      </c>
      <c r="G341" s="2" t="s">
        <v>1221</v>
      </c>
      <c r="H341" s="2" t="s">
        <v>1239</v>
      </c>
      <c r="I341" s="1">
        <v>43369</v>
      </c>
      <c r="J341">
        <v>2018</v>
      </c>
      <c r="K341" s="2" t="s">
        <v>2252</v>
      </c>
      <c r="L341" s="4">
        <v>179476</v>
      </c>
      <c r="M341" s="2" t="s">
        <v>1223</v>
      </c>
      <c r="N341" s="2" t="s">
        <v>1224</v>
      </c>
      <c r="O341" s="2" t="s">
        <v>13</v>
      </c>
      <c r="P341" s="3">
        <v>45523</v>
      </c>
      <c r="Q341" s="4">
        <v>311442</v>
      </c>
      <c r="R341">
        <v>509</v>
      </c>
      <c r="S341" t="str">
        <f>IF(Linked[[#This Row],[Credit Score]]&lt;=579,"Poor",IF(Linked[[#This Row],[Credit Score]]&lt;=669,"Fair",IF(Linked[[#This Row],[Credit Score]]&lt;=739,"Good",IF(Linked[[#This Row],[Credit Score]]&lt;=799,"Very Good",IF(Linked[[#This Row],[Credit Score]]&gt;=800,"Excellent")))))</f>
        <v>Poor</v>
      </c>
      <c r="T341" s="4">
        <v>0</v>
      </c>
      <c r="U341" s="2"/>
      <c r="V341" s="2"/>
    </row>
    <row r="342" spans="1:22" x14ac:dyDescent="0.25">
      <c r="A342" s="2" t="s">
        <v>309</v>
      </c>
      <c r="B342" s="2" t="s">
        <v>342</v>
      </c>
      <c r="C342" s="2" t="s">
        <v>2251</v>
      </c>
      <c r="D342" s="2" t="s">
        <v>1227</v>
      </c>
      <c r="E342">
        <v>50</v>
      </c>
      <c r="F342" s="2" t="s">
        <v>1228</v>
      </c>
      <c r="G342" s="2" t="s">
        <v>1221</v>
      </c>
      <c r="H342" s="2" t="s">
        <v>1239</v>
      </c>
      <c r="I342" s="1">
        <v>43369</v>
      </c>
      <c r="J342">
        <v>2018</v>
      </c>
      <c r="K342" s="2" t="s">
        <v>2252</v>
      </c>
      <c r="L342" s="4">
        <v>179476</v>
      </c>
      <c r="M342" s="2" t="s">
        <v>1223</v>
      </c>
      <c r="N342" s="2" t="s">
        <v>1224</v>
      </c>
      <c r="O342" s="2" t="s">
        <v>13</v>
      </c>
      <c r="P342" s="3">
        <v>43047</v>
      </c>
      <c r="Q342" s="4">
        <v>161121</v>
      </c>
      <c r="R342">
        <v>451</v>
      </c>
      <c r="S342" t="str">
        <f>IF(Linked[[#This Row],[Credit Score]]&lt;=579,"Poor",IF(Linked[[#This Row],[Credit Score]]&lt;=669,"Fair",IF(Linked[[#This Row],[Credit Score]]&lt;=739,"Good",IF(Linked[[#This Row],[Credit Score]]&lt;=799,"Very Good",IF(Linked[[#This Row],[Credit Score]]&gt;=800,"Excellent")))))</f>
        <v>Poor</v>
      </c>
      <c r="T342" s="4">
        <v>0</v>
      </c>
      <c r="U342" s="2"/>
      <c r="V342" s="2"/>
    </row>
    <row r="343" spans="1:22" x14ac:dyDescent="0.25">
      <c r="A343" s="2" t="s">
        <v>547</v>
      </c>
      <c r="B343" s="2" t="s">
        <v>546</v>
      </c>
      <c r="C343" s="2" t="s">
        <v>1596</v>
      </c>
      <c r="D343" s="2" t="s">
        <v>1227</v>
      </c>
      <c r="E343">
        <v>69</v>
      </c>
      <c r="F343" s="2" t="s">
        <v>1263</v>
      </c>
      <c r="G343" s="2" t="s">
        <v>1229</v>
      </c>
      <c r="H343" s="2" t="s">
        <v>1259</v>
      </c>
      <c r="I343" s="1">
        <v>44257</v>
      </c>
      <c r="J343">
        <v>2021</v>
      </c>
      <c r="K343" s="2" t="s">
        <v>1597</v>
      </c>
      <c r="L343" s="4">
        <v>134682</v>
      </c>
      <c r="M343" s="2" t="s">
        <v>1245</v>
      </c>
      <c r="N343" s="2" t="s">
        <v>1224</v>
      </c>
      <c r="O343" s="2" t="s">
        <v>25</v>
      </c>
      <c r="P343" s="3">
        <v>44766</v>
      </c>
      <c r="Q343" s="4">
        <v>133962</v>
      </c>
      <c r="R343">
        <v>364</v>
      </c>
      <c r="S343" t="str">
        <f>IF(Linked[[#This Row],[Credit Score]]&lt;=579,"Poor",IF(Linked[[#This Row],[Credit Score]]&lt;=669,"Fair",IF(Linked[[#This Row],[Credit Score]]&lt;=739,"Good",IF(Linked[[#This Row],[Credit Score]]&lt;=799,"Very Good",IF(Linked[[#This Row],[Credit Score]]&gt;=800,"Excellent")))))</f>
        <v>Poor</v>
      </c>
      <c r="T343" s="4">
        <v>0</v>
      </c>
      <c r="U343" s="2"/>
      <c r="V343" s="2"/>
    </row>
    <row r="344" spans="1:22" x14ac:dyDescent="0.25">
      <c r="A344" s="2" t="s">
        <v>329</v>
      </c>
      <c r="B344" s="2" t="s">
        <v>328</v>
      </c>
      <c r="C344" s="2" t="s">
        <v>1598</v>
      </c>
      <c r="D344" s="2" t="s">
        <v>1227</v>
      </c>
      <c r="E344">
        <v>48</v>
      </c>
      <c r="F344" s="2" t="s">
        <v>1228</v>
      </c>
      <c r="G344" s="2" t="s">
        <v>1229</v>
      </c>
      <c r="H344" s="2" t="s">
        <v>1239</v>
      </c>
      <c r="I344" s="1">
        <v>45172</v>
      </c>
      <c r="J344">
        <v>2023</v>
      </c>
      <c r="K344" s="2" t="s">
        <v>1599</v>
      </c>
      <c r="L344" s="4">
        <v>87889</v>
      </c>
      <c r="M344" s="2" t="s">
        <v>1245</v>
      </c>
      <c r="N344" s="2" t="s">
        <v>1224</v>
      </c>
      <c r="O344" s="2" t="s">
        <v>25</v>
      </c>
      <c r="P344" s="3">
        <v>43795</v>
      </c>
      <c r="Q344" s="4">
        <v>478141</v>
      </c>
      <c r="R344">
        <v>836</v>
      </c>
      <c r="S344" t="str">
        <f>IF(Linked[[#This Row],[Credit Score]]&lt;=579,"Poor",IF(Linked[[#This Row],[Credit Score]]&lt;=669,"Fair",IF(Linked[[#This Row],[Credit Score]]&lt;=739,"Good",IF(Linked[[#This Row],[Credit Score]]&lt;=799,"Very Good",IF(Linked[[#This Row],[Credit Score]]&gt;=800,"Excellent")))))</f>
        <v>Excellent</v>
      </c>
      <c r="T344" s="4">
        <v>0</v>
      </c>
      <c r="U344" s="2" t="s">
        <v>18</v>
      </c>
      <c r="V344" s="2"/>
    </row>
    <row r="345" spans="1:22" x14ac:dyDescent="0.25">
      <c r="A345" s="2" t="s">
        <v>314</v>
      </c>
      <c r="B345" s="2" t="s">
        <v>313</v>
      </c>
      <c r="C345" s="2" t="s">
        <v>1674</v>
      </c>
      <c r="D345" s="2" t="s">
        <v>1219</v>
      </c>
      <c r="E345">
        <v>60</v>
      </c>
      <c r="F345" s="2" t="s">
        <v>1228</v>
      </c>
      <c r="G345" s="2" t="s">
        <v>1229</v>
      </c>
      <c r="H345" s="2" t="s">
        <v>1239</v>
      </c>
      <c r="I345" s="1">
        <v>43118</v>
      </c>
      <c r="J345">
        <v>2018</v>
      </c>
      <c r="K345" s="2" t="s">
        <v>1675</v>
      </c>
      <c r="L345" s="4">
        <v>154165</v>
      </c>
      <c r="M345" s="2" t="s">
        <v>1223</v>
      </c>
      <c r="N345" s="2" t="s">
        <v>1224</v>
      </c>
      <c r="O345" s="2" t="s">
        <v>13</v>
      </c>
      <c r="P345" s="3">
        <v>43726</v>
      </c>
      <c r="Q345" s="4">
        <v>3453</v>
      </c>
      <c r="R345">
        <v>771</v>
      </c>
      <c r="S345" t="str">
        <f>IF(Linked[[#This Row],[Credit Score]]&lt;=579,"Poor",IF(Linked[[#This Row],[Credit Score]]&lt;=669,"Fair",IF(Linked[[#This Row],[Credit Score]]&lt;=739,"Good",IF(Linked[[#This Row],[Credit Score]]&lt;=799,"Very Good",IF(Linked[[#This Row],[Credit Score]]&gt;=800,"Excellent")))))</f>
        <v>Very Good</v>
      </c>
      <c r="T345" s="4">
        <v>176635</v>
      </c>
      <c r="U345" s="2" t="s">
        <v>59</v>
      </c>
      <c r="V345" s="2"/>
    </row>
    <row r="346" spans="1:22" x14ac:dyDescent="0.25">
      <c r="A346" s="2" t="s">
        <v>429</v>
      </c>
      <c r="B346" s="2" t="s">
        <v>428</v>
      </c>
      <c r="C346" s="2" t="s">
        <v>1603</v>
      </c>
      <c r="D346" s="2" t="s">
        <v>1227</v>
      </c>
      <c r="E346">
        <v>36</v>
      </c>
      <c r="F346" s="2" t="s">
        <v>1220</v>
      </c>
      <c r="G346" s="2" t="s">
        <v>1243</v>
      </c>
      <c r="H346" s="2" t="s">
        <v>1253</v>
      </c>
      <c r="I346" s="1">
        <v>45492</v>
      </c>
      <c r="J346">
        <v>2024</v>
      </c>
      <c r="K346" s="2" t="s">
        <v>1604</v>
      </c>
      <c r="L346" s="4">
        <v>188639</v>
      </c>
      <c r="M346" s="2" t="s">
        <v>1223</v>
      </c>
      <c r="N346" s="2" t="s">
        <v>1224</v>
      </c>
      <c r="O346" s="2" t="s">
        <v>25</v>
      </c>
      <c r="P346" s="3">
        <v>45453</v>
      </c>
      <c r="Q346" s="4">
        <v>51831</v>
      </c>
      <c r="R346">
        <v>355</v>
      </c>
      <c r="S346" t="str">
        <f>IF(Linked[[#This Row],[Credit Score]]&lt;=579,"Poor",IF(Linked[[#This Row],[Credit Score]]&lt;=669,"Fair",IF(Linked[[#This Row],[Credit Score]]&lt;=739,"Good",IF(Linked[[#This Row],[Credit Score]]&lt;=799,"Very Good",IF(Linked[[#This Row],[Credit Score]]&gt;=800,"Excellent")))))</f>
        <v>Poor</v>
      </c>
      <c r="T346" s="4">
        <v>126648</v>
      </c>
      <c r="U346" s="2"/>
      <c r="V346" s="2"/>
    </row>
    <row r="347" spans="1:22" x14ac:dyDescent="0.25">
      <c r="A347" s="2" t="s">
        <v>429</v>
      </c>
      <c r="B347" s="2" t="s">
        <v>519</v>
      </c>
      <c r="C347" s="2" t="s">
        <v>1603</v>
      </c>
      <c r="D347" s="2" t="s">
        <v>1227</v>
      </c>
      <c r="E347">
        <v>36</v>
      </c>
      <c r="F347" s="2" t="s">
        <v>1220</v>
      </c>
      <c r="G347" s="2" t="s">
        <v>1243</v>
      </c>
      <c r="H347" s="2" t="s">
        <v>1253</v>
      </c>
      <c r="I347" s="1">
        <v>45492</v>
      </c>
      <c r="J347">
        <v>2024</v>
      </c>
      <c r="K347" s="2" t="s">
        <v>1604</v>
      </c>
      <c r="L347" s="4">
        <v>188639</v>
      </c>
      <c r="M347" s="2" t="s">
        <v>1223</v>
      </c>
      <c r="N347" s="2" t="s">
        <v>1224</v>
      </c>
      <c r="O347" s="2" t="s">
        <v>13</v>
      </c>
      <c r="P347" s="3">
        <v>43502</v>
      </c>
      <c r="Q347" s="4">
        <v>176348</v>
      </c>
      <c r="R347">
        <v>312</v>
      </c>
      <c r="S347" t="str">
        <f>IF(Linked[[#This Row],[Credit Score]]&lt;=579,"Poor",IF(Linked[[#This Row],[Credit Score]]&lt;=669,"Fair",IF(Linked[[#This Row],[Credit Score]]&lt;=739,"Good",IF(Linked[[#This Row],[Credit Score]]&lt;=799,"Very Good",IF(Linked[[#This Row],[Credit Score]]&gt;=800,"Excellent")))))</f>
        <v>Poor</v>
      </c>
      <c r="T347" s="4">
        <v>0</v>
      </c>
      <c r="U347" s="2"/>
      <c r="V347" s="2"/>
    </row>
    <row r="348" spans="1:22" x14ac:dyDescent="0.25">
      <c r="A348" s="2" t="s">
        <v>489</v>
      </c>
      <c r="B348" s="2" t="s">
        <v>488</v>
      </c>
      <c r="C348" s="2" t="s">
        <v>1605</v>
      </c>
      <c r="D348" s="2" t="s">
        <v>1219</v>
      </c>
      <c r="E348">
        <v>49</v>
      </c>
      <c r="F348" s="2" t="s">
        <v>1228</v>
      </c>
      <c r="G348" s="2" t="s">
        <v>1249</v>
      </c>
      <c r="H348" s="2" t="s">
        <v>1259</v>
      </c>
      <c r="I348" s="1">
        <v>43786</v>
      </c>
      <c r="J348">
        <v>2019</v>
      </c>
      <c r="K348" s="2" t="s">
        <v>1606</v>
      </c>
      <c r="L348" s="4">
        <v>135374</v>
      </c>
      <c r="M348" s="2" t="s">
        <v>1245</v>
      </c>
      <c r="N348" s="2" t="s">
        <v>1224</v>
      </c>
      <c r="O348" s="2" t="s">
        <v>10</v>
      </c>
      <c r="P348" s="3">
        <v>42951</v>
      </c>
      <c r="Q348" s="4">
        <v>355054</v>
      </c>
      <c r="R348">
        <v>808</v>
      </c>
      <c r="S348" t="str">
        <f>IF(Linked[[#This Row],[Credit Score]]&lt;=579,"Poor",IF(Linked[[#This Row],[Credit Score]]&lt;=669,"Fair",IF(Linked[[#This Row],[Credit Score]]&lt;=739,"Good",IF(Linked[[#This Row],[Credit Score]]&lt;=799,"Very Good",IF(Linked[[#This Row],[Credit Score]]&gt;=800,"Excellent")))))</f>
        <v>Excellent</v>
      </c>
      <c r="T348" s="4">
        <v>0</v>
      </c>
      <c r="U348" s="2"/>
      <c r="V348" s="2"/>
    </row>
    <row r="349" spans="1:22" x14ac:dyDescent="0.25">
      <c r="A349" s="2" t="s">
        <v>386</v>
      </c>
      <c r="B349" s="2" t="s">
        <v>385</v>
      </c>
      <c r="C349" s="2" t="s">
        <v>1607</v>
      </c>
      <c r="D349" s="2" t="s">
        <v>1219</v>
      </c>
      <c r="E349">
        <v>18</v>
      </c>
      <c r="F349" s="2" t="s">
        <v>1242</v>
      </c>
      <c r="G349" s="2" t="s">
        <v>1249</v>
      </c>
      <c r="H349" s="2" t="s">
        <v>1239</v>
      </c>
      <c r="I349" s="1">
        <v>45714</v>
      </c>
      <c r="J349">
        <v>2025</v>
      </c>
      <c r="K349" s="2" t="s">
        <v>1608</v>
      </c>
      <c r="L349" s="4">
        <v>44860</v>
      </c>
      <c r="M349" s="2" t="s">
        <v>1250</v>
      </c>
      <c r="N349" s="2" t="s">
        <v>1224</v>
      </c>
      <c r="O349" s="2" t="s">
        <v>25</v>
      </c>
      <c r="P349" s="3">
        <v>45782</v>
      </c>
      <c r="Q349" s="4">
        <v>398342</v>
      </c>
      <c r="R349">
        <v>780</v>
      </c>
      <c r="S349" t="str">
        <f>IF(Linked[[#This Row],[Credit Score]]&lt;=579,"Poor",IF(Linked[[#This Row],[Credit Score]]&lt;=669,"Fair",IF(Linked[[#This Row],[Credit Score]]&lt;=739,"Good",IF(Linked[[#This Row],[Credit Score]]&lt;=799,"Very Good",IF(Linked[[#This Row],[Credit Score]]&gt;=800,"Excellent")))))</f>
        <v>Very Good</v>
      </c>
      <c r="T349" s="4">
        <v>0</v>
      </c>
      <c r="U349" s="2" t="s">
        <v>18</v>
      </c>
      <c r="V349" s="2"/>
    </row>
    <row r="350" spans="1:22" x14ac:dyDescent="0.25">
      <c r="A350" s="2" t="s">
        <v>320</v>
      </c>
      <c r="B350" s="2" t="s">
        <v>319</v>
      </c>
      <c r="C350" s="2" t="s">
        <v>2292</v>
      </c>
      <c r="D350" s="2" t="s">
        <v>1219</v>
      </c>
      <c r="E350">
        <v>54</v>
      </c>
      <c r="F350" s="2" t="s">
        <v>1228</v>
      </c>
      <c r="G350" s="2" t="s">
        <v>1249</v>
      </c>
      <c r="H350" s="2" t="s">
        <v>1253</v>
      </c>
      <c r="I350" s="1">
        <v>44859</v>
      </c>
      <c r="J350">
        <v>2022</v>
      </c>
      <c r="K350" s="2" t="s">
        <v>2293</v>
      </c>
      <c r="L350" s="4">
        <v>29110</v>
      </c>
      <c r="M350" s="2" t="s">
        <v>1250</v>
      </c>
      <c r="N350" s="2" t="s">
        <v>1224</v>
      </c>
      <c r="O350" s="2" t="s">
        <v>13</v>
      </c>
      <c r="P350" s="3">
        <v>44907</v>
      </c>
      <c r="Q350" s="4">
        <v>174442</v>
      </c>
      <c r="R350">
        <v>666</v>
      </c>
      <c r="S350" t="str">
        <f>IF(Linked[[#This Row],[Credit Score]]&lt;=579,"Poor",IF(Linked[[#This Row],[Credit Score]]&lt;=669,"Fair",IF(Linked[[#This Row],[Credit Score]]&lt;=739,"Good",IF(Linked[[#This Row],[Credit Score]]&lt;=799,"Very Good",IF(Linked[[#This Row],[Credit Score]]&gt;=800,"Excellent")))))</f>
        <v>Fair</v>
      </c>
      <c r="T350" s="4">
        <v>397704</v>
      </c>
      <c r="U350" s="2"/>
      <c r="V350" s="2"/>
    </row>
    <row r="351" spans="1:22" x14ac:dyDescent="0.25">
      <c r="A351" s="2" t="s">
        <v>322</v>
      </c>
      <c r="B351" s="2" t="s">
        <v>321</v>
      </c>
      <c r="C351" s="2" t="s">
        <v>2053</v>
      </c>
      <c r="D351" s="2" t="s">
        <v>1227</v>
      </c>
      <c r="E351">
        <v>62</v>
      </c>
      <c r="F351" s="2" t="s">
        <v>1263</v>
      </c>
      <c r="G351" s="2" t="s">
        <v>1221</v>
      </c>
      <c r="H351" s="2" t="s">
        <v>1259</v>
      </c>
      <c r="I351" s="1">
        <v>42284</v>
      </c>
      <c r="J351">
        <v>2015</v>
      </c>
      <c r="K351" s="2" t="s">
        <v>2054</v>
      </c>
      <c r="L351" s="4">
        <v>121757</v>
      </c>
      <c r="M351" s="2" t="s">
        <v>1245</v>
      </c>
      <c r="N351" s="2" t="s">
        <v>1224</v>
      </c>
      <c r="O351" s="2" t="s">
        <v>25</v>
      </c>
      <c r="P351" s="3">
        <v>44201</v>
      </c>
      <c r="Q351" s="4">
        <v>497148</v>
      </c>
      <c r="R351">
        <v>483</v>
      </c>
      <c r="S351" t="str">
        <f>IF(Linked[[#This Row],[Credit Score]]&lt;=579,"Poor",IF(Linked[[#This Row],[Credit Score]]&lt;=669,"Fair",IF(Linked[[#This Row],[Credit Score]]&lt;=739,"Good",IF(Linked[[#This Row],[Credit Score]]&lt;=799,"Very Good",IF(Linked[[#This Row],[Credit Score]]&gt;=800,"Excellent")))))</f>
        <v>Poor</v>
      </c>
      <c r="T351" s="4">
        <v>0</v>
      </c>
      <c r="U351" s="2" t="s">
        <v>59</v>
      </c>
      <c r="V351" s="2"/>
    </row>
    <row r="352" spans="1:22" x14ac:dyDescent="0.25">
      <c r="A352" s="2" t="s">
        <v>322</v>
      </c>
      <c r="B352" s="2" t="s">
        <v>471</v>
      </c>
      <c r="C352" s="2" t="s">
        <v>2053</v>
      </c>
      <c r="D352" s="2" t="s">
        <v>1227</v>
      </c>
      <c r="E352">
        <v>62</v>
      </c>
      <c r="F352" s="2" t="s">
        <v>1263</v>
      </c>
      <c r="G352" s="2" t="s">
        <v>1221</v>
      </c>
      <c r="H352" s="2" t="s">
        <v>1259</v>
      </c>
      <c r="I352" s="1">
        <v>42284</v>
      </c>
      <c r="J352">
        <v>2015</v>
      </c>
      <c r="K352" s="2" t="s">
        <v>2054</v>
      </c>
      <c r="L352" s="4">
        <v>121757</v>
      </c>
      <c r="M352" s="2" t="s">
        <v>1245</v>
      </c>
      <c r="N352" s="2" t="s">
        <v>1224</v>
      </c>
      <c r="O352" s="2" t="s">
        <v>13</v>
      </c>
      <c r="P352" s="3">
        <v>45840</v>
      </c>
      <c r="Q352" s="4">
        <v>297016</v>
      </c>
      <c r="R352">
        <v>307</v>
      </c>
      <c r="S352" t="str">
        <f>IF(Linked[[#This Row],[Credit Score]]&lt;=579,"Poor",IF(Linked[[#This Row],[Credit Score]]&lt;=669,"Fair",IF(Linked[[#This Row],[Credit Score]]&lt;=739,"Good",IF(Linked[[#This Row],[Credit Score]]&lt;=799,"Very Good",IF(Linked[[#This Row],[Credit Score]]&gt;=800,"Excellent")))))</f>
        <v>Poor</v>
      </c>
      <c r="T352" s="4">
        <v>0</v>
      </c>
      <c r="U352" s="2" t="s">
        <v>59</v>
      </c>
      <c r="V352" s="2"/>
    </row>
    <row r="353" spans="1:22" x14ac:dyDescent="0.25">
      <c r="A353" s="2" t="s">
        <v>324</v>
      </c>
      <c r="B353" s="2" t="s">
        <v>323</v>
      </c>
      <c r="C353" s="2" t="s">
        <v>2069</v>
      </c>
      <c r="D353" s="2" t="s">
        <v>1219</v>
      </c>
      <c r="E353">
        <v>28</v>
      </c>
      <c r="F353" s="2" t="s">
        <v>1242</v>
      </c>
      <c r="G353" s="2" t="s">
        <v>1221</v>
      </c>
      <c r="H353" s="2" t="s">
        <v>1239</v>
      </c>
      <c r="I353" s="1">
        <v>44410</v>
      </c>
      <c r="J353">
        <v>2021</v>
      </c>
      <c r="K353" s="2" t="s">
        <v>2070</v>
      </c>
      <c r="L353" s="4">
        <v>92099</v>
      </c>
      <c r="M353" s="2" t="s">
        <v>1245</v>
      </c>
      <c r="N353" s="2" t="s">
        <v>1224</v>
      </c>
      <c r="O353" s="2" t="s">
        <v>10</v>
      </c>
      <c r="P353" s="3">
        <v>43235</v>
      </c>
      <c r="Q353" s="4">
        <v>270472</v>
      </c>
      <c r="R353">
        <v>586</v>
      </c>
      <c r="S353" t="str">
        <f>IF(Linked[[#This Row],[Credit Score]]&lt;=579,"Poor",IF(Linked[[#This Row],[Credit Score]]&lt;=669,"Fair",IF(Linked[[#This Row],[Credit Score]]&lt;=739,"Good",IF(Linked[[#This Row],[Credit Score]]&lt;=799,"Very Good",IF(Linked[[#This Row],[Credit Score]]&gt;=800,"Excellent")))))</f>
        <v>Fair</v>
      </c>
      <c r="T353" s="4">
        <v>204519</v>
      </c>
      <c r="U353" s="2" t="s">
        <v>18</v>
      </c>
      <c r="V353" s="2"/>
    </row>
    <row r="354" spans="1:22" x14ac:dyDescent="0.25">
      <c r="A354" s="2" t="s">
        <v>324</v>
      </c>
      <c r="B354" s="2" t="s">
        <v>351</v>
      </c>
      <c r="C354" s="2" t="s">
        <v>2069</v>
      </c>
      <c r="D354" s="2" t="s">
        <v>1219</v>
      </c>
      <c r="E354">
        <v>28</v>
      </c>
      <c r="F354" s="2" t="s">
        <v>1242</v>
      </c>
      <c r="G354" s="2" t="s">
        <v>1221</v>
      </c>
      <c r="H354" s="2" t="s">
        <v>1239</v>
      </c>
      <c r="I354" s="1">
        <v>44410</v>
      </c>
      <c r="J354">
        <v>2021</v>
      </c>
      <c r="K354" s="2" t="s">
        <v>2070</v>
      </c>
      <c r="L354" s="4">
        <v>92099</v>
      </c>
      <c r="M354" s="2" t="s">
        <v>1245</v>
      </c>
      <c r="N354" s="2" t="s">
        <v>1224</v>
      </c>
      <c r="O354" s="2" t="s">
        <v>32</v>
      </c>
      <c r="P354" s="3">
        <v>43432</v>
      </c>
      <c r="Q354" s="4">
        <v>200796</v>
      </c>
      <c r="R354">
        <v>570</v>
      </c>
      <c r="S354" t="str">
        <f>IF(Linked[[#This Row],[Credit Score]]&lt;=579,"Poor",IF(Linked[[#This Row],[Credit Score]]&lt;=669,"Fair",IF(Linked[[#This Row],[Credit Score]]&lt;=739,"Good",IF(Linked[[#This Row],[Credit Score]]&lt;=799,"Very Good",IF(Linked[[#This Row],[Credit Score]]&gt;=800,"Excellent")))))</f>
        <v>Poor</v>
      </c>
      <c r="T354" s="4">
        <v>0</v>
      </c>
      <c r="U354" s="2"/>
      <c r="V354" s="2"/>
    </row>
    <row r="355" spans="1:22" x14ac:dyDescent="0.25">
      <c r="A355" s="2" t="s">
        <v>324</v>
      </c>
      <c r="B355" s="2" t="s">
        <v>736</v>
      </c>
      <c r="C355" s="2" t="s">
        <v>2069</v>
      </c>
      <c r="D355" s="2" t="s">
        <v>1219</v>
      </c>
      <c r="E355">
        <v>28</v>
      </c>
      <c r="F355" s="2" t="s">
        <v>1242</v>
      </c>
      <c r="G355" s="2" t="s">
        <v>1221</v>
      </c>
      <c r="H355" s="2" t="s">
        <v>1239</v>
      </c>
      <c r="I355" s="1">
        <v>44410</v>
      </c>
      <c r="J355">
        <v>2021</v>
      </c>
      <c r="K355" s="2" t="s">
        <v>2070</v>
      </c>
      <c r="L355" s="4">
        <v>92099</v>
      </c>
      <c r="M355" s="2" t="s">
        <v>1245</v>
      </c>
      <c r="N355" s="2" t="s">
        <v>1224</v>
      </c>
      <c r="O355" s="2" t="s">
        <v>10</v>
      </c>
      <c r="P355" s="3">
        <v>45866</v>
      </c>
      <c r="Q355" s="4">
        <v>245172</v>
      </c>
      <c r="R355">
        <v>819</v>
      </c>
      <c r="S355" t="str">
        <f>IF(Linked[[#This Row],[Credit Score]]&lt;=579,"Poor",IF(Linked[[#This Row],[Credit Score]]&lt;=669,"Fair",IF(Linked[[#This Row],[Credit Score]]&lt;=739,"Good",IF(Linked[[#This Row],[Credit Score]]&lt;=799,"Very Good",IF(Linked[[#This Row],[Credit Score]]&gt;=800,"Excellent")))))</f>
        <v>Excellent</v>
      </c>
      <c r="T355" s="4">
        <v>0</v>
      </c>
      <c r="U355" s="2"/>
      <c r="V355" s="2"/>
    </row>
    <row r="356" spans="1:22" x14ac:dyDescent="0.25">
      <c r="A356" s="2" t="s">
        <v>599</v>
      </c>
      <c r="B356" s="2" t="s">
        <v>598</v>
      </c>
      <c r="C356" s="2" t="s">
        <v>1623</v>
      </c>
      <c r="D356" s="2" t="s">
        <v>1227</v>
      </c>
      <c r="E356">
        <v>33</v>
      </c>
      <c r="F356" s="2" t="s">
        <v>1220</v>
      </c>
      <c r="G356" s="2" t="s">
        <v>1221</v>
      </c>
      <c r="H356" s="2" t="s">
        <v>1222</v>
      </c>
      <c r="I356" s="1">
        <v>42292</v>
      </c>
      <c r="J356">
        <v>2015</v>
      </c>
      <c r="K356" s="2" t="s">
        <v>1624</v>
      </c>
      <c r="L356" s="4">
        <v>77372</v>
      </c>
      <c r="M356" s="2" t="s">
        <v>1245</v>
      </c>
      <c r="N356" s="2" t="s">
        <v>1224</v>
      </c>
      <c r="O356" s="2" t="s">
        <v>25</v>
      </c>
      <c r="P356" s="3">
        <v>44551</v>
      </c>
      <c r="Q356" s="4">
        <v>282320</v>
      </c>
      <c r="R356">
        <v>303</v>
      </c>
      <c r="S356" t="str">
        <f>IF(Linked[[#This Row],[Credit Score]]&lt;=579,"Poor",IF(Linked[[#This Row],[Credit Score]]&lt;=669,"Fair",IF(Linked[[#This Row],[Credit Score]]&lt;=739,"Good",IF(Linked[[#This Row],[Credit Score]]&lt;=799,"Very Good",IF(Linked[[#This Row],[Credit Score]]&gt;=800,"Excellent")))))</f>
        <v>Poor</v>
      </c>
      <c r="T356" s="4">
        <v>0</v>
      </c>
      <c r="U356" s="2"/>
      <c r="V356" s="2"/>
    </row>
    <row r="357" spans="1:22" x14ac:dyDescent="0.25">
      <c r="A357" s="2" t="s">
        <v>599</v>
      </c>
      <c r="B357" s="2" t="s">
        <v>735</v>
      </c>
      <c r="C357" s="2" t="s">
        <v>1623</v>
      </c>
      <c r="D357" s="2" t="s">
        <v>1227</v>
      </c>
      <c r="E357">
        <v>33</v>
      </c>
      <c r="F357" s="2" t="s">
        <v>1220</v>
      </c>
      <c r="G357" s="2" t="s">
        <v>1221</v>
      </c>
      <c r="H357" s="2" t="s">
        <v>1222</v>
      </c>
      <c r="I357" s="1">
        <v>42292</v>
      </c>
      <c r="J357">
        <v>2015</v>
      </c>
      <c r="K357" s="2" t="s">
        <v>1624</v>
      </c>
      <c r="L357" s="4">
        <v>77372</v>
      </c>
      <c r="M357" s="2" t="s">
        <v>1245</v>
      </c>
      <c r="N357" s="2" t="s">
        <v>1224</v>
      </c>
      <c r="O357" s="2" t="s">
        <v>32</v>
      </c>
      <c r="P357" s="3">
        <v>45679</v>
      </c>
      <c r="Q357" s="4">
        <v>445414</v>
      </c>
      <c r="R357">
        <v>675</v>
      </c>
      <c r="S357" t="str">
        <f>IF(Linked[[#This Row],[Credit Score]]&lt;=579,"Poor",IF(Linked[[#This Row],[Credit Score]]&lt;=669,"Fair",IF(Linked[[#This Row],[Credit Score]]&lt;=739,"Good",IF(Linked[[#This Row],[Credit Score]]&lt;=799,"Very Good",IF(Linked[[#This Row],[Credit Score]]&gt;=800,"Excellent")))))</f>
        <v>Good</v>
      </c>
      <c r="T357" s="4">
        <v>0</v>
      </c>
      <c r="U357" s="2"/>
      <c r="V357" s="2"/>
    </row>
    <row r="358" spans="1:22" x14ac:dyDescent="0.25">
      <c r="A358" s="2" t="s">
        <v>391</v>
      </c>
      <c r="B358" s="2" t="s">
        <v>390</v>
      </c>
      <c r="C358" s="2" t="s">
        <v>1625</v>
      </c>
      <c r="D358" s="2" t="s">
        <v>1219</v>
      </c>
      <c r="E358">
        <v>72</v>
      </c>
      <c r="F358" s="2" t="s">
        <v>1263</v>
      </c>
      <c r="G358" s="2" t="s">
        <v>1249</v>
      </c>
      <c r="H358" s="2" t="s">
        <v>1244</v>
      </c>
      <c r="I358" s="1">
        <v>45538</v>
      </c>
      <c r="J358">
        <v>2024</v>
      </c>
      <c r="K358" s="2" t="s">
        <v>1626</v>
      </c>
      <c r="L358" s="4">
        <v>143786</v>
      </c>
      <c r="M358" s="2" t="s">
        <v>1223</v>
      </c>
      <c r="N358" s="2" t="s">
        <v>1224</v>
      </c>
      <c r="O358" s="2" t="s">
        <v>13</v>
      </c>
      <c r="P358" s="3">
        <v>43431</v>
      </c>
      <c r="Q358" s="4">
        <v>111718</v>
      </c>
      <c r="R358">
        <v>549</v>
      </c>
      <c r="S358" t="str">
        <f>IF(Linked[[#This Row],[Credit Score]]&lt;=579,"Poor",IF(Linked[[#This Row],[Credit Score]]&lt;=669,"Fair",IF(Linked[[#This Row],[Credit Score]]&lt;=739,"Good",IF(Linked[[#This Row],[Credit Score]]&lt;=799,"Very Good",IF(Linked[[#This Row],[Credit Score]]&gt;=800,"Excellent")))))</f>
        <v>Poor</v>
      </c>
      <c r="T358" s="4">
        <v>429315</v>
      </c>
      <c r="U358" s="2"/>
      <c r="V358" s="2"/>
    </row>
    <row r="359" spans="1:22" x14ac:dyDescent="0.25">
      <c r="A359" s="2" t="s">
        <v>723</v>
      </c>
      <c r="B359" s="2" t="s">
        <v>722</v>
      </c>
      <c r="C359" s="2" t="s">
        <v>1631</v>
      </c>
      <c r="D359" s="2" t="s">
        <v>1219</v>
      </c>
      <c r="E359">
        <v>45</v>
      </c>
      <c r="F359" s="2" t="s">
        <v>1228</v>
      </c>
      <c r="G359" s="2" t="s">
        <v>1243</v>
      </c>
      <c r="H359" s="2" t="s">
        <v>1230</v>
      </c>
      <c r="I359" s="1">
        <v>45704</v>
      </c>
      <c r="J359">
        <v>2025</v>
      </c>
      <c r="K359" s="2" t="s">
        <v>1632</v>
      </c>
      <c r="L359" s="4">
        <v>51598</v>
      </c>
      <c r="M359" s="2" t="s">
        <v>1250</v>
      </c>
      <c r="N359" s="2" t="s">
        <v>1231</v>
      </c>
      <c r="O359" s="2" t="s">
        <v>25</v>
      </c>
      <c r="P359" s="3">
        <v>45720</v>
      </c>
      <c r="Q359" s="4">
        <v>37019</v>
      </c>
      <c r="R359">
        <v>773</v>
      </c>
      <c r="S359" t="str">
        <f>IF(Linked[[#This Row],[Credit Score]]&lt;=579,"Poor",IF(Linked[[#This Row],[Credit Score]]&lt;=669,"Fair",IF(Linked[[#This Row],[Credit Score]]&lt;=739,"Good",IF(Linked[[#This Row],[Credit Score]]&lt;=799,"Very Good",IF(Linked[[#This Row],[Credit Score]]&gt;=800,"Excellent")))))</f>
        <v>Very Good</v>
      </c>
      <c r="T359" s="4">
        <v>0</v>
      </c>
      <c r="U359" s="2" t="s">
        <v>18</v>
      </c>
      <c r="V359" s="2"/>
    </row>
    <row r="360" spans="1:22" x14ac:dyDescent="0.25">
      <c r="A360" s="2" t="s">
        <v>340</v>
      </c>
      <c r="B360" s="2" t="s">
        <v>339</v>
      </c>
      <c r="C360" s="2" t="s">
        <v>1715</v>
      </c>
      <c r="D360" s="2" t="s">
        <v>1219</v>
      </c>
      <c r="E360">
        <v>51</v>
      </c>
      <c r="F360" s="2" t="s">
        <v>1228</v>
      </c>
      <c r="G360" s="2" t="s">
        <v>1229</v>
      </c>
      <c r="H360" s="2" t="s">
        <v>1244</v>
      </c>
      <c r="I360" s="1">
        <v>42586</v>
      </c>
      <c r="J360">
        <v>2016</v>
      </c>
      <c r="K360" s="2" t="s">
        <v>1716</v>
      </c>
      <c r="L360" s="4">
        <v>46431</v>
      </c>
      <c r="M360" s="2" t="s">
        <v>1250</v>
      </c>
      <c r="N360" s="2" t="s">
        <v>1236</v>
      </c>
      <c r="O360" s="2" t="s">
        <v>32</v>
      </c>
      <c r="P360" s="3">
        <v>42318</v>
      </c>
      <c r="Q360" s="4">
        <v>231324</v>
      </c>
      <c r="R360">
        <v>309</v>
      </c>
      <c r="S360" t="str">
        <f>IF(Linked[[#This Row],[Credit Score]]&lt;=579,"Poor",IF(Linked[[#This Row],[Credit Score]]&lt;=669,"Fair",IF(Linked[[#This Row],[Credit Score]]&lt;=739,"Good",IF(Linked[[#This Row],[Credit Score]]&lt;=799,"Very Good",IF(Linked[[#This Row],[Credit Score]]&gt;=800,"Excellent")))))</f>
        <v>Poor</v>
      </c>
      <c r="T360" s="4">
        <v>381565</v>
      </c>
      <c r="U360" s="2"/>
      <c r="V360" s="2"/>
    </row>
    <row r="361" spans="1:22" x14ac:dyDescent="0.25">
      <c r="A361" s="2" t="s">
        <v>340</v>
      </c>
      <c r="B361" s="2" t="s">
        <v>715</v>
      </c>
      <c r="C361" s="2" t="s">
        <v>1715</v>
      </c>
      <c r="D361" s="2" t="s">
        <v>1219</v>
      </c>
      <c r="E361">
        <v>51</v>
      </c>
      <c r="F361" s="2" t="s">
        <v>1228</v>
      </c>
      <c r="G361" s="2" t="s">
        <v>1229</v>
      </c>
      <c r="H361" s="2" t="s">
        <v>1244</v>
      </c>
      <c r="I361" s="1">
        <v>42586</v>
      </c>
      <c r="J361">
        <v>2016</v>
      </c>
      <c r="K361" s="2" t="s">
        <v>1716</v>
      </c>
      <c r="L361" s="4">
        <v>46431</v>
      </c>
      <c r="M361" s="2" t="s">
        <v>1250</v>
      </c>
      <c r="N361" s="2" t="s">
        <v>1236</v>
      </c>
      <c r="O361" s="2" t="s">
        <v>13</v>
      </c>
      <c r="P361" s="3">
        <v>45645</v>
      </c>
      <c r="Q361" s="4">
        <v>284732</v>
      </c>
      <c r="R361">
        <v>538</v>
      </c>
      <c r="S361" t="str">
        <f>IF(Linked[[#This Row],[Credit Score]]&lt;=579,"Poor",IF(Linked[[#This Row],[Credit Score]]&lt;=669,"Fair",IF(Linked[[#This Row],[Credit Score]]&lt;=739,"Good",IF(Linked[[#This Row],[Credit Score]]&lt;=799,"Very Good",IF(Linked[[#This Row],[Credit Score]]&gt;=800,"Excellent")))))</f>
        <v>Poor</v>
      </c>
      <c r="T361" s="4">
        <v>207278</v>
      </c>
      <c r="U361" s="2"/>
      <c r="V361" s="2"/>
    </row>
    <row r="362" spans="1:22" x14ac:dyDescent="0.25">
      <c r="A362" s="2" t="s">
        <v>346</v>
      </c>
      <c r="B362" s="2" t="s">
        <v>345</v>
      </c>
      <c r="C362" s="2" t="s">
        <v>2042</v>
      </c>
      <c r="D362" s="2" t="s">
        <v>1227</v>
      </c>
      <c r="E362">
        <v>50</v>
      </c>
      <c r="F362" s="2" t="s">
        <v>1228</v>
      </c>
      <c r="G362" s="2" t="s">
        <v>1243</v>
      </c>
      <c r="H362" s="2" t="s">
        <v>1253</v>
      </c>
      <c r="I362" s="1">
        <v>43047</v>
      </c>
      <c r="J362">
        <v>2017</v>
      </c>
      <c r="K362" s="2" t="s">
        <v>2043</v>
      </c>
      <c r="L362" s="4">
        <v>79321</v>
      </c>
      <c r="M362" s="2" t="s">
        <v>1245</v>
      </c>
      <c r="N362" s="2" t="s">
        <v>1224</v>
      </c>
      <c r="O362" s="2" t="s">
        <v>10</v>
      </c>
      <c r="P362" s="3">
        <v>44347</v>
      </c>
      <c r="Q362" s="4">
        <v>187125</v>
      </c>
      <c r="R362">
        <v>582</v>
      </c>
      <c r="S362" t="str">
        <f>IF(Linked[[#This Row],[Credit Score]]&lt;=579,"Poor",IF(Linked[[#This Row],[Credit Score]]&lt;=669,"Fair",IF(Linked[[#This Row],[Credit Score]]&lt;=739,"Good",IF(Linked[[#This Row],[Credit Score]]&lt;=799,"Very Good",IF(Linked[[#This Row],[Credit Score]]&gt;=800,"Excellent")))))</f>
        <v>Fair</v>
      </c>
      <c r="T362" s="4">
        <v>0</v>
      </c>
      <c r="U362" s="2"/>
      <c r="V362" s="2"/>
    </row>
    <row r="363" spans="1:22" x14ac:dyDescent="0.25">
      <c r="A363" s="2" t="s">
        <v>348</v>
      </c>
      <c r="B363" s="2" t="s">
        <v>347</v>
      </c>
      <c r="C363" s="2" t="s">
        <v>1986</v>
      </c>
      <c r="D363" s="2" t="s">
        <v>1219</v>
      </c>
      <c r="E363">
        <v>61</v>
      </c>
      <c r="F363" s="2" t="s">
        <v>1263</v>
      </c>
      <c r="G363" s="2" t="s">
        <v>1229</v>
      </c>
      <c r="H363" s="2" t="s">
        <v>1253</v>
      </c>
      <c r="I363" s="1">
        <v>43704</v>
      </c>
      <c r="J363">
        <v>2019</v>
      </c>
      <c r="K363" s="2" t="s">
        <v>1987</v>
      </c>
      <c r="L363" s="4">
        <v>103186</v>
      </c>
      <c r="M363" s="2" t="s">
        <v>1245</v>
      </c>
      <c r="N363" s="2" t="s">
        <v>1224</v>
      </c>
      <c r="O363" s="2" t="s">
        <v>13</v>
      </c>
      <c r="P363" s="3">
        <v>45200</v>
      </c>
      <c r="Q363" s="4">
        <v>395136</v>
      </c>
      <c r="R363">
        <v>763</v>
      </c>
      <c r="S363" t="str">
        <f>IF(Linked[[#This Row],[Credit Score]]&lt;=579,"Poor",IF(Linked[[#This Row],[Credit Score]]&lt;=669,"Fair",IF(Linked[[#This Row],[Credit Score]]&lt;=739,"Good",IF(Linked[[#This Row],[Credit Score]]&lt;=799,"Very Good",IF(Linked[[#This Row],[Credit Score]]&gt;=800,"Excellent")))))</f>
        <v>Very Good</v>
      </c>
      <c r="T363" s="4">
        <v>0</v>
      </c>
      <c r="U363" s="2"/>
      <c r="V363" s="2"/>
    </row>
    <row r="364" spans="1:22" x14ac:dyDescent="0.25">
      <c r="A364" s="2" t="s">
        <v>350</v>
      </c>
      <c r="B364" s="2" t="s">
        <v>349</v>
      </c>
      <c r="C364" s="2" t="s">
        <v>1978</v>
      </c>
      <c r="D364" s="2" t="s">
        <v>1219</v>
      </c>
      <c r="E364">
        <v>53</v>
      </c>
      <c r="F364" s="2" t="s">
        <v>1228</v>
      </c>
      <c r="G364" s="2" t="s">
        <v>1221</v>
      </c>
      <c r="H364" s="2" t="s">
        <v>1235</v>
      </c>
      <c r="I364" s="1">
        <v>43009</v>
      </c>
      <c r="J364">
        <v>2017</v>
      </c>
      <c r="K364" s="2" t="s">
        <v>1979</v>
      </c>
      <c r="L364" s="4">
        <v>161398</v>
      </c>
      <c r="M364" s="2" t="s">
        <v>1223</v>
      </c>
      <c r="N364" s="2" t="s">
        <v>1224</v>
      </c>
      <c r="O364" s="2" t="s">
        <v>13</v>
      </c>
      <c r="P364" s="3">
        <v>44155</v>
      </c>
      <c r="Q364" s="4">
        <v>306081</v>
      </c>
      <c r="R364">
        <v>412</v>
      </c>
      <c r="S364" t="str">
        <f>IF(Linked[[#This Row],[Credit Score]]&lt;=579,"Poor",IF(Linked[[#This Row],[Credit Score]]&lt;=669,"Fair",IF(Linked[[#This Row],[Credit Score]]&lt;=739,"Good",IF(Linked[[#This Row],[Credit Score]]&lt;=799,"Very Good",IF(Linked[[#This Row],[Credit Score]]&gt;=800,"Excellent")))))</f>
        <v>Poor</v>
      </c>
      <c r="T364" s="4">
        <v>0</v>
      </c>
      <c r="U364" s="2"/>
      <c r="V364" s="2"/>
    </row>
    <row r="365" spans="1:22" x14ac:dyDescent="0.25">
      <c r="A365" s="2" t="s">
        <v>350</v>
      </c>
      <c r="B365" s="2" t="s">
        <v>406</v>
      </c>
      <c r="C365" s="2" t="s">
        <v>1978</v>
      </c>
      <c r="D365" s="2" t="s">
        <v>1219</v>
      </c>
      <c r="E365">
        <v>53</v>
      </c>
      <c r="F365" s="2" t="s">
        <v>1228</v>
      </c>
      <c r="G365" s="2" t="s">
        <v>1221</v>
      </c>
      <c r="H365" s="2" t="s">
        <v>1235</v>
      </c>
      <c r="I365" s="1">
        <v>43009</v>
      </c>
      <c r="J365">
        <v>2017</v>
      </c>
      <c r="K365" s="2" t="s">
        <v>1979</v>
      </c>
      <c r="L365" s="4">
        <v>161398</v>
      </c>
      <c r="M365" s="2" t="s">
        <v>1223</v>
      </c>
      <c r="N365" s="2" t="s">
        <v>1224</v>
      </c>
      <c r="O365" s="2" t="s">
        <v>13</v>
      </c>
      <c r="P365" s="3">
        <v>42891</v>
      </c>
      <c r="Q365" s="4">
        <v>50940</v>
      </c>
      <c r="R365">
        <v>829</v>
      </c>
      <c r="S365" t="str">
        <f>IF(Linked[[#This Row],[Credit Score]]&lt;=579,"Poor",IF(Linked[[#This Row],[Credit Score]]&lt;=669,"Fair",IF(Linked[[#This Row],[Credit Score]]&lt;=739,"Good",IF(Linked[[#This Row],[Credit Score]]&lt;=799,"Very Good",IF(Linked[[#This Row],[Credit Score]]&gt;=800,"Excellent")))))</f>
        <v>Excellent</v>
      </c>
      <c r="T365" s="4">
        <v>0</v>
      </c>
      <c r="U365" s="2"/>
      <c r="V365" s="2"/>
    </row>
    <row r="366" spans="1:22" x14ac:dyDescent="0.25">
      <c r="A366" s="2" t="s">
        <v>667</v>
      </c>
      <c r="B366" s="2" t="s">
        <v>666</v>
      </c>
      <c r="C366" s="2" t="s">
        <v>1652</v>
      </c>
      <c r="D366" s="2" t="s">
        <v>1219</v>
      </c>
      <c r="E366">
        <v>50</v>
      </c>
      <c r="F366" s="2" t="s">
        <v>1228</v>
      </c>
      <c r="G366" s="2" t="s">
        <v>1243</v>
      </c>
      <c r="H366" s="2" t="s">
        <v>1259</v>
      </c>
      <c r="I366" s="1">
        <v>45535</v>
      </c>
      <c r="J366">
        <v>2024</v>
      </c>
      <c r="K366" s="2" t="s">
        <v>1653</v>
      </c>
      <c r="L366" s="4">
        <v>165360</v>
      </c>
      <c r="M366" s="2" t="s">
        <v>1223</v>
      </c>
      <c r="N366" s="2" t="s">
        <v>1224</v>
      </c>
      <c r="O366" s="2" t="s">
        <v>10</v>
      </c>
      <c r="P366" s="3">
        <v>43486</v>
      </c>
      <c r="Q366" s="4">
        <v>295866</v>
      </c>
      <c r="R366">
        <v>667</v>
      </c>
      <c r="S366" t="str">
        <f>IF(Linked[[#This Row],[Credit Score]]&lt;=579,"Poor",IF(Linked[[#This Row],[Credit Score]]&lt;=669,"Fair",IF(Linked[[#This Row],[Credit Score]]&lt;=739,"Good",IF(Linked[[#This Row],[Credit Score]]&lt;=799,"Very Good",IF(Linked[[#This Row],[Credit Score]]&gt;=800,"Excellent")))))</f>
        <v>Fair</v>
      </c>
      <c r="T366" s="4">
        <v>0</v>
      </c>
      <c r="U366" s="2"/>
      <c r="V366" s="2"/>
    </row>
    <row r="367" spans="1:22" x14ac:dyDescent="0.25">
      <c r="A367" s="2" t="s">
        <v>717</v>
      </c>
      <c r="B367" s="2" t="s">
        <v>716</v>
      </c>
      <c r="C367" s="2" t="s">
        <v>1654</v>
      </c>
      <c r="D367" s="2" t="s">
        <v>1227</v>
      </c>
      <c r="E367">
        <v>68</v>
      </c>
      <c r="F367" s="2" t="s">
        <v>1263</v>
      </c>
      <c r="G367" s="2" t="s">
        <v>1221</v>
      </c>
      <c r="H367" s="2" t="s">
        <v>1235</v>
      </c>
      <c r="I367" s="1">
        <v>43008</v>
      </c>
      <c r="J367">
        <v>2017</v>
      </c>
      <c r="K367" s="2" t="s">
        <v>1655</v>
      </c>
      <c r="L367" s="4">
        <v>109186</v>
      </c>
      <c r="M367" s="2" t="s">
        <v>1245</v>
      </c>
      <c r="N367" s="2" t="s">
        <v>1224</v>
      </c>
      <c r="O367" s="2" t="s">
        <v>32</v>
      </c>
      <c r="P367" s="3">
        <v>42297</v>
      </c>
      <c r="Q367" s="4">
        <v>210048</v>
      </c>
      <c r="R367">
        <v>603</v>
      </c>
      <c r="S367" t="str">
        <f>IF(Linked[[#This Row],[Credit Score]]&lt;=579,"Poor",IF(Linked[[#This Row],[Credit Score]]&lt;=669,"Fair",IF(Linked[[#This Row],[Credit Score]]&lt;=739,"Good",IF(Linked[[#This Row],[Credit Score]]&lt;=799,"Very Good",IF(Linked[[#This Row],[Credit Score]]&gt;=800,"Excellent")))))</f>
        <v>Fair</v>
      </c>
      <c r="T367" s="4">
        <v>0</v>
      </c>
      <c r="U367" s="2"/>
      <c r="V367" s="2"/>
    </row>
    <row r="368" spans="1:22" x14ac:dyDescent="0.25">
      <c r="A368" s="2" t="s">
        <v>353</v>
      </c>
      <c r="B368" s="2" t="s">
        <v>352</v>
      </c>
      <c r="C368" s="2" t="s">
        <v>2098</v>
      </c>
      <c r="D368" s="2" t="s">
        <v>1227</v>
      </c>
      <c r="E368">
        <v>32</v>
      </c>
      <c r="F368" s="2" t="s">
        <v>1220</v>
      </c>
      <c r="G368" s="2" t="s">
        <v>1243</v>
      </c>
      <c r="H368" s="2" t="s">
        <v>1235</v>
      </c>
      <c r="I368" s="1">
        <v>44714</v>
      </c>
      <c r="J368">
        <v>2022</v>
      </c>
      <c r="K368" s="2" t="s">
        <v>1922</v>
      </c>
      <c r="L368" s="4">
        <v>37778</v>
      </c>
      <c r="M368" s="2" t="s">
        <v>1250</v>
      </c>
      <c r="N368" s="2" t="s">
        <v>1231</v>
      </c>
      <c r="O368" s="2" t="s">
        <v>25</v>
      </c>
      <c r="P368" s="3">
        <v>43266</v>
      </c>
      <c r="Q368" s="4">
        <v>143279</v>
      </c>
      <c r="R368">
        <v>462</v>
      </c>
      <c r="S368" t="str">
        <f>IF(Linked[[#This Row],[Credit Score]]&lt;=579,"Poor",IF(Linked[[#This Row],[Credit Score]]&lt;=669,"Fair",IF(Linked[[#This Row],[Credit Score]]&lt;=739,"Good",IF(Linked[[#This Row],[Credit Score]]&lt;=799,"Very Good",IF(Linked[[#This Row],[Credit Score]]&gt;=800,"Excellent")))))</f>
        <v>Poor</v>
      </c>
      <c r="T368" s="4">
        <v>210232</v>
      </c>
      <c r="U368" s="2"/>
      <c r="V368" s="2"/>
    </row>
    <row r="369" spans="1:22" x14ac:dyDescent="0.25">
      <c r="A369" s="2" t="s">
        <v>780</v>
      </c>
      <c r="B369" s="2" t="s">
        <v>779</v>
      </c>
      <c r="C369" s="2" t="s">
        <v>1656</v>
      </c>
      <c r="D369" s="2" t="s">
        <v>1219</v>
      </c>
      <c r="E369">
        <v>60</v>
      </c>
      <c r="F369" s="2" t="s">
        <v>1228</v>
      </c>
      <c r="G369" s="2" t="s">
        <v>1249</v>
      </c>
      <c r="H369" s="2" t="s">
        <v>1259</v>
      </c>
      <c r="I369" s="1">
        <v>43780</v>
      </c>
      <c r="J369">
        <v>2019</v>
      </c>
      <c r="K369" s="2" t="s">
        <v>1657</v>
      </c>
      <c r="L369" s="4">
        <v>157612</v>
      </c>
      <c r="M369" s="2" t="s">
        <v>1223</v>
      </c>
      <c r="N369" s="2" t="s">
        <v>1224</v>
      </c>
      <c r="O369" s="2" t="s">
        <v>25</v>
      </c>
      <c r="P369" s="3">
        <v>42275</v>
      </c>
      <c r="Q369" s="4">
        <v>347823</v>
      </c>
      <c r="R369">
        <v>833</v>
      </c>
      <c r="S369" t="str">
        <f>IF(Linked[[#This Row],[Credit Score]]&lt;=579,"Poor",IF(Linked[[#This Row],[Credit Score]]&lt;=669,"Fair",IF(Linked[[#This Row],[Credit Score]]&lt;=739,"Good",IF(Linked[[#This Row],[Credit Score]]&lt;=799,"Very Good",IF(Linked[[#This Row],[Credit Score]]&gt;=800,"Excellent")))))</f>
        <v>Excellent</v>
      </c>
      <c r="T369" s="4">
        <v>0</v>
      </c>
      <c r="U369" s="2"/>
      <c r="V369" s="2"/>
    </row>
    <row r="370" spans="1:22" x14ac:dyDescent="0.25">
      <c r="A370" s="2" t="s">
        <v>780</v>
      </c>
      <c r="B370" s="2" t="s">
        <v>790</v>
      </c>
      <c r="C370" s="2" t="s">
        <v>1656</v>
      </c>
      <c r="D370" s="2" t="s">
        <v>1219</v>
      </c>
      <c r="E370">
        <v>60</v>
      </c>
      <c r="F370" s="2" t="s">
        <v>1228</v>
      </c>
      <c r="G370" s="2" t="s">
        <v>1249</v>
      </c>
      <c r="H370" s="2" t="s">
        <v>1259</v>
      </c>
      <c r="I370" s="1">
        <v>43780</v>
      </c>
      <c r="J370">
        <v>2019</v>
      </c>
      <c r="K370" s="2" t="s">
        <v>1657</v>
      </c>
      <c r="L370" s="4">
        <v>157612</v>
      </c>
      <c r="M370" s="2" t="s">
        <v>1223</v>
      </c>
      <c r="N370" s="2" t="s">
        <v>1224</v>
      </c>
      <c r="O370" s="2" t="s">
        <v>13</v>
      </c>
      <c r="P370" s="3">
        <v>44246</v>
      </c>
      <c r="Q370" s="4">
        <v>98046</v>
      </c>
      <c r="R370">
        <v>308</v>
      </c>
      <c r="S370" t="str">
        <f>IF(Linked[[#This Row],[Credit Score]]&lt;=579,"Poor",IF(Linked[[#This Row],[Credit Score]]&lt;=669,"Fair",IF(Linked[[#This Row],[Credit Score]]&lt;=739,"Good",IF(Linked[[#This Row],[Credit Score]]&lt;=799,"Very Good",IF(Linked[[#This Row],[Credit Score]]&gt;=800,"Excellent")))))</f>
        <v>Poor</v>
      </c>
      <c r="T370" s="4">
        <v>236226</v>
      </c>
      <c r="U370" s="2"/>
      <c r="V370" s="2"/>
    </row>
    <row r="371" spans="1:22" x14ac:dyDescent="0.25">
      <c r="A371" s="2" t="s">
        <v>355</v>
      </c>
      <c r="B371" s="2" t="s">
        <v>354</v>
      </c>
      <c r="C371" s="2" t="s">
        <v>2192</v>
      </c>
      <c r="D371" s="2" t="s">
        <v>1227</v>
      </c>
      <c r="E371">
        <v>22</v>
      </c>
      <c r="F371" s="2" t="s">
        <v>1242</v>
      </c>
      <c r="G371" s="2" t="s">
        <v>1221</v>
      </c>
      <c r="H371" s="2" t="s">
        <v>1230</v>
      </c>
      <c r="I371" s="1">
        <v>44666</v>
      </c>
      <c r="J371">
        <v>2022</v>
      </c>
      <c r="K371" s="2" t="s">
        <v>2193</v>
      </c>
      <c r="L371" s="4">
        <v>157348</v>
      </c>
      <c r="M371" s="2" t="s">
        <v>1223</v>
      </c>
      <c r="N371" s="2" t="s">
        <v>1231</v>
      </c>
      <c r="O371" s="2" t="s">
        <v>25</v>
      </c>
      <c r="P371" s="3">
        <v>44292</v>
      </c>
      <c r="Q371" s="4">
        <v>196846</v>
      </c>
      <c r="R371">
        <v>759</v>
      </c>
      <c r="S371" t="str">
        <f>IF(Linked[[#This Row],[Credit Score]]&lt;=579,"Poor",IF(Linked[[#This Row],[Credit Score]]&lt;=669,"Fair",IF(Linked[[#This Row],[Credit Score]]&lt;=739,"Good",IF(Linked[[#This Row],[Credit Score]]&lt;=799,"Very Good",IF(Linked[[#This Row],[Credit Score]]&gt;=800,"Excellent")))))</f>
        <v>Very Good</v>
      </c>
      <c r="T371" s="4">
        <v>0</v>
      </c>
      <c r="U371" s="2" t="s">
        <v>18</v>
      </c>
      <c r="V371" s="2"/>
    </row>
    <row r="372" spans="1:22" x14ac:dyDescent="0.25">
      <c r="A372" s="2" t="s">
        <v>357</v>
      </c>
      <c r="B372" s="2" t="s">
        <v>356</v>
      </c>
      <c r="C372" s="2" t="s">
        <v>2153</v>
      </c>
      <c r="D372" s="2" t="s">
        <v>1227</v>
      </c>
      <c r="E372">
        <v>54</v>
      </c>
      <c r="F372" s="2" t="s">
        <v>1228</v>
      </c>
      <c r="G372" s="2" t="s">
        <v>1229</v>
      </c>
      <c r="H372" s="2" t="s">
        <v>1235</v>
      </c>
      <c r="I372" s="1">
        <v>42917</v>
      </c>
      <c r="J372">
        <v>2017</v>
      </c>
      <c r="K372" s="2" t="s">
        <v>1409</v>
      </c>
      <c r="L372" s="4">
        <v>145818</v>
      </c>
      <c r="M372" s="2" t="s">
        <v>1223</v>
      </c>
      <c r="N372" s="2" t="s">
        <v>1224</v>
      </c>
      <c r="O372" s="2" t="s">
        <v>25</v>
      </c>
      <c r="P372" s="3">
        <v>42417</v>
      </c>
      <c r="Q372" s="4">
        <v>164044</v>
      </c>
      <c r="R372">
        <v>404</v>
      </c>
      <c r="S372" t="str">
        <f>IF(Linked[[#This Row],[Credit Score]]&lt;=579,"Poor",IF(Linked[[#This Row],[Credit Score]]&lt;=669,"Fair",IF(Linked[[#This Row],[Credit Score]]&lt;=739,"Good",IF(Linked[[#This Row],[Credit Score]]&lt;=799,"Very Good",IF(Linked[[#This Row],[Credit Score]]&gt;=800,"Excellent")))))</f>
        <v>Poor</v>
      </c>
      <c r="T372" s="4">
        <v>0</v>
      </c>
      <c r="U372" s="2"/>
      <c r="V372" s="2"/>
    </row>
    <row r="373" spans="1:22" x14ac:dyDescent="0.25">
      <c r="A373" s="2" t="s">
        <v>533</v>
      </c>
      <c r="B373" s="2" t="s">
        <v>532</v>
      </c>
      <c r="C373" s="2" t="s">
        <v>1670</v>
      </c>
      <c r="D373" s="2" t="s">
        <v>1227</v>
      </c>
      <c r="E373">
        <v>57</v>
      </c>
      <c r="F373" s="2" t="s">
        <v>1228</v>
      </c>
      <c r="G373" s="2" t="s">
        <v>1243</v>
      </c>
      <c r="H373" s="2" t="s">
        <v>1222</v>
      </c>
      <c r="I373" s="1">
        <v>42402</v>
      </c>
      <c r="J373">
        <v>2016</v>
      </c>
      <c r="K373" s="2" t="s">
        <v>1671</v>
      </c>
      <c r="L373" s="4">
        <v>98797</v>
      </c>
      <c r="M373" s="2" t="s">
        <v>1245</v>
      </c>
      <c r="N373" s="2" t="s">
        <v>1236</v>
      </c>
      <c r="O373" s="2" t="s">
        <v>10</v>
      </c>
      <c r="P373" s="3">
        <v>43955</v>
      </c>
      <c r="Q373" s="4">
        <v>415551</v>
      </c>
      <c r="R373">
        <v>421</v>
      </c>
      <c r="S373" t="str">
        <f>IF(Linked[[#This Row],[Credit Score]]&lt;=579,"Poor",IF(Linked[[#This Row],[Credit Score]]&lt;=669,"Fair",IF(Linked[[#This Row],[Credit Score]]&lt;=739,"Good",IF(Linked[[#This Row],[Credit Score]]&lt;=799,"Very Good",IF(Linked[[#This Row],[Credit Score]]&gt;=800,"Excellent")))))</f>
        <v>Poor</v>
      </c>
      <c r="T373" s="4">
        <v>0</v>
      </c>
      <c r="U373" s="2"/>
      <c r="V373" s="2"/>
    </row>
    <row r="374" spans="1:22" x14ac:dyDescent="0.25">
      <c r="A374" s="2" t="s">
        <v>363</v>
      </c>
      <c r="B374" s="2" t="s">
        <v>362</v>
      </c>
      <c r="C374" s="2" t="s">
        <v>2067</v>
      </c>
      <c r="D374" s="2" t="s">
        <v>1227</v>
      </c>
      <c r="E374">
        <v>38</v>
      </c>
      <c r="F374" s="2" t="s">
        <v>1220</v>
      </c>
      <c r="G374" s="2" t="s">
        <v>1221</v>
      </c>
      <c r="H374" s="2" t="s">
        <v>1259</v>
      </c>
      <c r="I374" s="1">
        <v>44896</v>
      </c>
      <c r="J374">
        <v>2022</v>
      </c>
      <c r="K374" s="2" t="s">
        <v>2068</v>
      </c>
      <c r="L374" s="4">
        <v>24703</v>
      </c>
      <c r="M374" s="2" t="s">
        <v>1250</v>
      </c>
      <c r="N374" s="2" t="s">
        <v>1224</v>
      </c>
      <c r="O374" s="2" t="s">
        <v>13</v>
      </c>
      <c r="P374" s="3">
        <v>44622</v>
      </c>
      <c r="Q374" s="4">
        <v>93500</v>
      </c>
      <c r="R374">
        <v>439</v>
      </c>
      <c r="S374" t="str">
        <f>IF(Linked[[#This Row],[Credit Score]]&lt;=579,"Poor",IF(Linked[[#This Row],[Credit Score]]&lt;=669,"Fair",IF(Linked[[#This Row],[Credit Score]]&lt;=739,"Good",IF(Linked[[#This Row],[Credit Score]]&lt;=799,"Very Good",IF(Linked[[#This Row],[Credit Score]]&gt;=800,"Excellent")))))</f>
        <v>Poor</v>
      </c>
      <c r="T374" s="4">
        <v>0</v>
      </c>
      <c r="U374" s="2"/>
      <c r="V374" s="2"/>
    </row>
    <row r="375" spans="1:22" x14ac:dyDescent="0.25">
      <c r="A375" s="2" t="s">
        <v>363</v>
      </c>
      <c r="B375" s="2" t="s">
        <v>462</v>
      </c>
      <c r="C375" s="2" t="s">
        <v>2067</v>
      </c>
      <c r="D375" s="2" t="s">
        <v>1227</v>
      </c>
      <c r="E375">
        <v>38</v>
      </c>
      <c r="F375" s="2" t="s">
        <v>1220</v>
      </c>
      <c r="G375" s="2" t="s">
        <v>1221</v>
      </c>
      <c r="H375" s="2" t="s">
        <v>1259</v>
      </c>
      <c r="I375" s="1">
        <v>44896</v>
      </c>
      <c r="J375">
        <v>2022</v>
      </c>
      <c r="K375" s="2" t="s">
        <v>2068</v>
      </c>
      <c r="L375" s="4">
        <v>24703</v>
      </c>
      <c r="M375" s="2" t="s">
        <v>1250</v>
      </c>
      <c r="N375" s="2" t="s">
        <v>1224</v>
      </c>
      <c r="O375" s="2" t="s">
        <v>25</v>
      </c>
      <c r="P375" s="3">
        <v>43004</v>
      </c>
      <c r="Q375" s="4">
        <v>392974</v>
      </c>
      <c r="R375">
        <v>725</v>
      </c>
      <c r="S375" t="str">
        <f>IF(Linked[[#This Row],[Credit Score]]&lt;=579,"Poor",IF(Linked[[#This Row],[Credit Score]]&lt;=669,"Fair",IF(Linked[[#This Row],[Credit Score]]&lt;=739,"Good",IF(Linked[[#This Row],[Credit Score]]&lt;=799,"Very Good",IF(Linked[[#This Row],[Credit Score]]&gt;=800,"Excellent")))))</f>
        <v>Good</v>
      </c>
      <c r="T375" s="4">
        <v>282648</v>
      </c>
      <c r="U375" s="2"/>
      <c r="V375" s="2"/>
    </row>
    <row r="376" spans="1:22" x14ac:dyDescent="0.25">
      <c r="A376" s="2" t="s">
        <v>365</v>
      </c>
      <c r="B376" s="2" t="s">
        <v>364</v>
      </c>
      <c r="C376" s="2" t="s">
        <v>2287</v>
      </c>
      <c r="D376" s="2" t="s">
        <v>1219</v>
      </c>
      <c r="E376">
        <v>54</v>
      </c>
      <c r="F376" s="2" t="s">
        <v>1228</v>
      </c>
      <c r="G376" s="2" t="s">
        <v>1229</v>
      </c>
      <c r="H376" s="2" t="s">
        <v>1253</v>
      </c>
      <c r="I376" s="1">
        <v>44800</v>
      </c>
      <c r="J376">
        <v>2022</v>
      </c>
      <c r="K376" s="2" t="s">
        <v>2288</v>
      </c>
      <c r="L376" s="4">
        <v>26570</v>
      </c>
      <c r="M376" s="2" t="s">
        <v>1250</v>
      </c>
      <c r="N376" s="2" t="s">
        <v>1224</v>
      </c>
      <c r="O376" s="2" t="s">
        <v>10</v>
      </c>
      <c r="P376" s="3">
        <v>43754</v>
      </c>
      <c r="Q376" s="4">
        <v>207772</v>
      </c>
      <c r="R376">
        <v>770</v>
      </c>
      <c r="S376" t="str">
        <f>IF(Linked[[#This Row],[Credit Score]]&lt;=579,"Poor",IF(Linked[[#This Row],[Credit Score]]&lt;=669,"Fair",IF(Linked[[#This Row],[Credit Score]]&lt;=739,"Good",IF(Linked[[#This Row],[Credit Score]]&lt;=799,"Very Good",IF(Linked[[#This Row],[Credit Score]]&gt;=800,"Excellent")))))</f>
        <v>Very Good</v>
      </c>
      <c r="T376" s="4">
        <v>0</v>
      </c>
      <c r="U376" s="2"/>
      <c r="V376" s="2"/>
    </row>
    <row r="377" spans="1:22" x14ac:dyDescent="0.25">
      <c r="A377" s="2" t="s">
        <v>367</v>
      </c>
      <c r="B377" s="2" t="s">
        <v>366</v>
      </c>
      <c r="C377" s="2" t="s">
        <v>1949</v>
      </c>
      <c r="D377" s="2" t="s">
        <v>1219</v>
      </c>
      <c r="E377">
        <v>54</v>
      </c>
      <c r="F377" s="2" t="s">
        <v>1228</v>
      </c>
      <c r="G377" s="2" t="s">
        <v>1243</v>
      </c>
      <c r="H377" s="2" t="s">
        <v>1259</v>
      </c>
      <c r="I377" s="1">
        <v>45127</v>
      </c>
      <c r="J377">
        <v>2023</v>
      </c>
      <c r="K377" s="2" t="s">
        <v>1950</v>
      </c>
      <c r="L377" s="4">
        <v>177702</v>
      </c>
      <c r="M377" s="2" t="s">
        <v>1223</v>
      </c>
      <c r="N377" s="2" t="s">
        <v>1224</v>
      </c>
      <c r="O377" s="2" t="s">
        <v>13</v>
      </c>
      <c r="P377" s="3">
        <v>44662</v>
      </c>
      <c r="Q377" s="4">
        <v>37158</v>
      </c>
      <c r="R377">
        <v>431</v>
      </c>
      <c r="S377" t="str">
        <f>IF(Linked[[#This Row],[Credit Score]]&lt;=579,"Poor",IF(Linked[[#This Row],[Credit Score]]&lt;=669,"Fair",IF(Linked[[#This Row],[Credit Score]]&lt;=739,"Good",IF(Linked[[#This Row],[Credit Score]]&lt;=799,"Very Good",IF(Linked[[#This Row],[Credit Score]]&gt;=800,"Excellent")))))</f>
        <v>Poor</v>
      </c>
      <c r="T377" s="4">
        <v>382078</v>
      </c>
      <c r="U377" s="2" t="s">
        <v>59</v>
      </c>
      <c r="V377" s="2"/>
    </row>
    <row r="378" spans="1:22" x14ac:dyDescent="0.25">
      <c r="A378" s="2" t="s">
        <v>769</v>
      </c>
      <c r="B378" s="2" t="s">
        <v>768</v>
      </c>
      <c r="C378" s="2" t="s">
        <v>1679</v>
      </c>
      <c r="D378" s="2" t="s">
        <v>1219</v>
      </c>
      <c r="E378">
        <v>46</v>
      </c>
      <c r="F378" s="2" t="s">
        <v>1228</v>
      </c>
      <c r="G378" s="2" t="s">
        <v>1243</v>
      </c>
      <c r="H378" s="2" t="s">
        <v>1235</v>
      </c>
      <c r="I378" s="1">
        <v>42971</v>
      </c>
      <c r="J378">
        <v>2017</v>
      </c>
      <c r="K378" s="2" t="s">
        <v>1680</v>
      </c>
      <c r="L378" s="4">
        <v>72930</v>
      </c>
      <c r="M378" s="2" t="s">
        <v>1250</v>
      </c>
      <c r="N378" s="2" t="s">
        <v>1236</v>
      </c>
      <c r="O378" s="2" t="s">
        <v>13</v>
      </c>
      <c r="P378" s="3">
        <v>44081</v>
      </c>
      <c r="Q378" s="4">
        <v>156255</v>
      </c>
      <c r="R378">
        <v>523</v>
      </c>
      <c r="S378" t="str">
        <f>IF(Linked[[#This Row],[Credit Score]]&lt;=579,"Poor",IF(Linked[[#This Row],[Credit Score]]&lt;=669,"Fair",IF(Linked[[#This Row],[Credit Score]]&lt;=739,"Good",IF(Linked[[#This Row],[Credit Score]]&lt;=799,"Very Good",IF(Linked[[#This Row],[Credit Score]]&gt;=800,"Excellent")))))</f>
        <v>Poor</v>
      </c>
      <c r="T378" s="4">
        <v>0</v>
      </c>
      <c r="U378" s="2"/>
      <c r="V378" s="2"/>
    </row>
    <row r="379" spans="1:22" x14ac:dyDescent="0.25">
      <c r="A379" s="2" t="s">
        <v>371</v>
      </c>
      <c r="B379" s="2" t="s">
        <v>370</v>
      </c>
      <c r="C379" s="2" t="s">
        <v>1868</v>
      </c>
      <c r="D379" s="2" t="s">
        <v>1219</v>
      </c>
      <c r="E379">
        <v>38</v>
      </c>
      <c r="F379" s="2" t="s">
        <v>1220</v>
      </c>
      <c r="G379" s="2" t="s">
        <v>1249</v>
      </c>
      <c r="H379" s="2" t="s">
        <v>1235</v>
      </c>
      <c r="I379" s="1">
        <v>44265</v>
      </c>
      <c r="J379">
        <v>2021</v>
      </c>
      <c r="K379" s="2" t="s">
        <v>1869</v>
      </c>
      <c r="L379" s="4">
        <v>142720</v>
      </c>
      <c r="M379" s="2" t="s">
        <v>1223</v>
      </c>
      <c r="N379" s="2" t="s">
        <v>1224</v>
      </c>
      <c r="O379" s="2" t="s">
        <v>10</v>
      </c>
      <c r="P379" s="3">
        <v>44322</v>
      </c>
      <c r="Q379" s="4">
        <v>381783</v>
      </c>
      <c r="R379">
        <v>482</v>
      </c>
      <c r="S379" t="str">
        <f>IF(Linked[[#This Row],[Credit Score]]&lt;=579,"Poor",IF(Linked[[#This Row],[Credit Score]]&lt;=669,"Fair",IF(Linked[[#This Row],[Credit Score]]&lt;=739,"Good",IF(Linked[[#This Row],[Credit Score]]&lt;=799,"Very Good",IF(Linked[[#This Row],[Credit Score]]&gt;=800,"Excellent")))))</f>
        <v>Poor</v>
      </c>
      <c r="T379" s="4">
        <v>0</v>
      </c>
      <c r="U379" s="2"/>
      <c r="V379" s="2"/>
    </row>
    <row r="380" spans="1:22" x14ac:dyDescent="0.25">
      <c r="A380" s="2" t="s">
        <v>371</v>
      </c>
      <c r="B380" s="2" t="s">
        <v>752</v>
      </c>
      <c r="C380" s="2" t="s">
        <v>1868</v>
      </c>
      <c r="D380" s="2" t="s">
        <v>1219</v>
      </c>
      <c r="E380">
        <v>38</v>
      </c>
      <c r="F380" s="2" t="s">
        <v>1220</v>
      </c>
      <c r="G380" s="2" t="s">
        <v>1249</v>
      </c>
      <c r="H380" s="2" t="s">
        <v>1235</v>
      </c>
      <c r="I380" s="1">
        <v>44265</v>
      </c>
      <c r="J380">
        <v>2021</v>
      </c>
      <c r="K380" s="2" t="s">
        <v>1869</v>
      </c>
      <c r="L380" s="4">
        <v>142720</v>
      </c>
      <c r="M380" s="2" t="s">
        <v>1223</v>
      </c>
      <c r="N380" s="2" t="s">
        <v>1224</v>
      </c>
      <c r="O380" s="2" t="s">
        <v>10</v>
      </c>
      <c r="P380" s="3">
        <v>42704</v>
      </c>
      <c r="Q380" s="4">
        <v>413540</v>
      </c>
      <c r="R380">
        <v>494</v>
      </c>
      <c r="S380" t="str">
        <f>IF(Linked[[#This Row],[Credit Score]]&lt;=579,"Poor",IF(Linked[[#This Row],[Credit Score]]&lt;=669,"Fair",IF(Linked[[#This Row],[Credit Score]]&lt;=739,"Good",IF(Linked[[#This Row],[Credit Score]]&lt;=799,"Very Good",IF(Linked[[#This Row],[Credit Score]]&gt;=800,"Excellent")))))</f>
        <v>Poor</v>
      </c>
      <c r="T380" s="4">
        <v>0</v>
      </c>
      <c r="U380" s="2"/>
      <c r="V380" s="2"/>
    </row>
    <row r="381" spans="1:22" x14ac:dyDescent="0.25">
      <c r="A381" s="2" t="s">
        <v>378</v>
      </c>
      <c r="B381" s="2" t="s">
        <v>377</v>
      </c>
      <c r="C381" s="2" t="s">
        <v>2006</v>
      </c>
      <c r="D381" s="2" t="s">
        <v>1227</v>
      </c>
      <c r="E381">
        <v>62</v>
      </c>
      <c r="F381" s="2" t="s">
        <v>1263</v>
      </c>
      <c r="G381" s="2" t="s">
        <v>1249</v>
      </c>
      <c r="H381" s="2" t="s">
        <v>1222</v>
      </c>
      <c r="I381" s="1">
        <v>43758</v>
      </c>
      <c r="J381">
        <v>2019</v>
      </c>
      <c r="K381" s="2" t="s">
        <v>2007</v>
      </c>
      <c r="L381" s="4">
        <v>90326</v>
      </c>
      <c r="M381" s="2" t="s">
        <v>1245</v>
      </c>
      <c r="N381" s="2" t="s">
        <v>1231</v>
      </c>
      <c r="O381" s="2" t="s">
        <v>13</v>
      </c>
      <c r="P381" s="3">
        <v>45855</v>
      </c>
      <c r="Q381" s="4">
        <v>58692</v>
      </c>
      <c r="R381">
        <v>448</v>
      </c>
      <c r="S381" t="str">
        <f>IF(Linked[[#This Row],[Credit Score]]&lt;=579,"Poor",IF(Linked[[#This Row],[Credit Score]]&lt;=669,"Fair",IF(Linked[[#This Row],[Credit Score]]&lt;=739,"Good",IF(Linked[[#This Row],[Credit Score]]&lt;=799,"Very Good",IF(Linked[[#This Row],[Credit Score]]&gt;=800,"Excellent")))))</f>
        <v>Poor</v>
      </c>
      <c r="T381" s="4">
        <v>204215</v>
      </c>
      <c r="U381" s="2"/>
      <c r="V381" s="2"/>
    </row>
    <row r="382" spans="1:22" x14ac:dyDescent="0.25">
      <c r="A382" s="2" t="s">
        <v>378</v>
      </c>
      <c r="B382" s="2" t="s">
        <v>831</v>
      </c>
      <c r="C382" s="2" t="s">
        <v>2006</v>
      </c>
      <c r="D382" s="2" t="s">
        <v>1227</v>
      </c>
      <c r="E382">
        <v>62</v>
      </c>
      <c r="F382" s="2" t="s">
        <v>1263</v>
      </c>
      <c r="G382" s="2" t="s">
        <v>1249</v>
      </c>
      <c r="H382" s="2" t="s">
        <v>1222</v>
      </c>
      <c r="I382" s="1">
        <v>43758</v>
      </c>
      <c r="J382">
        <v>2019</v>
      </c>
      <c r="K382" s="2" t="s">
        <v>2007</v>
      </c>
      <c r="L382" s="4">
        <v>90326</v>
      </c>
      <c r="M382" s="2" t="s">
        <v>1245</v>
      </c>
      <c r="N382" s="2" t="s">
        <v>1231</v>
      </c>
      <c r="O382" s="2" t="s">
        <v>10</v>
      </c>
      <c r="P382" s="3">
        <v>45482</v>
      </c>
      <c r="Q382" s="4">
        <v>23386</v>
      </c>
      <c r="R382">
        <v>601</v>
      </c>
      <c r="S382" t="str">
        <f>IF(Linked[[#This Row],[Credit Score]]&lt;=579,"Poor",IF(Linked[[#This Row],[Credit Score]]&lt;=669,"Fair",IF(Linked[[#This Row],[Credit Score]]&lt;=739,"Good",IF(Linked[[#This Row],[Credit Score]]&lt;=799,"Very Good",IF(Linked[[#This Row],[Credit Score]]&gt;=800,"Excellent")))))</f>
        <v>Fair</v>
      </c>
      <c r="T382" s="4">
        <v>0</v>
      </c>
      <c r="U382" s="2"/>
      <c r="V382" s="2"/>
    </row>
    <row r="383" spans="1:22" x14ac:dyDescent="0.25">
      <c r="A383" s="2" t="s">
        <v>815</v>
      </c>
      <c r="B383" s="2" t="s">
        <v>814</v>
      </c>
      <c r="C383" s="2" t="s">
        <v>1691</v>
      </c>
      <c r="D383" s="2" t="s">
        <v>1227</v>
      </c>
      <c r="E383">
        <v>68</v>
      </c>
      <c r="F383" s="2" t="s">
        <v>1263</v>
      </c>
      <c r="G383" s="2" t="s">
        <v>1249</v>
      </c>
      <c r="H383" s="2" t="s">
        <v>1222</v>
      </c>
      <c r="I383" s="1">
        <v>43431</v>
      </c>
      <c r="J383">
        <v>2018</v>
      </c>
      <c r="K383" s="2" t="s">
        <v>1692</v>
      </c>
      <c r="L383" s="4">
        <v>179674</v>
      </c>
      <c r="M383" s="2" t="s">
        <v>1223</v>
      </c>
      <c r="N383" s="2" t="s">
        <v>1224</v>
      </c>
      <c r="O383" s="2" t="s">
        <v>10</v>
      </c>
      <c r="P383" s="3">
        <v>44392</v>
      </c>
      <c r="Q383" s="4">
        <v>75403</v>
      </c>
      <c r="R383">
        <v>638</v>
      </c>
      <c r="S383" t="str">
        <f>IF(Linked[[#This Row],[Credit Score]]&lt;=579,"Poor",IF(Linked[[#This Row],[Credit Score]]&lt;=669,"Fair",IF(Linked[[#This Row],[Credit Score]]&lt;=739,"Good",IF(Linked[[#This Row],[Credit Score]]&lt;=799,"Very Good",IF(Linked[[#This Row],[Credit Score]]&gt;=800,"Excellent")))))</f>
        <v>Fair</v>
      </c>
      <c r="T383" s="4">
        <v>0</v>
      </c>
      <c r="U383" s="2" t="s">
        <v>18</v>
      </c>
      <c r="V383" s="2"/>
    </row>
    <row r="384" spans="1:22" x14ac:dyDescent="0.25">
      <c r="A384" s="2" t="s">
        <v>382</v>
      </c>
      <c r="B384" s="2" t="s">
        <v>381</v>
      </c>
      <c r="C384" s="2" t="s">
        <v>2186</v>
      </c>
      <c r="D384" s="2" t="s">
        <v>1227</v>
      </c>
      <c r="E384">
        <v>23</v>
      </c>
      <c r="F384" s="2" t="s">
        <v>1242</v>
      </c>
      <c r="G384" s="2" t="s">
        <v>1249</v>
      </c>
      <c r="H384" s="2" t="s">
        <v>1259</v>
      </c>
      <c r="I384" s="1">
        <v>44692</v>
      </c>
      <c r="J384">
        <v>2022</v>
      </c>
      <c r="K384" s="2" t="s">
        <v>2187</v>
      </c>
      <c r="L384" s="4">
        <v>131453</v>
      </c>
      <c r="M384" s="2" t="s">
        <v>1245</v>
      </c>
      <c r="N384" s="2" t="s">
        <v>1224</v>
      </c>
      <c r="O384" s="2" t="s">
        <v>10</v>
      </c>
      <c r="P384" s="3">
        <v>42633</v>
      </c>
      <c r="Q384" s="4">
        <v>192816</v>
      </c>
      <c r="R384">
        <v>768</v>
      </c>
      <c r="S384" t="str">
        <f>IF(Linked[[#This Row],[Credit Score]]&lt;=579,"Poor",IF(Linked[[#This Row],[Credit Score]]&lt;=669,"Fair",IF(Linked[[#This Row],[Credit Score]]&lt;=739,"Good",IF(Linked[[#This Row],[Credit Score]]&lt;=799,"Very Good",IF(Linked[[#This Row],[Credit Score]]&gt;=800,"Excellent")))))</f>
        <v>Very Good</v>
      </c>
      <c r="T384" s="4">
        <v>371378</v>
      </c>
      <c r="U384" s="2"/>
      <c r="V384" s="2"/>
    </row>
    <row r="385" spans="1:22" x14ac:dyDescent="0.25">
      <c r="A385" s="2" t="s">
        <v>382</v>
      </c>
      <c r="B385" s="2" t="s">
        <v>785</v>
      </c>
      <c r="C385" s="2" t="s">
        <v>2186</v>
      </c>
      <c r="D385" s="2" t="s">
        <v>1227</v>
      </c>
      <c r="E385">
        <v>23</v>
      </c>
      <c r="F385" s="2" t="s">
        <v>1242</v>
      </c>
      <c r="G385" s="2" t="s">
        <v>1249</v>
      </c>
      <c r="H385" s="2" t="s">
        <v>1259</v>
      </c>
      <c r="I385" s="1">
        <v>44692</v>
      </c>
      <c r="J385">
        <v>2022</v>
      </c>
      <c r="K385" s="2" t="s">
        <v>2187</v>
      </c>
      <c r="L385" s="4">
        <v>131453</v>
      </c>
      <c r="M385" s="2" t="s">
        <v>1245</v>
      </c>
      <c r="N385" s="2" t="s">
        <v>1224</v>
      </c>
      <c r="O385" s="2" t="s">
        <v>25</v>
      </c>
      <c r="P385" s="3">
        <v>44462</v>
      </c>
      <c r="Q385" s="4">
        <v>395319</v>
      </c>
      <c r="R385">
        <v>415</v>
      </c>
      <c r="S385" t="str">
        <f>IF(Linked[[#This Row],[Credit Score]]&lt;=579,"Poor",IF(Linked[[#This Row],[Credit Score]]&lt;=669,"Fair",IF(Linked[[#This Row],[Credit Score]]&lt;=739,"Good",IF(Linked[[#This Row],[Credit Score]]&lt;=799,"Very Good",IF(Linked[[#This Row],[Credit Score]]&gt;=800,"Excellent")))))</f>
        <v>Poor</v>
      </c>
      <c r="T385" s="4">
        <v>0</v>
      </c>
      <c r="U385" s="2"/>
      <c r="V385" s="2"/>
    </row>
    <row r="386" spans="1:22" x14ac:dyDescent="0.25">
      <c r="A386" s="2" t="s">
        <v>566</v>
      </c>
      <c r="B386" s="2" t="s">
        <v>565</v>
      </c>
      <c r="C386" s="2" t="s">
        <v>1699</v>
      </c>
      <c r="D386" s="2" t="s">
        <v>1219</v>
      </c>
      <c r="E386">
        <v>40</v>
      </c>
      <c r="F386" s="2" t="s">
        <v>1220</v>
      </c>
      <c r="G386" s="2" t="s">
        <v>1243</v>
      </c>
      <c r="H386" s="2" t="s">
        <v>1235</v>
      </c>
      <c r="I386" s="1">
        <v>43742</v>
      </c>
      <c r="J386">
        <v>2019</v>
      </c>
      <c r="K386" s="2" t="s">
        <v>1700</v>
      </c>
      <c r="L386" s="4">
        <v>183268</v>
      </c>
      <c r="M386" s="2" t="s">
        <v>1223</v>
      </c>
      <c r="N386" s="2" t="s">
        <v>1231</v>
      </c>
      <c r="O386" s="2" t="s">
        <v>25</v>
      </c>
      <c r="P386" s="3">
        <v>43884</v>
      </c>
      <c r="Q386" s="4">
        <v>440880</v>
      </c>
      <c r="R386">
        <v>583</v>
      </c>
      <c r="S386" t="str">
        <f>IF(Linked[[#This Row],[Credit Score]]&lt;=579,"Poor",IF(Linked[[#This Row],[Credit Score]]&lt;=669,"Fair",IF(Linked[[#This Row],[Credit Score]]&lt;=739,"Good",IF(Linked[[#This Row],[Credit Score]]&lt;=799,"Very Good",IF(Linked[[#This Row],[Credit Score]]&gt;=800,"Excellent")))))</f>
        <v>Fair</v>
      </c>
      <c r="T386" s="4">
        <v>0</v>
      </c>
      <c r="U386" s="2"/>
      <c r="V386" s="2"/>
    </row>
    <row r="387" spans="1:22" x14ac:dyDescent="0.25">
      <c r="A387" s="2" t="s">
        <v>566</v>
      </c>
      <c r="B387" s="2" t="s">
        <v>816</v>
      </c>
      <c r="C387" s="2" t="s">
        <v>1699</v>
      </c>
      <c r="D387" s="2" t="s">
        <v>1219</v>
      </c>
      <c r="E387">
        <v>40</v>
      </c>
      <c r="F387" s="2" t="s">
        <v>1220</v>
      </c>
      <c r="G387" s="2" t="s">
        <v>1243</v>
      </c>
      <c r="H387" s="2" t="s">
        <v>1235</v>
      </c>
      <c r="I387" s="1">
        <v>43742</v>
      </c>
      <c r="J387">
        <v>2019</v>
      </c>
      <c r="K387" s="2" t="s">
        <v>1700</v>
      </c>
      <c r="L387" s="4">
        <v>183268</v>
      </c>
      <c r="M387" s="2" t="s">
        <v>1223</v>
      </c>
      <c r="N387" s="2" t="s">
        <v>1231</v>
      </c>
      <c r="O387" s="2" t="s">
        <v>13</v>
      </c>
      <c r="P387" s="3">
        <v>45883</v>
      </c>
      <c r="Q387" s="4">
        <v>434474</v>
      </c>
      <c r="R387">
        <v>480</v>
      </c>
      <c r="S387" t="str">
        <f>IF(Linked[[#This Row],[Credit Score]]&lt;=579,"Poor",IF(Linked[[#This Row],[Credit Score]]&lt;=669,"Fair",IF(Linked[[#This Row],[Credit Score]]&lt;=739,"Good",IF(Linked[[#This Row],[Credit Score]]&lt;=799,"Very Good",IF(Linked[[#This Row],[Credit Score]]&gt;=800,"Excellent")))))</f>
        <v>Poor</v>
      </c>
      <c r="T387" s="4">
        <v>0</v>
      </c>
      <c r="U387" s="2"/>
      <c r="V387" s="2"/>
    </row>
    <row r="388" spans="1:22" x14ac:dyDescent="0.25">
      <c r="A388" s="2" t="s">
        <v>388</v>
      </c>
      <c r="B388" s="2" t="s">
        <v>387</v>
      </c>
      <c r="C388" s="2" t="s">
        <v>2151</v>
      </c>
      <c r="D388" s="2" t="s">
        <v>1227</v>
      </c>
      <c r="E388">
        <v>45</v>
      </c>
      <c r="F388" s="2" t="s">
        <v>1228</v>
      </c>
      <c r="G388" s="2" t="s">
        <v>1249</v>
      </c>
      <c r="H388" s="2" t="s">
        <v>1235</v>
      </c>
      <c r="I388" s="1">
        <v>44513</v>
      </c>
      <c r="J388">
        <v>2021</v>
      </c>
      <c r="K388" s="2" t="s">
        <v>1320</v>
      </c>
      <c r="L388" s="4">
        <v>65893</v>
      </c>
      <c r="M388" s="2" t="s">
        <v>1250</v>
      </c>
      <c r="N388" s="2" t="s">
        <v>1231</v>
      </c>
      <c r="O388" s="2" t="s">
        <v>13</v>
      </c>
      <c r="P388" s="3">
        <v>43801</v>
      </c>
      <c r="Q388" s="4">
        <v>161081</v>
      </c>
      <c r="R388">
        <v>593</v>
      </c>
      <c r="S388" t="str">
        <f>IF(Linked[[#This Row],[Credit Score]]&lt;=579,"Poor",IF(Linked[[#This Row],[Credit Score]]&lt;=669,"Fair",IF(Linked[[#This Row],[Credit Score]]&lt;=739,"Good",IF(Linked[[#This Row],[Credit Score]]&lt;=799,"Very Good",IF(Linked[[#This Row],[Credit Score]]&gt;=800,"Excellent")))))</f>
        <v>Fair</v>
      </c>
      <c r="T388" s="4">
        <v>0</v>
      </c>
      <c r="U388" s="2"/>
      <c r="V388" s="2"/>
    </row>
    <row r="389" spans="1:22" x14ac:dyDescent="0.25">
      <c r="A389" s="2" t="s">
        <v>388</v>
      </c>
      <c r="B389" s="2" t="s">
        <v>766</v>
      </c>
      <c r="C389" s="2" t="s">
        <v>2151</v>
      </c>
      <c r="D389" s="2" t="s">
        <v>1227</v>
      </c>
      <c r="E389">
        <v>45</v>
      </c>
      <c r="F389" s="2" t="s">
        <v>1228</v>
      </c>
      <c r="G389" s="2" t="s">
        <v>1249</v>
      </c>
      <c r="H389" s="2" t="s">
        <v>1235</v>
      </c>
      <c r="I389" s="1">
        <v>44513</v>
      </c>
      <c r="J389">
        <v>2021</v>
      </c>
      <c r="K389" s="2" t="s">
        <v>1320</v>
      </c>
      <c r="L389" s="4">
        <v>65893</v>
      </c>
      <c r="M389" s="2" t="s">
        <v>1250</v>
      </c>
      <c r="N389" s="2" t="s">
        <v>1231</v>
      </c>
      <c r="O389" s="2" t="s">
        <v>32</v>
      </c>
      <c r="P389" s="3">
        <v>44430</v>
      </c>
      <c r="Q389" s="4">
        <v>342908</v>
      </c>
      <c r="R389">
        <v>580</v>
      </c>
      <c r="S389" t="str">
        <f>IF(Linked[[#This Row],[Credit Score]]&lt;=579,"Poor",IF(Linked[[#This Row],[Credit Score]]&lt;=669,"Fair",IF(Linked[[#This Row],[Credit Score]]&lt;=739,"Good",IF(Linked[[#This Row],[Credit Score]]&lt;=799,"Very Good",IF(Linked[[#This Row],[Credit Score]]&gt;=800,"Excellent")))))</f>
        <v>Fair</v>
      </c>
      <c r="T389" s="4">
        <v>0</v>
      </c>
      <c r="U389" s="2"/>
      <c r="V389" s="2"/>
    </row>
    <row r="390" spans="1:22" x14ac:dyDescent="0.25">
      <c r="A390" s="2" t="s">
        <v>754</v>
      </c>
      <c r="B390" s="2" t="s">
        <v>753</v>
      </c>
      <c r="C390" s="2" t="s">
        <v>1703</v>
      </c>
      <c r="D390" s="2" t="s">
        <v>1219</v>
      </c>
      <c r="E390">
        <v>43</v>
      </c>
      <c r="F390" s="2" t="s">
        <v>1220</v>
      </c>
      <c r="G390" s="2" t="s">
        <v>1221</v>
      </c>
      <c r="H390" s="2" t="s">
        <v>1259</v>
      </c>
      <c r="I390" s="1">
        <v>43477</v>
      </c>
      <c r="J390">
        <v>2019</v>
      </c>
      <c r="K390" s="2" t="s">
        <v>1704</v>
      </c>
      <c r="L390" s="4">
        <v>25626</v>
      </c>
      <c r="M390" s="2" t="s">
        <v>1250</v>
      </c>
      <c r="N390" s="2" t="s">
        <v>1231</v>
      </c>
      <c r="O390" s="2" t="s">
        <v>32</v>
      </c>
      <c r="P390" s="3">
        <v>42778</v>
      </c>
      <c r="Q390" s="4">
        <v>153939</v>
      </c>
      <c r="R390">
        <v>527</v>
      </c>
      <c r="S390" t="str">
        <f>IF(Linked[[#This Row],[Credit Score]]&lt;=579,"Poor",IF(Linked[[#This Row],[Credit Score]]&lt;=669,"Fair",IF(Linked[[#This Row],[Credit Score]]&lt;=739,"Good",IF(Linked[[#This Row],[Credit Score]]&lt;=799,"Very Good",IF(Linked[[#This Row],[Credit Score]]&gt;=800,"Excellent")))))</f>
        <v>Poor</v>
      </c>
      <c r="T390" s="4">
        <v>229970</v>
      </c>
      <c r="U390" s="2"/>
      <c r="V390" s="2"/>
    </row>
    <row r="391" spans="1:22" x14ac:dyDescent="0.25">
      <c r="A391" s="2" t="s">
        <v>469</v>
      </c>
      <c r="B391" s="2" t="s">
        <v>468</v>
      </c>
      <c r="C391" s="2" t="s">
        <v>1707</v>
      </c>
      <c r="D391" s="2" t="s">
        <v>1219</v>
      </c>
      <c r="E391">
        <v>46</v>
      </c>
      <c r="F391" s="2" t="s">
        <v>1228</v>
      </c>
      <c r="G391" s="2" t="s">
        <v>1243</v>
      </c>
      <c r="H391" s="2" t="s">
        <v>1230</v>
      </c>
      <c r="I391" s="1">
        <v>44799</v>
      </c>
      <c r="J391">
        <v>2022</v>
      </c>
      <c r="K391" s="2" t="s">
        <v>1708</v>
      </c>
      <c r="L391" s="4">
        <v>32857</v>
      </c>
      <c r="M391" s="2" t="s">
        <v>1250</v>
      </c>
      <c r="N391" s="2" t="s">
        <v>1224</v>
      </c>
      <c r="O391" s="2" t="s">
        <v>10</v>
      </c>
      <c r="P391" s="3">
        <v>43313</v>
      </c>
      <c r="Q391" s="4">
        <v>306093</v>
      </c>
      <c r="R391">
        <v>321</v>
      </c>
      <c r="S391" t="str">
        <f>IF(Linked[[#This Row],[Credit Score]]&lt;=579,"Poor",IF(Linked[[#This Row],[Credit Score]]&lt;=669,"Fair",IF(Linked[[#This Row],[Credit Score]]&lt;=739,"Good",IF(Linked[[#This Row],[Credit Score]]&lt;=799,"Very Good",IF(Linked[[#This Row],[Credit Score]]&gt;=800,"Excellent")))))</f>
        <v>Poor</v>
      </c>
      <c r="T391" s="4">
        <v>0</v>
      </c>
      <c r="U391" s="2"/>
      <c r="V391" s="2"/>
    </row>
    <row r="392" spans="1:22" x14ac:dyDescent="0.25">
      <c r="A392" s="2" t="s">
        <v>469</v>
      </c>
      <c r="B392" s="2" t="s">
        <v>477</v>
      </c>
      <c r="C392" s="2" t="s">
        <v>1707</v>
      </c>
      <c r="D392" s="2" t="s">
        <v>1219</v>
      </c>
      <c r="E392">
        <v>46</v>
      </c>
      <c r="F392" s="2" t="s">
        <v>1228</v>
      </c>
      <c r="G392" s="2" t="s">
        <v>1243</v>
      </c>
      <c r="H392" s="2" t="s">
        <v>1230</v>
      </c>
      <c r="I392" s="1">
        <v>44799</v>
      </c>
      <c r="J392">
        <v>2022</v>
      </c>
      <c r="K392" s="2" t="s">
        <v>1708</v>
      </c>
      <c r="L392" s="4">
        <v>32857</v>
      </c>
      <c r="M392" s="2" t="s">
        <v>1250</v>
      </c>
      <c r="N392" s="2" t="s">
        <v>1224</v>
      </c>
      <c r="O392" s="2" t="s">
        <v>25</v>
      </c>
      <c r="P392" s="3">
        <v>45121</v>
      </c>
      <c r="Q392" s="4">
        <v>444975</v>
      </c>
      <c r="R392">
        <v>728</v>
      </c>
      <c r="S392" t="str">
        <f>IF(Linked[[#This Row],[Credit Score]]&lt;=579,"Poor",IF(Linked[[#This Row],[Credit Score]]&lt;=669,"Fair",IF(Linked[[#This Row],[Credit Score]]&lt;=739,"Good",IF(Linked[[#This Row],[Credit Score]]&lt;=799,"Very Good",IF(Linked[[#This Row],[Credit Score]]&gt;=800,"Excellent")))))</f>
        <v>Good</v>
      </c>
      <c r="T392" s="4">
        <v>0</v>
      </c>
      <c r="U392" s="2"/>
      <c r="V392" s="2"/>
    </row>
    <row r="393" spans="1:22" x14ac:dyDescent="0.25">
      <c r="A393" s="2" t="s">
        <v>697</v>
      </c>
      <c r="B393" s="2" t="s">
        <v>696</v>
      </c>
      <c r="C393" s="2" t="s">
        <v>1711</v>
      </c>
      <c r="D393" s="2" t="s">
        <v>1219</v>
      </c>
      <c r="E393">
        <v>27</v>
      </c>
      <c r="F393" s="2" t="s">
        <v>1242</v>
      </c>
      <c r="G393" s="2" t="s">
        <v>1243</v>
      </c>
      <c r="H393" s="2" t="s">
        <v>1239</v>
      </c>
      <c r="I393" s="1">
        <v>42311</v>
      </c>
      <c r="J393">
        <v>2015</v>
      </c>
      <c r="K393" s="2" t="s">
        <v>1712</v>
      </c>
      <c r="L393" s="4">
        <v>153052</v>
      </c>
      <c r="M393" s="2" t="s">
        <v>1223</v>
      </c>
      <c r="N393" s="2" t="s">
        <v>1224</v>
      </c>
      <c r="O393" s="2" t="s">
        <v>25</v>
      </c>
      <c r="P393" s="3">
        <v>45604</v>
      </c>
      <c r="Q393" s="4">
        <v>7485</v>
      </c>
      <c r="R393">
        <v>557</v>
      </c>
      <c r="S393" t="str">
        <f>IF(Linked[[#This Row],[Credit Score]]&lt;=579,"Poor",IF(Linked[[#This Row],[Credit Score]]&lt;=669,"Fair",IF(Linked[[#This Row],[Credit Score]]&lt;=739,"Good",IF(Linked[[#This Row],[Credit Score]]&lt;=799,"Very Good",IF(Linked[[#This Row],[Credit Score]]&gt;=800,"Excellent")))))</f>
        <v>Poor</v>
      </c>
      <c r="T393" s="4">
        <v>0</v>
      </c>
      <c r="U393" s="2"/>
      <c r="V393" s="2"/>
    </row>
    <row r="394" spans="1:22" x14ac:dyDescent="0.25">
      <c r="A394" s="2" t="s">
        <v>397</v>
      </c>
      <c r="B394" s="2" t="s">
        <v>396</v>
      </c>
      <c r="C394" s="2" t="s">
        <v>2212</v>
      </c>
      <c r="D394" s="2" t="s">
        <v>1227</v>
      </c>
      <c r="E394">
        <v>22</v>
      </c>
      <c r="F394" s="2" t="s">
        <v>1242</v>
      </c>
      <c r="G394" s="2" t="s">
        <v>1249</v>
      </c>
      <c r="H394" s="2" t="s">
        <v>1230</v>
      </c>
      <c r="I394" s="1">
        <v>43074</v>
      </c>
      <c r="J394">
        <v>2017</v>
      </c>
      <c r="K394" s="2" t="s">
        <v>2191</v>
      </c>
      <c r="L394" s="4">
        <v>112324</v>
      </c>
      <c r="M394" s="2" t="s">
        <v>1245</v>
      </c>
      <c r="N394" s="2" t="s">
        <v>1224</v>
      </c>
      <c r="O394" s="2" t="s">
        <v>13</v>
      </c>
      <c r="P394" s="3">
        <v>43736</v>
      </c>
      <c r="Q394" s="4">
        <v>247536</v>
      </c>
      <c r="R394">
        <v>369</v>
      </c>
      <c r="S394" t="str">
        <f>IF(Linked[[#This Row],[Credit Score]]&lt;=579,"Poor",IF(Linked[[#This Row],[Credit Score]]&lt;=669,"Fair",IF(Linked[[#This Row],[Credit Score]]&lt;=739,"Good",IF(Linked[[#This Row],[Credit Score]]&lt;=799,"Very Good",IF(Linked[[#This Row],[Credit Score]]&gt;=800,"Excellent")))))</f>
        <v>Poor</v>
      </c>
      <c r="T394" s="4">
        <v>0</v>
      </c>
      <c r="U394" s="2"/>
      <c r="V394" s="2"/>
    </row>
    <row r="395" spans="1:22" x14ac:dyDescent="0.25">
      <c r="A395" s="2" t="s">
        <v>397</v>
      </c>
      <c r="B395" s="2" t="s">
        <v>570</v>
      </c>
      <c r="C395" s="2" t="s">
        <v>2212</v>
      </c>
      <c r="D395" s="2" t="s">
        <v>1227</v>
      </c>
      <c r="E395">
        <v>22</v>
      </c>
      <c r="F395" s="2" t="s">
        <v>1242</v>
      </c>
      <c r="G395" s="2" t="s">
        <v>1249</v>
      </c>
      <c r="H395" s="2" t="s">
        <v>1230</v>
      </c>
      <c r="I395" s="1">
        <v>43074</v>
      </c>
      <c r="J395">
        <v>2017</v>
      </c>
      <c r="K395" s="2" t="s">
        <v>2191</v>
      </c>
      <c r="L395" s="4">
        <v>112324</v>
      </c>
      <c r="M395" s="2" t="s">
        <v>1245</v>
      </c>
      <c r="N395" s="2" t="s">
        <v>1224</v>
      </c>
      <c r="O395" s="2" t="s">
        <v>10</v>
      </c>
      <c r="P395" s="3">
        <v>42620</v>
      </c>
      <c r="Q395" s="4">
        <v>220283</v>
      </c>
      <c r="R395">
        <v>435</v>
      </c>
      <c r="S395" t="str">
        <f>IF(Linked[[#This Row],[Credit Score]]&lt;=579,"Poor",IF(Linked[[#This Row],[Credit Score]]&lt;=669,"Fair",IF(Linked[[#This Row],[Credit Score]]&lt;=739,"Good",IF(Linked[[#This Row],[Credit Score]]&lt;=799,"Very Good",IF(Linked[[#This Row],[Credit Score]]&gt;=800,"Excellent")))))</f>
        <v>Poor</v>
      </c>
      <c r="T395" s="4">
        <v>316741</v>
      </c>
      <c r="U395" s="2"/>
      <c r="V395" s="2"/>
    </row>
    <row r="396" spans="1:22" x14ac:dyDescent="0.25">
      <c r="A396" s="2" t="s">
        <v>397</v>
      </c>
      <c r="B396" s="2" t="s">
        <v>605</v>
      </c>
      <c r="C396" s="2" t="s">
        <v>2212</v>
      </c>
      <c r="D396" s="2" t="s">
        <v>1227</v>
      </c>
      <c r="E396">
        <v>22</v>
      </c>
      <c r="F396" s="2" t="s">
        <v>1242</v>
      </c>
      <c r="G396" s="2" t="s">
        <v>1249</v>
      </c>
      <c r="H396" s="2" t="s">
        <v>1230</v>
      </c>
      <c r="I396" s="1">
        <v>43074</v>
      </c>
      <c r="J396">
        <v>2017</v>
      </c>
      <c r="K396" s="2" t="s">
        <v>2191</v>
      </c>
      <c r="L396" s="4">
        <v>112324</v>
      </c>
      <c r="M396" s="2" t="s">
        <v>1245</v>
      </c>
      <c r="N396" s="2" t="s">
        <v>1224</v>
      </c>
      <c r="O396" s="2" t="s">
        <v>10</v>
      </c>
      <c r="P396" s="3">
        <v>44433</v>
      </c>
      <c r="Q396" s="4">
        <v>434219</v>
      </c>
      <c r="R396">
        <v>723</v>
      </c>
      <c r="S396" t="str">
        <f>IF(Linked[[#This Row],[Credit Score]]&lt;=579,"Poor",IF(Linked[[#This Row],[Credit Score]]&lt;=669,"Fair",IF(Linked[[#This Row],[Credit Score]]&lt;=739,"Good",IF(Linked[[#This Row],[Credit Score]]&lt;=799,"Very Good",IF(Linked[[#This Row],[Credit Score]]&gt;=800,"Excellent")))))</f>
        <v>Good</v>
      </c>
      <c r="T396" s="4">
        <v>0</v>
      </c>
      <c r="U396" s="2"/>
      <c r="V396" s="2"/>
    </row>
    <row r="397" spans="1:22" x14ac:dyDescent="0.25">
      <c r="A397" s="2" t="s">
        <v>397</v>
      </c>
      <c r="B397" s="2" t="s">
        <v>767</v>
      </c>
      <c r="C397" s="2" t="s">
        <v>2212</v>
      </c>
      <c r="D397" s="2" t="s">
        <v>1227</v>
      </c>
      <c r="E397">
        <v>22</v>
      </c>
      <c r="F397" s="2" t="s">
        <v>1242</v>
      </c>
      <c r="G397" s="2" t="s">
        <v>1249</v>
      </c>
      <c r="H397" s="2" t="s">
        <v>1230</v>
      </c>
      <c r="I397" s="1">
        <v>43074</v>
      </c>
      <c r="J397">
        <v>2017</v>
      </c>
      <c r="K397" s="2" t="s">
        <v>2191</v>
      </c>
      <c r="L397" s="4">
        <v>112324</v>
      </c>
      <c r="M397" s="2" t="s">
        <v>1245</v>
      </c>
      <c r="N397" s="2" t="s">
        <v>1224</v>
      </c>
      <c r="O397" s="2" t="s">
        <v>32</v>
      </c>
      <c r="P397" s="3">
        <v>42297</v>
      </c>
      <c r="Q397" s="4">
        <v>151956</v>
      </c>
      <c r="R397">
        <v>463</v>
      </c>
      <c r="S397" t="str">
        <f>IF(Linked[[#This Row],[Credit Score]]&lt;=579,"Poor",IF(Linked[[#This Row],[Credit Score]]&lt;=669,"Fair",IF(Linked[[#This Row],[Credit Score]]&lt;=739,"Good",IF(Linked[[#This Row],[Credit Score]]&lt;=799,"Very Good",IF(Linked[[#This Row],[Credit Score]]&gt;=800,"Excellent")))))</f>
        <v>Poor</v>
      </c>
      <c r="T397" s="4">
        <v>0</v>
      </c>
      <c r="U397" s="2"/>
      <c r="V397" s="2"/>
    </row>
    <row r="398" spans="1:22" x14ac:dyDescent="0.25">
      <c r="A398" s="2" t="s">
        <v>399</v>
      </c>
      <c r="B398" s="2" t="s">
        <v>398</v>
      </c>
      <c r="C398" s="2" t="s">
        <v>2296</v>
      </c>
      <c r="D398" s="2" t="s">
        <v>1227</v>
      </c>
      <c r="E398">
        <v>27</v>
      </c>
      <c r="F398" s="2" t="s">
        <v>1242</v>
      </c>
      <c r="G398" s="2" t="s">
        <v>1249</v>
      </c>
      <c r="H398" s="2" t="s">
        <v>1239</v>
      </c>
      <c r="I398" s="1">
        <v>44267</v>
      </c>
      <c r="J398">
        <v>2021</v>
      </c>
      <c r="K398" s="2" t="s">
        <v>2297</v>
      </c>
      <c r="L398" s="4">
        <v>32115</v>
      </c>
      <c r="M398" s="2" t="s">
        <v>1250</v>
      </c>
      <c r="N398" s="2" t="s">
        <v>1224</v>
      </c>
      <c r="O398" s="2" t="s">
        <v>25</v>
      </c>
      <c r="P398" s="3">
        <v>42559</v>
      </c>
      <c r="Q398" s="4">
        <v>36413</v>
      </c>
      <c r="R398">
        <v>411</v>
      </c>
      <c r="S398" t="str">
        <f>IF(Linked[[#This Row],[Credit Score]]&lt;=579,"Poor",IF(Linked[[#This Row],[Credit Score]]&lt;=669,"Fair",IF(Linked[[#This Row],[Credit Score]]&lt;=739,"Good",IF(Linked[[#This Row],[Credit Score]]&lt;=799,"Very Good",IF(Linked[[#This Row],[Credit Score]]&gt;=800,"Excellent")))))</f>
        <v>Poor</v>
      </c>
      <c r="T398" s="4">
        <v>0</v>
      </c>
      <c r="U398" s="2"/>
      <c r="V398" s="2"/>
    </row>
    <row r="399" spans="1:22" x14ac:dyDescent="0.25">
      <c r="A399" s="2" t="s">
        <v>824</v>
      </c>
      <c r="B399" s="2" t="s">
        <v>823</v>
      </c>
      <c r="C399" s="2" t="s">
        <v>1717</v>
      </c>
      <c r="D399" s="2" t="s">
        <v>1227</v>
      </c>
      <c r="E399">
        <v>68</v>
      </c>
      <c r="F399" s="2" t="s">
        <v>1263</v>
      </c>
      <c r="G399" s="2" t="s">
        <v>1221</v>
      </c>
      <c r="H399" s="2" t="s">
        <v>1244</v>
      </c>
      <c r="I399" s="1">
        <v>43719</v>
      </c>
      <c r="J399">
        <v>2019</v>
      </c>
      <c r="K399" s="2" t="s">
        <v>1718</v>
      </c>
      <c r="L399" s="4">
        <v>104976</v>
      </c>
      <c r="M399" s="2" t="s">
        <v>1245</v>
      </c>
      <c r="N399" s="2" t="s">
        <v>1224</v>
      </c>
      <c r="O399" s="2" t="s">
        <v>10</v>
      </c>
      <c r="P399" s="3">
        <v>45883</v>
      </c>
      <c r="Q399" s="4">
        <v>277052</v>
      </c>
      <c r="R399">
        <v>493</v>
      </c>
      <c r="S399" t="str">
        <f>IF(Linked[[#This Row],[Credit Score]]&lt;=579,"Poor",IF(Linked[[#This Row],[Credit Score]]&lt;=669,"Fair",IF(Linked[[#This Row],[Credit Score]]&lt;=739,"Good",IF(Linked[[#This Row],[Credit Score]]&lt;=799,"Very Good",IF(Linked[[#This Row],[Credit Score]]&gt;=800,"Excellent")))))</f>
        <v>Poor</v>
      </c>
      <c r="T399" s="4">
        <v>0</v>
      </c>
      <c r="U399" s="2"/>
      <c r="V399" s="2"/>
    </row>
    <row r="400" spans="1:22" x14ac:dyDescent="0.25">
      <c r="A400" s="2" t="s">
        <v>405</v>
      </c>
      <c r="B400" s="2" t="s">
        <v>404</v>
      </c>
      <c r="C400" s="2" t="s">
        <v>1955</v>
      </c>
      <c r="D400" s="2" t="s">
        <v>1227</v>
      </c>
      <c r="E400">
        <v>25</v>
      </c>
      <c r="F400" s="2" t="s">
        <v>1242</v>
      </c>
      <c r="G400" s="2" t="s">
        <v>1229</v>
      </c>
      <c r="H400" s="2" t="s">
        <v>1222</v>
      </c>
      <c r="I400" s="1">
        <v>42830</v>
      </c>
      <c r="J400">
        <v>2017</v>
      </c>
      <c r="K400" s="2" t="s">
        <v>1956</v>
      </c>
      <c r="L400" s="4">
        <v>31653</v>
      </c>
      <c r="M400" s="2" t="s">
        <v>1250</v>
      </c>
      <c r="N400" s="2" t="s">
        <v>1224</v>
      </c>
      <c r="O400" s="2" t="s">
        <v>13</v>
      </c>
      <c r="P400" s="3">
        <v>43059</v>
      </c>
      <c r="Q400" s="4">
        <v>123130</v>
      </c>
      <c r="R400">
        <v>390</v>
      </c>
      <c r="S400" t="str">
        <f>IF(Linked[[#This Row],[Credit Score]]&lt;=579,"Poor",IF(Linked[[#This Row],[Credit Score]]&lt;=669,"Fair",IF(Linked[[#This Row],[Credit Score]]&lt;=739,"Good",IF(Linked[[#This Row],[Credit Score]]&lt;=799,"Very Good",IF(Linked[[#This Row],[Credit Score]]&gt;=800,"Excellent")))))</f>
        <v>Poor</v>
      </c>
      <c r="T400" s="4">
        <v>0</v>
      </c>
      <c r="U400" s="2" t="s">
        <v>59</v>
      </c>
      <c r="V400" s="2"/>
    </row>
    <row r="401" spans="1:22" x14ac:dyDescent="0.25">
      <c r="A401" s="2" t="s">
        <v>405</v>
      </c>
      <c r="B401" s="2" t="s">
        <v>418</v>
      </c>
      <c r="C401" s="2" t="s">
        <v>1955</v>
      </c>
      <c r="D401" s="2" t="s">
        <v>1227</v>
      </c>
      <c r="E401">
        <v>25</v>
      </c>
      <c r="F401" s="2" t="s">
        <v>1242</v>
      </c>
      <c r="G401" s="2" t="s">
        <v>1229</v>
      </c>
      <c r="H401" s="2" t="s">
        <v>1222</v>
      </c>
      <c r="I401" s="1">
        <v>42830</v>
      </c>
      <c r="J401">
        <v>2017</v>
      </c>
      <c r="K401" s="2" t="s">
        <v>1956</v>
      </c>
      <c r="L401" s="4">
        <v>31653</v>
      </c>
      <c r="M401" s="2" t="s">
        <v>1250</v>
      </c>
      <c r="N401" s="2" t="s">
        <v>1224</v>
      </c>
      <c r="O401" s="2" t="s">
        <v>10</v>
      </c>
      <c r="P401" s="3">
        <v>43399</v>
      </c>
      <c r="Q401" s="4">
        <v>423291</v>
      </c>
      <c r="R401">
        <v>502</v>
      </c>
      <c r="S401" t="str">
        <f>IF(Linked[[#This Row],[Credit Score]]&lt;=579,"Poor",IF(Linked[[#This Row],[Credit Score]]&lt;=669,"Fair",IF(Linked[[#This Row],[Credit Score]]&lt;=739,"Good",IF(Linked[[#This Row],[Credit Score]]&lt;=799,"Very Good",IF(Linked[[#This Row],[Credit Score]]&gt;=800,"Excellent")))))</f>
        <v>Poor</v>
      </c>
      <c r="T401" s="4">
        <v>0</v>
      </c>
      <c r="U401" s="2"/>
      <c r="V401" s="2"/>
    </row>
    <row r="402" spans="1:22" x14ac:dyDescent="0.25">
      <c r="A402" s="2" t="s">
        <v>640</v>
      </c>
      <c r="B402" s="2" t="s">
        <v>639</v>
      </c>
      <c r="C402" s="2" t="s">
        <v>1725</v>
      </c>
      <c r="D402" s="2" t="s">
        <v>1227</v>
      </c>
      <c r="E402">
        <v>70</v>
      </c>
      <c r="F402" s="2" t="s">
        <v>1263</v>
      </c>
      <c r="G402" s="2" t="s">
        <v>1243</v>
      </c>
      <c r="H402" s="2" t="s">
        <v>1230</v>
      </c>
      <c r="I402" s="1">
        <v>42378</v>
      </c>
      <c r="J402">
        <v>2016</v>
      </c>
      <c r="K402" s="2" t="s">
        <v>1726</v>
      </c>
      <c r="L402" s="4">
        <v>174091</v>
      </c>
      <c r="M402" s="2" t="s">
        <v>1223</v>
      </c>
      <c r="N402" s="2" t="s">
        <v>1231</v>
      </c>
      <c r="O402" s="2" t="s">
        <v>10</v>
      </c>
      <c r="P402" s="3">
        <v>43371</v>
      </c>
      <c r="Q402" s="4">
        <v>87796</v>
      </c>
      <c r="R402">
        <v>375</v>
      </c>
      <c r="S402" t="str">
        <f>IF(Linked[[#This Row],[Credit Score]]&lt;=579,"Poor",IF(Linked[[#This Row],[Credit Score]]&lt;=669,"Fair",IF(Linked[[#This Row],[Credit Score]]&lt;=739,"Good",IF(Linked[[#This Row],[Credit Score]]&lt;=799,"Very Good",IF(Linked[[#This Row],[Credit Score]]&gt;=800,"Excellent")))))</f>
        <v>Poor</v>
      </c>
      <c r="T402" s="4">
        <v>0</v>
      </c>
      <c r="U402" s="2"/>
      <c r="V402" s="2"/>
    </row>
    <row r="403" spans="1:22" x14ac:dyDescent="0.25">
      <c r="A403" s="2" t="s">
        <v>820</v>
      </c>
      <c r="B403" s="2" t="s">
        <v>819</v>
      </c>
      <c r="C403" s="2" t="s">
        <v>1730</v>
      </c>
      <c r="D403" s="2" t="s">
        <v>1227</v>
      </c>
      <c r="E403">
        <v>62</v>
      </c>
      <c r="F403" s="2" t="s">
        <v>1263</v>
      </c>
      <c r="G403" s="2" t="s">
        <v>1249</v>
      </c>
      <c r="H403" s="2" t="s">
        <v>1230</v>
      </c>
      <c r="I403" s="1">
        <v>43070</v>
      </c>
      <c r="J403">
        <v>2017</v>
      </c>
      <c r="K403" s="2" t="s">
        <v>1731</v>
      </c>
      <c r="L403" s="4">
        <v>105530</v>
      </c>
      <c r="M403" s="2" t="s">
        <v>1245</v>
      </c>
      <c r="N403" s="2" t="s">
        <v>1236</v>
      </c>
      <c r="O403" s="2" t="s">
        <v>13</v>
      </c>
      <c r="P403" s="3">
        <v>43979</v>
      </c>
      <c r="Q403" s="4">
        <v>64286</v>
      </c>
      <c r="R403">
        <v>486</v>
      </c>
      <c r="S403" t="str">
        <f>IF(Linked[[#This Row],[Credit Score]]&lt;=579,"Poor",IF(Linked[[#This Row],[Credit Score]]&lt;=669,"Fair",IF(Linked[[#This Row],[Credit Score]]&lt;=739,"Good",IF(Linked[[#This Row],[Credit Score]]&lt;=799,"Very Good",IF(Linked[[#This Row],[Credit Score]]&gt;=800,"Excellent")))))</f>
        <v>Poor</v>
      </c>
      <c r="T403" s="4">
        <v>0</v>
      </c>
      <c r="U403" s="2" t="s">
        <v>59</v>
      </c>
      <c r="V403" s="2"/>
    </row>
    <row r="404" spans="1:22" x14ac:dyDescent="0.25">
      <c r="A404" s="2" t="s">
        <v>699</v>
      </c>
      <c r="B404" s="2" t="s">
        <v>698</v>
      </c>
      <c r="C404" s="2" t="s">
        <v>1732</v>
      </c>
      <c r="D404" s="2" t="s">
        <v>1227</v>
      </c>
      <c r="E404">
        <v>28</v>
      </c>
      <c r="F404" s="2" t="s">
        <v>1242</v>
      </c>
      <c r="G404" s="2" t="s">
        <v>1249</v>
      </c>
      <c r="H404" s="2" t="s">
        <v>1235</v>
      </c>
      <c r="I404" s="1">
        <v>45387</v>
      </c>
      <c r="J404">
        <v>2024</v>
      </c>
      <c r="K404" s="2" t="s">
        <v>1733</v>
      </c>
      <c r="L404" s="4">
        <v>41563</v>
      </c>
      <c r="M404" s="2" t="s">
        <v>1250</v>
      </c>
      <c r="N404" s="2" t="s">
        <v>1224</v>
      </c>
      <c r="O404" s="2" t="s">
        <v>10</v>
      </c>
      <c r="P404" s="3">
        <v>44042</v>
      </c>
      <c r="Q404" s="4">
        <v>424671</v>
      </c>
      <c r="R404">
        <v>420</v>
      </c>
      <c r="S404" t="str">
        <f>IF(Linked[[#This Row],[Credit Score]]&lt;=579,"Poor",IF(Linked[[#This Row],[Credit Score]]&lt;=669,"Fair",IF(Linked[[#This Row],[Credit Score]]&lt;=739,"Good",IF(Linked[[#This Row],[Credit Score]]&lt;=799,"Very Good",IF(Linked[[#This Row],[Credit Score]]&gt;=800,"Excellent")))))</f>
        <v>Poor</v>
      </c>
      <c r="T404" s="4">
        <v>460229</v>
      </c>
      <c r="U404" s="2"/>
      <c r="V404" s="2"/>
    </row>
    <row r="405" spans="1:22" x14ac:dyDescent="0.25">
      <c r="A405" s="2" t="s">
        <v>516</v>
      </c>
      <c r="B405" s="2" t="s">
        <v>515</v>
      </c>
      <c r="C405" s="2" t="s">
        <v>1734</v>
      </c>
      <c r="D405" s="2" t="s">
        <v>1219</v>
      </c>
      <c r="E405">
        <v>46</v>
      </c>
      <c r="F405" s="2" t="s">
        <v>1228</v>
      </c>
      <c r="G405" s="2" t="s">
        <v>1229</v>
      </c>
      <c r="H405" s="2" t="s">
        <v>1244</v>
      </c>
      <c r="I405" s="1">
        <v>42873</v>
      </c>
      <c r="J405">
        <v>2017</v>
      </c>
      <c r="K405" s="2" t="s">
        <v>1735</v>
      </c>
      <c r="L405" s="4">
        <v>190413</v>
      </c>
      <c r="M405" s="2" t="s">
        <v>1223</v>
      </c>
      <c r="N405" s="2" t="s">
        <v>1236</v>
      </c>
      <c r="O405" s="2" t="s">
        <v>10</v>
      </c>
      <c r="P405" s="3">
        <v>44269</v>
      </c>
      <c r="Q405" s="4">
        <v>442899</v>
      </c>
      <c r="R405">
        <v>825</v>
      </c>
      <c r="S405" t="str">
        <f>IF(Linked[[#This Row],[Credit Score]]&lt;=579,"Poor",IF(Linked[[#This Row],[Credit Score]]&lt;=669,"Fair",IF(Linked[[#This Row],[Credit Score]]&lt;=739,"Good",IF(Linked[[#This Row],[Credit Score]]&lt;=799,"Very Good",IF(Linked[[#This Row],[Credit Score]]&gt;=800,"Excellent")))))</f>
        <v>Excellent</v>
      </c>
      <c r="T405" s="4">
        <v>0</v>
      </c>
      <c r="U405" s="2" t="s">
        <v>39</v>
      </c>
      <c r="V405" s="2"/>
    </row>
    <row r="406" spans="1:22" x14ac:dyDescent="0.25">
      <c r="A406" s="2" t="s">
        <v>516</v>
      </c>
      <c r="B406" s="2" t="s">
        <v>665</v>
      </c>
      <c r="C406" s="2" t="s">
        <v>1734</v>
      </c>
      <c r="D406" s="2" t="s">
        <v>1219</v>
      </c>
      <c r="E406">
        <v>46</v>
      </c>
      <c r="F406" s="2" t="s">
        <v>1228</v>
      </c>
      <c r="G406" s="2" t="s">
        <v>1229</v>
      </c>
      <c r="H406" s="2" t="s">
        <v>1244</v>
      </c>
      <c r="I406" s="1">
        <v>42873</v>
      </c>
      <c r="J406">
        <v>2017</v>
      </c>
      <c r="K406" s="2" t="s">
        <v>1735</v>
      </c>
      <c r="L406" s="4">
        <v>190413</v>
      </c>
      <c r="M406" s="2" t="s">
        <v>1223</v>
      </c>
      <c r="N406" s="2" t="s">
        <v>1236</v>
      </c>
      <c r="O406" s="2" t="s">
        <v>10</v>
      </c>
      <c r="P406" s="3">
        <v>45864</v>
      </c>
      <c r="Q406" s="4">
        <v>171244</v>
      </c>
      <c r="R406">
        <v>547</v>
      </c>
      <c r="S406" t="str">
        <f>IF(Linked[[#This Row],[Credit Score]]&lt;=579,"Poor",IF(Linked[[#This Row],[Credit Score]]&lt;=669,"Fair",IF(Linked[[#This Row],[Credit Score]]&lt;=739,"Good",IF(Linked[[#This Row],[Credit Score]]&lt;=799,"Very Good",IF(Linked[[#This Row],[Credit Score]]&gt;=800,"Excellent")))))</f>
        <v>Poor</v>
      </c>
      <c r="T406" s="4">
        <v>0</v>
      </c>
      <c r="U406" s="2"/>
      <c r="V406" s="2"/>
    </row>
    <row r="407" spans="1:22" x14ac:dyDescent="0.25">
      <c r="A407" s="2" t="s">
        <v>516</v>
      </c>
      <c r="B407" s="2" t="s">
        <v>792</v>
      </c>
      <c r="C407" s="2" t="s">
        <v>1734</v>
      </c>
      <c r="D407" s="2" t="s">
        <v>1219</v>
      </c>
      <c r="E407">
        <v>46</v>
      </c>
      <c r="F407" s="2" t="s">
        <v>1228</v>
      </c>
      <c r="G407" s="2" t="s">
        <v>1229</v>
      </c>
      <c r="H407" s="2" t="s">
        <v>1244</v>
      </c>
      <c r="I407" s="1">
        <v>42873</v>
      </c>
      <c r="J407">
        <v>2017</v>
      </c>
      <c r="K407" s="2" t="s">
        <v>1735</v>
      </c>
      <c r="L407" s="4">
        <v>190413</v>
      </c>
      <c r="M407" s="2" t="s">
        <v>1223</v>
      </c>
      <c r="N407" s="2" t="s">
        <v>1236</v>
      </c>
      <c r="O407" s="2" t="s">
        <v>13</v>
      </c>
      <c r="P407" s="3">
        <v>44039</v>
      </c>
      <c r="Q407" s="4">
        <v>78278</v>
      </c>
      <c r="R407">
        <v>687</v>
      </c>
      <c r="S407" t="str">
        <f>IF(Linked[[#This Row],[Credit Score]]&lt;=579,"Poor",IF(Linked[[#This Row],[Credit Score]]&lt;=669,"Fair",IF(Linked[[#This Row],[Credit Score]]&lt;=739,"Good",IF(Linked[[#This Row],[Credit Score]]&lt;=799,"Very Good",IF(Linked[[#This Row],[Credit Score]]&gt;=800,"Excellent")))))</f>
        <v>Good</v>
      </c>
      <c r="T407" s="4">
        <v>452421</v>
      </c>
      <c r="U407" s="2"/>
      <c r="V407" s="2"/>
    </row>
    <row r="408" spans="1:22" x14ac:dyDescent="0.25">
      <c r="A408" s="2" t="s">
        <v>473</v>
      </c>
      <c r="B408" s="2" t="s">
        <v>472</v>
      </c>
      <c r="C408" s="2" t="s">
        <v>1746</v>
      </c>
      <c r="D408" s="2" t="s">
        <v>1227</v>
      </c>
      <c r="E408">
        <v>74</v>
      </c>
      <c r="F408" s="2" t="s">
        <v>1263</v>
      </c>
      <c r="G408" s="2" t="s">
        <v>1229</v>
      </c>
      <c r="H408" s="2" t="s">
        <v>1222</v>
      </c>
      <c r="I408" s="1">
        <v>43335</v>
      </c>
      <c r="J408">
        <v>2018</v>
      </c>
      <c r="K408" s="2" t="s">
        <v>1747</v>
      </c>
      <c r="L408" s="4">
        <v>102970</v>
      </c>
      <c r="M408" s="2" t="s">
        <v>1245</v>
      </c>
      <c r="N408" s="2" t="s">
        <v>1231</v>
      </c>
      <c r="O408" s="2" t="s">
        <v>32</v>
      </c>
      <c r="P408" s="3">
        <v>45501</v>
      </c>
      <c r="Q408" s="4">
        <v>304359</v>
      </c>
      <c r="R408">
        <v>828</v>
      </c>
      <c r="S408" t="str">
        <f>IF(Linked[[#This Row],[Credit Score]]&lt;=579,"Poor",IF(Linked[[#This Row],[Credit Score]]&lt;=669,"Fair",IF(Linked[[#This Row],[Credit Score]]&lt;=739,"Good",IF(Linked[[#This Row],[Credit Score]]&lt;=799,"Very Good",IF(Linked[[#This Row],[Credit Score]]&gt;=800,"Excellent")))))</f>
        <v>Excellent</v>
      </c>
      <c r="T408" s="4">
        <v>217369</v>
      </c>
      <c r="U408" s="2" t="s">
        <v>18</v>
      </c>
      <c r="V408" s="2"/>
    </row>
    <row r="409" spans="1:22" x14ac:dyDescent="0.25">
      <c r="A409" s="2" t="s">
        <v>423</v>
      </c>
      <c r="B409" s="2" t="s">
        <v>422</v>
      </c>
      <c r="C409" s="2" t="s">
        <v>2036</v>
      </c>
      <c r="D409" s="2" t="s">
        <v>1227</v>
      </c>
      <c r="E409">
        <v>66</v>
      </c>
      <c r="F409" s="2" t="s">
        <v>1263</v>
      </c>
      <c r="G409" s="2" t="s">
        <v>1243</v>
      </c>
      <c r="H409" s="2" t="s">
        <v>1222</v>
      </c>
      <c r="I409" s="1">
        <v>43811</v>
      </c>
      <c r="J409">
        <v>2019</v>
      </c>
      <c r="K409" s="2" t="s">
        <v>2037</v>
      </c>
      <c r="L409" s="4">
        <v>131822</v>
      </c>
      <c r="M409" s="2" t="s">
        <v>1245</v>
      </c>
      <c r="N409" s="2" t="s">
        <v>1231</v>
      </c>
      <c r="O409" s="2" t="s">
        <v>25</v>
      </c>
      <c r="P409" s="3">
        <v>43354</v>
      </c>
      <c r="Q409" s="4">
        <v>495413</v>
      </c>
      <c r="R409">
        <v>536</v>
      </c>
      <c r="S409" t="str">
        <f>IF(Linked[[#This Row],[Credit Score]]&lt;=579,"Poor",IF(Linked[[#This Row],[Credit Score]]&lt;=669,"Fair",IF(Linked[[#This Row],[Credit Score]]&lt;=739,"Good",IF(Linked[[#This Row],[Credit Score]]&lt;=799,"Very Good",IF(Linked[[#This Row],[Credit Score]]&gt;=800,"Excellent")))))</f>
        <v>Poor</v>
      </c>
      <c r="T409" s="4">
        <v>0</v>
      </c>
      <c r="U409" s="2"/>
      <c r="V409" s="2"/>
    </row>
    <row r="410" spans="1:22" x14ac:dyDescent="0.25">
      <c r="A410" s="2" t="s">
        <v>425</v>
      </c>
      <c r="B410" s="2" t="s">
        <v>424</v>
      </c>
      <c r="C410" s="2" t="s">
        <v>2172</v>
      </c>
      <c r="D410" s="2" t="s">
        <v>1227</v>
      </c>
      <c r="E410">
        <v>30</v>
      </c>
      <c r="F410" s="2" t="s">
        <v>1220</v>
      </c>
      <c r="G410" s="2" t="s">
        <v>1221</v>
      </c>
      <c r="H410" s="2" t="s">
        <v>1222</v>
      </c>
      <c r="I410" s="1">
        <v>44896</v>
      </c>
      <c r="J410">
        <v>2022</v>
      </c>
      <c r="K410" s="2" t="s">
        <v>2068</v>
      </c>
      <c r="L410" s="4">
        <v>138154</v>
      </c>
      <c r="M410" s="2" t="s">
        <v>1245</v>
      </c>
      <c r="N410" s="2" t="s">
        <v>1224</v>
      </c>
      <c r="O410" s="2" t="s">
        <v>25</v>
      </c>
      <c r="P410" s="3">
        <v>45520</v>
      </c>
      <c r="Q410" s="4">
        <v>236187</v>
      </c>
      <c r="R410">
        <v>610</v>
      </c>
      <c r="S410" t="str">
        <f>IF(Linked[[#This Row],[Credit Score]]&lt;=579,"Poor",IF(Linked[[#This Row],[Credit Score]]&lt;=669,"Fair",IF(Linked[[#This Row],[Credit Score]]&lt;=739,"Good",IF(Linked[[#This Row],[Credit Score]]&lt;=799,"Very Good",IF(Linked[[#This Row],[Credit Score]]&gt;=800,"Excellent")))))</f>
        <v>Fair</v>
      </c>
      <c r="T410" s="4">
        <v>0</v>
      </c>
      <c r="U410" s="2"/>
      <c r="V410" s="2"/>
    </row>
    <row r="411" spans="1:22" x14ac:dyDescent="0.25">
      <c r="A411" s="2" t="s">
        <v>562</v>
      </c>
      <c r="B411" s="2" t="s">
        <v>561</v>
      </c>
      <c r="C411" s="2" t="s">
        <v>1760</v>
      </c>
      <c r="D411" s="2" t="s">
        <v>1227</v>
      </c>
      <c r="E411">
        <v>52</v>
      </c>
      <c r="F411" s="2" t="s">
        <v>1228</v>
      </c>
      <c r="G411" s="2" t="s">
        <v>1249</v>
      </c>
      <c r="H411" s="2" t="s">
        <v>1253</v>
      </c>
      <c r="I411" s="1">
        <v>44108</v>
      </c>
      <c r="J411">
        <v>2020</v>
      </c>
      <c r="K411" s="2" t="s">
        <v>1761</v>
      </c>
      <c r="L411" s="4">
        <v>156727</v>
      </c>
      <c r="M411" s="2" t="s">
        <v>1223</v>
      </c>
      <c r="N411" s="2" t="s">
        <v>1224</v>
      </c>
      <c r="O411" s="2" t="s">
        <v>32</v>
      </c>
      <c r="P411" s="3">
        <v>44546</v>
      </c>
      <c r="Q411" s="4">
        <v>271421</v>
      </c>
      <c r="R411">
        <v>687</v>
      </c>
      <c r="S411" t="str">
        <f>IF(Linked[[#This Row],[Credit Score]]&lt;=579,"Poor",IF(Linked[[#This Row],[Credit Score]]&lt;=669,"Fair",IF(Linked[[#This Row],[Credit Score]]&lt;=739,"Good",IF(Linked[[#This Row],[Credit Score]]&lt;=799,"Very Good",IF(Linked[[#This Row],[Credit Score]]&gt;=800,"Excellent")))))</f>
        <v>Good</v>
      </c>
      <c r="T411" s="4">
        <v>0</v>
      </c>
      <c r="U411" s="2"/>
      <c r="V411" s="2"/>
    </row>
    <row r="412" spans="1:22" x14ac:dyDescent="0.25">
      <c r="A412" s="2" t="s">
        <v>433</v>
      </c>
      <c r="B412" s="2" t="s">
        <v>432</v>
      </c>
      <c r="C412" s="2" t="s">
        <v>1984</v>
      </c>
      <c r="D412" s="2" t="s">
        <v>1227</v>
      </c>
      <c r="E412">
        <v>36</v>
      </c>
      <c r="F412" s="2" t="s">
        <v>1220</v>
      </c>
      <c r="G412" s="2" t="s">
        <v>1229</v>
      </c>
      <c r="H412" s="2" t="s">
        <v>1253</v>
      </c>
      <c r="I412" s="1">
        <v>43052</v>
      </c>
      <c r="J412">
        <v>2017</v>
      </c>
      <c r="K412" s="2" t="s">
        <v>1985</v>
      </c>
      <c r="L412" s="4">
        <v>99148</v>
      </c>
      <c r="M412" s="2" t="s">
        <v>1245</v>
      </c>
      <c r="N412" s="2" t="s">
        <v>1236</v>
      </c>
      <c r="O412" s="2" t="s">
        <v>10</v>
      </c>
      <c r="P412" s="3">
        <v>44082</v>
      </c>
      <c r="Q412" s="4">
        <v>384092</v>
      </c>
      <c r="R412">
        <v>496</v>
      </c>
      <c r="S412" t="str">
        <f>IF(Linked[[#This Row],[Credit Score]]&lt;=579,"Poor",IF(Linked[[#This Row],[Credit Score]]&lt;=669,"Fair",IF(Linked[[#This Row],[Credit Score]]&lt;=739,"Good",IF(Linked[[#This Row],[Credit Score]]&lt;=799,"Very Good",IF(Linked[[#This Row],[Credit Score]]&gt;=800,"Excellent")))))</f>
        <v>Poor</v>
      </c>
      <c r="T412" s="4">
        <v>92508</v>
      </c>
      <c r="U412" s="2"/>
      <c r="V412" s="2"/>
    </row>
    <row r="413" spans="1:22" x14ac:dyDescent="0.25">
      <c r="A413" s="2" t="s">
        <v>435</v>
      </c>
      <c r="B413" s="2" t="s">
        <v>434</v>
      </c>
      <c r="C413" s="2" t="s">
        <v>2298</v>
      </c>
      <c r="D413" s="2" t="s">
        <v>1219</v>
      </c>
      <c r="E413">
        <v>36</v>
      </c>
      <c r="F413" s="2" t="s">
        <v>1220</v>
      </c>
      <c r="G413" s="2" t="s">
        <v>1249</v>
      </c>
      <c r="H413" s="2" t="s">
        <v>1244</v>
      </c>
      <c r="I413" s="1">
        <v>44585</v>
      </c>
      <c r="J413">
        <v>2022</v>
      </c>
      <c r="K413" s="2" t="s">
        <v>2299</v>
      </c>
      <c r="L413" s="4">
        <v>59062</v>
      </c>
      <c r="M413" s="2" t="s">
        <v>1250</v>
      </c>
      <c r="N413" s="2" t="s">
        <v>1224</v>
      </c>
      <c r="O413" s="2" t="s">
        <v>10</v>
      </c>
      <c r="P413" s="3">
        <v>45391</v>
      </c>
      <c r="Q413" s="4">
        <v>426488</v>
      </c>
      <c r="R413">
        <v>813</v>
      </c>
      <c r="S413" t="str">
        <f>IF(Linked[[#This Row],[Credit Score]]&lt;=579,"Poor",IF(Linked[[#This Row],[Credit Score]]&lt;=669,"Fair",IF(Linked[[#This Row],[Credit Score]]&lt;=739,"Good",IF(Linked[[#This Row],[Credit Score]]&lt;=799,"Very Good",IF(Linked[[#This Row],[Credit Score]]&gt;=800,"Excellent")))))</f>
        <v>Excellent</v>
      </c>
      <c r="T413" s="4">
        <v>0</v>
      </c>
      <c r="U413" s="2"/>
      <c r="V413" s="2"/>
    </row>
    <row r="414" spans="1:22" x14ac:dyDescent="0.25">
      <c r="A414" s="2" t="s">
        <v>437</v>
      </c>
      <c r="B414" s="2" t="s">
        <v>436</v>
      </c>
      <c r="C414" s="2" t="s">
        <v>2151</v>
      </c>
      <c r="D414" s="2" t="s">
        <v>1219</v>
      </c>
      <c r="E414">
        <v>45</v>
      </c>
      <c r="F414" s="2" t="s">
        <v>1228</v>
      </c>
      <c r="G414" s="2" t="s">
        <v>1249</v>
      </c>
      <c r="H414" s="2" t="s">
        <v>1222</v>
      </c>
      <c r="I414" s="1">
        <v>44111</v>
      </c>
      <c r="J414">
        <v>2020</v>
      </c>
      <c r="K414" s="2" t="s">
        <v>2152</v>
      </c>
      <c r="L414" s="4">
        <v>121520</v>
      </c>
      <c r="M414" s="2" t="s">
        <v>1245</v>
      </c>
      <c r="N414" s="2" t="s">
        <v>1231</v>
      </c>
      <c r="O414" s="2" t="s">
        <v>13</v>
      </c>
      <c r="P414" s="3">
        <v>44259</v>
      </c>
      <c r="Q414" s="4">
        <v>108117</v>
      </c>
      <c r="R414">
        <v>748</v>
      </c>
      <c r="S414" t="str">
        <f>IF(Linked[[#This Row],[Credit Score]]&lt;=579,"Poor",IF(Linked[[#This Row],[Credit Score]]&lt;=669,"Fair",IF(Linked[[#This Row],[Credit Score]]&lt;=739,"Good",IF(Linked[[#This Row],[Credit Score]]&lt;=799,"Very Good",IF(Linked[[#This Row],[Credit Score]]&gt;=800,"Excellent")))))</f>
        <v>Very Good</v>
      </c>
      <c r="T414" s="4">
        <v>0</v>
      </c>
      <c r="U414" s="2"/>
      <c r="V414" s="2"/>
    </row>
    <row r="415" spans="1:22" x14ac:dyDescent="0.25">
      <c r="A415" s="2" t="s">
        <v>437</v>
      </c>
      <c r="B415" s="2" t="s">
        <v>762</v>
      </c>
      <c r="C415" s="2" t="s">
        <v>2151</v>
      </c>
      <c r="D415" s="2" t="s">
        <v>1219</v>
      </c>
      <c r="E415">
        <v>45</v>
      </c>
      <c r="F415" s="2" t="s">
        <v>1228</v>
      </c>
      <c r="G415" s="2" t="s">
        <v>1249</v>
      </c>
      <c r="H415" s="2" t="s">
        <v>1222</v>
      </c>
      <c r="I415" s="1">
        <v>44111</v>
      </c>
      <c r="J415">
        <v>2020</v>
      </c>
      <c r="K415" s="2" t="s">
        <v>2152</v>
      </c>
      <c r="L415" s="4">
        <v>121520</v>
      </c>
      <c r="M415" s="2" t="s">
        <v>1245</v>
      </c>
      <c r="N415" s="2" t="s">
        <v>1231</v>
      </c>
      <c r="O415" s="2" t="s">
        <v>25</v>
      </c>
      <c r="P415" s="3">
        <v>44316</v>
      </c>
      <c r="Q415" s="4">
        <v>3748</v>
      </c>
      <c r="R415">
        <v>464</v>
      </c>
      <c r="S415" t="str">
        <f>IF(Linked[[#This Row],[Credit Score]]&lt;=579,"Poor",IF(Linked[[#This Row],[Credit Score]]&lt;=669,"Fair",IF(Linked[[#This Row],[Credit Score]]&lt;=739,"Good",IF(Linked[[#This Row],[Credit Score]]&lt;=799,"Very Good",IF(Linked[[#This Row],[Credit Score]]&gt;=800,"Excellent")))))</f>
        <v>Poor</v>
      </c>
      <c r="T415" s="4">
        <v>0</v>
      </c>
      <c r="U415" s="2" t="s">
        <v>18</v>
      </c>
      <c r="V415" s="2"/>
    </row>
    <row r="416" spans="1:22" x14ac:dyDescent="0.25">
      <c r="A416" s="2" t="s">
        <v>439</v>
      </c>
      <c r="B416" s="2" t="s">
        <v>438</v>
      </c>
      <c r="C416" s="2" t="s">
        <v>1880</v>
      </c>
      <c r="D416" s="2" t="s">
        <v>1227</v>
      </c>
      <c r="E416">
        <v>74</v>
      </c>
      <c r="F416" s="2" t="s">
        <v>1263</v>
      </c>
      <c r="G416" s="2" t="s">
        <v>1243</v>
      </c>
      <c r="H416" s="2" t="s">
        <v>1230</v>
      </c>
      <c r="I416" s="1">
        <v>43335</v>
      </c>
      <c r="J416">
        <v>2018</v>
      </c>
      <c r="K416" s="2" t="s">
        <v>1747</v>
      </c>
      <c r="L416" s="4">
        <v>196076</v>
      </c>
      <c r="M416" s="2" t="s">
        <v>1223</v>
      </c>
      <c r="N416" s="2" t="s">
        <v>1231</v>
      </c>
      <c r="O416" s="2" t="s">
        <v>13</v>
      </c>
      <c r="P416" s="3">
        <v>42575</v>
      </c>
      <c r="Q416" s="4">
        <v>276815</v>
      </c>
      <c r="R416">
        <v>659</v>
      </c>
      <c r="S416" t="str">
        <f>IF(Linked[[#This Row],[Credit Score]]&lt;=579,"Poor",IF(Linked[[#This Row],[Credit Score]]&lt;=669,"Fair",IF(Linked[[#This Row],[Credit Score]]&lt;=739,"Good",IF(Linked[[#This Row],[Credit Score]]&lt;=799,"Very Good",IF(Linked[[#This Row],[Credit Score]]&gt;=800,"Excellent")))))</f>
        <v>Fair</v>
      </c>
      <c r="T416" s="4">
        <v>0</v>
      </c>
      <c r="U416" s="2"/>
      <c r="V416" s="2"/>
    </row>
    <row r="417" spans="1:22" x14ac:dyDescent="0.25">
      <c r="A417" s="2" t="s">
        <v>439</v>
      </c>
      <c r="B417" s="2" t="s">
        <v>788</v>
      </c>
      <c r="C417" s="2" t="s">
        <v>1880</v>
      </c>
      <c r="D417" s="2" t="s">
        <v>1227</v>
      </c>
      <c r="E417">
        <v>74</v>
      </c>
      <c r="F417" s="2" t="s">
        <v>1263</v>
      </c>
      <c r="G417" s="2" t="s">
        <v>1243</v>
      </c>
      <c r="H417" s="2" t="s">
        <v>1230</v>
      </c>
      <c r="I417" s="1">
        <v>43335</v>
      </c>
      <c r="J417">
        <v>2018</v>
      </c>
      <c r="K417" s="2" t="s">
        <v>1747</v>
      </c>
      <c r="L417" s="4">
        <v>196076</v>
      </c>
      <c r="M417" s="2" t="s">
        <v>1223</v>
      </c>
      <c r="N417" s="2" t="s">
        <v>1231</v>
      </c>
      <c r="O417" s="2" t="s">
        <v>10</v>
      </c>
      <c r="P417" s="3">
        <v>45637</v>
      </c>
      <c r="Q417" s="4">
        <v>175607</v>
      </c>
      <c r="R417">
        <v>740</v>
      </c>
      <c r="S417" t="str">
        <f>IF(Linked[[#This Row],[Credit Score]]&lt;=579,"Poor",IF(Linked[[#This Row],[Credit Score]]&lt;=669,"Fair",IF(Linked[[#This Row],[Credit Score]]&lt;=739,"Good",IF(Linked[[#This Row],[Credit Score]]&lt;=799,"Very Good",IF(Linked[[#This Row],[Credit Score]]&gt;=800,"Excellent")))))</f>
        <v>Very Good</v>
      </c>
      <c r="T417" s="4">
        <v>464822</v>
      </c>
      <c r="U417" s="2" t="s">
        <v>39</v>
      </c>
      <c r="V417" s="2"/>
    </row>
    <row r="418" spans="1:22" x14ac:dyDescent="0.25">
      <c r="A418" s="2" t="s">
        <v>441</v>
      </c>
      <c r="B418" s="2" t="s">
        <v>440</v>
      </c>
      <c r="C418" s="2" t="s">
        <v>2190</v>
      </c>
      <c r="D418" s="2" t="s">
        <v>1227</v>
      </c>
      <c r="E418">
        <v>68</v>
      </c>
      <c r="F418" s="2" t="s">
        <v>1263</v>
      </c>
      <c r="G418" s="2" t="s">
        <v>1221</v>
      </c>
      <c r="H418" s="2" t="s">
        <v>1253</v>
      </c>
      <c r="I418" s="1">
        <v>43074</v>
      </c>
      <c r="J418">
        <v>2017</v>
      </c>
      <c r="K418" s="2" t="s">
        <v>2191</v>
      </c>
      <c r="L418" s="4">
        <v>193312</v>
      </c>
      <c r="M418" s="2" t="s">
        <v>1223</v>
      </c>
      <c r="N418" s="2" t="s">
        <v>1231</v>
      </c>
      <c r="O418" s="2" t="s">
        <v>13</v>
      </c>
      <c r="P418" s="3">
        <v>43055</v>
      </c>
      <c r="Q418" s="4">
        <v>289192</v>
      </c>
      <c r="R418">
        <v>329</v>
      </c>
      <c r="S418" t="str">
        <f>IF(Linked[[#This Row],[Credit Score]]&lt;=579,"Poor",IF(Linked[[#This Row],[Credit Score]]&lt;=669,"Fair",IF(Linked[[#This Row],[Credit Score]]&lt;=739,"Good",IF(Linked[[#This Row],[Credit Score]]&lt;=799,"Very Good",IF(Linked[[#This Row],[Credit Score]]&gt;=800,"Excellent")))))</f>
        <v>Poor</v>
      </c>
      <c r="T418" s="4">
        <v>0</v>
      </c>
      <c r="U418" s="2"/>
      <c r="V418" s="2"/>
    </row>
    <row r="419" spans="1:22" x14ac:dyDescent="0.25">
      <c r="A419" s="2" t="s">
        <v>449</v>
      </c>
      <c r="B419" s="2" t="s">
        <v>448</v>
      </c>
      <c r="C419" s="2" t="s">
        <v>1771</v>
      </c>
      <c r="D419" s="2" t="s">
        <v>1227</v>
      </c>
      <c r="E419">
        <v>35</v>
      </c>
      <c r="F419" s="2" t="s">
        <v>1220</v>
      </c>
      <c r="G419" s="2" t="s">
        <v>1229</v>
      </c>
      <c r="H419" s="2" t="s">
        <v>1253</v>
      </c>
      <c r="I419" s="1">
        <v>43688</v>
      </c>
      <c r="J419">
        <v>2019</v>
      </c>
      <c r="K419" s="2" t="s">
        <v>1772</v>
      </c>
      <c r="L419" s="4">
        <v>20526</v>
      </c>
      <c r="M419" s="2" t="s">
        <v>1250</v>
      </c>
      <c r="N419" s="2" t="s">
        <v>1224</v>
      </c>
      <c r="O419" s="2" t="s">
        <v>10</v>
      </c>
      <c r="P419" s="3">
        <v>43567</v>
      </c>
      <c r="Q419" s="4">
        <v>233192</v>
      </c>
      <c r="R419">
        <v>794</v>
      </c>
      <c r="S419" t="str">
        <f>IF(Linked[[#This Row],[Credit Score]]&lt;=579,"Poor",IF(Linked[[#This Row],[Credit Score]]&lt;=669,"Fair",IF(Linked[[#This Row],[Credit Score]]&lt;=739,"Good",IF(Linked[[#This Row],[Credit Score]]&lt;=799,"Very Good",IF(Linked[[#This Row],[Credit Score]]&gt;=800,"Excellent")))))</f>
        <v>Very Good</v>
      </c>
      <c r="T419" s="4">
        <v>0</v>
      </c>
      <c r="U419" s="2"/>
      <c r="V419" s="2"/>
    </row>
    <row r="420" spans="1:22" x14ac:dyDescent="0.25">
      <c r="A420" s="2" t="s">
        <v>608</v>
      </c>
      <c r="B420" s="2" t="s">
        <v>607</v>
      </c>
      <c r="C420" s="2" t="s">
        <v>1778</v>
      </c>
      <c r="D420" s="2" t="s">
        <v>1227</v>
      </c>
      <c r="E420">
        <v>49</v>
      </c>
      <c r="F420" s="2" t="s">
        <v>1228</v>
      </c>
      <c r="G420" s="2" t="s">
        <v>1221</v>
      </c>
      <c r="H420" s="2" t="s">
        <v>1244</v>
      </c>
      <c r="I420" s="1">
        <v>43113</v>
      </c>
      <c r="J420">
        <v>2018</v>
      </c>
      <c r="K420" s="2" t="s">
        <v>1779</v>
      </c>
      <c r="L420" s="4">
        <v>31536</v>
      </c>
      <c r="M420" s="2" t="s">
        <v>1250</v>
      </c>
      <c r="N420" s="2" t="s">
        <v>1231</v>
      </c>
      <c r="O420" s="2" t="s">
        <v>13</v>
      </c>
      <c r="P420" s="3">
        <v>43973</v>
      </c>
      <c r="Q420" s="4">
        <v>100922</v>
      </c>
      <c r="R420">
        <v>501</v>
      </c>
      <c r="S420" t="str">
        <f>IF(Linked[[#This Row],[Credit Score]]&lt;=579,"Poor",IF(Linked[[#This Row],[Credit Score]]&lt;=669,"Fair",IF(Linked[[#This Row],[Credit Score]]&lt;=739,"Good",IF(Linked[[#This Row],[Credit Score]]&lt;=799,"Very Good",IF(Linked[[#This Row],[Credit Score]]&gt;=800,"Excellent")))))</f>
        <v>Poor</v>
      </c>
      <c r="T420" s="4">
        <v>0</v>
      </c>
      <c r="U420" s="2"/>
      <c r="V420" s="2"/>
    </row>
    <row r="421" spans="1:22" x14ac:dyDescent="0.25">
      <c r="A421" s="2" t="s">
        <v>643</v>
      </c>
      <c r="B421" s="2" t="s">
        <v>642</v>
      </c>
      <c r="C421" s="2" t="s">
        <v>1780</v>
      </c>
      <c r="D421" s="2" t="s">
        <v>1219</v>
      </c>
      <c r="E421">
        <v>41</v>
      </c>
      <c r="F421" s="2" t="s">
        <v>1220</v>
      </c>
      <c r="G421" s="2" t="s">
        <v>1221</v>
      </c>
      <c r="H421" s="2" t="s">
        <v>1244</v>
      </c>
      <c r="I421" s="1">
        <v>44257</v>
      </c>
      <c r="J421">
        <v>2021</v>
      </c>
      <c r="K421" s="2" t="s">
        <v>1597</v>
      </c>
      <c r="L421" s="4">
        <v>48541</v>
      </c>
      <c r="M421" s="2" t="s">
        <v>1250</v>
      </c>
      <c r="N421" s="2" t="s">
        <v>1224</v>
      </c>
      <c r="O421" s="2" t="s">
        <v>10</v>
      </c>
      <c r="P421" s="3">
        <v>43851</v>
      </c>
      <c r="Q421" s="4">
        <v>380477</v>
      </c>
      <c r="R421">
        <v>524</v>
      </c>
      <c r="S421" t="str">
        <f>IF(Linked[[#This Row],[Credit Score]]&lt;=579,"Poor",IF(Linked[[#This Row],[Credit Score]]&lt;=669,"Fair",IF(Linked[[#This Row],[Credit Score]]&lt;=739,"Good",IF(Linked[[#This Row],[Credit Score]]&lt;=799,"Very Good",IF(Linked[[#This Row],[Credit Score]]&gt;=800,"Excellent")))))</f>
        <v>Poor</v>
      </c>
      <c r="T421" s="4">
        <v>0</v>
      </c>
      <c r="U421" s="2"/>
      <c r="V421" s="2"/>
    </row>
    <row r="422" spans="1:22" x14ac:dyDescent="0.25">
      <c r="A422" s="2" t="s">
        <v>643</v>
      </c>
      <c r="B422" s="2" t="s">
        <v>775</v>
      </c>
      <c r="C422" s="2" t="s">
        <v>1780</v>
      </c>
      <c r="D422" s="2" t="s">
        <v>1219</v>
      </c>
      <c r="E422">
        <v>41</v>
      </c>
      <c r="F422" s="2" t="s">
        <v>1220</v>
      </c>
      <c r="G422" s="2" t="s">
        <v>1221</v>
      </c>
      <c r="H422" s="2" t="s">
        <v>1244</v>
      </c>
      <c r="I422" s="1">
        <v>44257</v>
      </c>
      <c r="J422">
        <v>2021</v>
      </c>
      <c r="K422" s="2" t="s">
        <v>1597</v>
      </c>
      <c r="L422" s="4">
        <v>48541</v>
      </c>
      <c r="M422" s="2" t="s">
        <v>1250</v>
      </c>
      <c r="N422" s="2" t="s">
        <v>1224</v>
      </c>
      <c r="O422" s="2" t="s">
        <v>10</v>
      </c>
      <c r="P422" s="3">
        <v>44612</v>
      </c>
      <c r="Q422" s="4">
        <v>167031</v>
      </c>
      <c r="R422">
        <v>333</v>
      </c>
      <c r="S422" t="str">
        <f>IF(Linked[[#This Row],[Credit Score]]&lt;=579,"Poor",IF(Linked[[#This Row],[Credit Score]]&lt;=669,"Fair",IF(Linked[[#This Row],[Credit Score]]&lt;=739,"Good",IF(Linked[[#This Row],[Credit Score]]&lt;=799,"Very Good",IF(Linked[[#This Row],[Credit Score]]&gt;=800,"Excellent")))))</f>
        <v>Poor</v>
      </c>
      <c r="T422" s="4">
        <v>0</v>
      </c>
      <c r="U422" s="2"/>
      <c r="V422" s="2"/>
    </row>
    <row r="423" spans="1:22" x14ac:dyDescent="0.25">
      <c r="A423" s="2" t="s">
        <v>453</v>
      </c>
      <c r="B423" s="2" t="s">
        <v>452</v>
      </c>
      <c r="C423" s="2" t="s">
        <v>2199</v>
      </c>
      <c r="D423" s="2" t="s">
        <v>1227</v>
      </c>
      <c r="E423">
        <v>19</v>
      </c>
      <c r="F423" s="2" t="s">
        <v>1242</v>
      </c>
      <c r="G423" s="2" t="s">
        <v>1229</v>
      </c>
      <c r="H423" s="2" t="s">
        <v>1253</v>
      </c>
      <c r="I423" s="1">
        <v>44493</v>
      </c>
      <c r="J423">
        <v>2021</v>
      </c>
      <c r="K423" s="2" t="s">
        <v>2200</v>
      </c>
      <c r="L423" s="4">
        <v>128856</v>
      </c>
      <c r="M423" s="2" t="s">
        <v>1245</v>
      </c>
      <c r="N423" s="2" t="s">
        <v>1224</v>
      </c>
      <c r="O423" s="2" t="s">
        <v>25</v>
      </c>
      <c r="P423" s="3">
        <v>44736</v>
      </c>
      <c r="Q423" s="4">
        <v>273820</v>
      </c>
      <c r="R423">
        <v>738</v>
      </c>
      <c r="S423" t="str">
        <f>IF(Linked[[#This Row],[Credit Score]]&lt;=579,"Poor",IF(Linked[[#This Row],[Credit Score]]&lt;=669,"Fair",IF(Linked[[#This Row],[Credit Score]]&lt;=739,"Good",IF(Linked[[#This Row],[Credit Score]]&lt;=799,"Very Good",IF(Linked[[#This Row],[Credit Score]]&gt;=800,"Excellent")))))</f>
        <v>Good</v>
      </c>
      <c r="T423" s="4">
        <v>0</v>
      </c>
      <c r="U423" s="2"/>
      <c r="V423" s="2"/>
    </row>
    <row r="424" spans="1:22" x14ac:dyDescent="0.25">
      <c r="A424" s="2" t="s">
        <v>811</v>
      </c>
      <c r="B424" s="2" t="s">
        <v>810</v>
      </c>
      <c r="C424" s="2" t="s">
        <v>1789</v>
      </c>
      <c r="D424" s="2" t="s">
        <v>1219</v>
      </c>
      <c r="E424">
        <v>66</v>
      </c>
      <c r="F424" s="2" t="s">
        <v>1263</v>
      </c>
      <c r="G424" s="2" t="s">
        <v>1249</v>
      </c>
      <c r="H424" s="2" t="s">
        <v>1235</v>
      </c>
      <c r="I424" s="1">
        <v>45078</v>
      </c>
      <c r="J424">
        <v>2023</v>
      </c>
      <c r="K424" s="2" t="s">
        <v>1790</v>
      </c>
      <c r="L424" s="4">
        <v>85455</v>
      </c>
      <c r="M424" s="2" t="s">
        <v>1245</v>
      </c>
      <c r="N424" s="2" t="s">
        <v>1231</v>
      </c>
      <c r="O424" s="2" t="s">
        <v>10</v>
      </c>
      <c r="P424" s="3">
        <v>43590</v>
      </c>
      <c r="Q424" s="4">
        <v>489498</v>
      </c>
      <c r="R424">
        <v>488</v>
      </c>
      <c r="S424" t="str">
        <f>IF(Linked[[#This Row],[Credit Score]]&lt;=579,"Poor",IF(Linked[[#This Row],[Credit Score]]&lt;=669,"Fair",IF(Linked[[#This Row],[Credit Score]]&lt;=739,"Good",IF(Linked[[#This Row],[Credit Score]]&lt;=799,"Very Good",IF(Linked[[#This Row],[Credit Score]]&gt;=800,"Excellent")))))</f>
        <v>Poor</v>
      </c>
      <c r="T424" s="4">
        <v>0</v>
      </c>
      <c r="U424" s="2" t="s">
        <v>18</v>
      </c>
      <c r="V424" s="2"/>
    </row>
    <row r="425" spans="1:22" x14ac:dyDescent="0.25">
      <c r="A425" s="2" t="s">
        <v>458</v>
      </c>
      <c r="B425" s="2" t="s">
        <v>457</v>
      </c>
      <c r="C425" s="2" t="s">
        <v>1841</v>
      </c>
      <c r="D425" s="2" t="s">
        <v>1219</v>
      </c>
      <c r="E425">
        <v>31</v>
      </c>
      <c r="F425" s="2" t="s">
        <v>1220</v>
      </c>
      <c r="G425" s="2" t="s">
        <v>1243</v>
      </c>
      <c r="H425" s="2" t="s">
        <v>1239</v>
      </c>
      <c r="I425" s="1">
        <v>43083</v>
      </c>
      <c r="J425">
        <v>2017</v>
      </c>
      <c r="K425" s="2" t="s">
        <v>1842</v>
      </c>
      <c r="L425" s="4">
        <v>89298</v>
      </c>
      <c r="M425" s="2" t="s">
        <v>1245</v>
      </c>
      <c r="N425" s="2" t="s">
        <v>1224</v>
      </c>
      <c r="O425" s="2" t="s">
        <v>10</v>
      </c>
      <c r="P425" s="3">
        <v>45233</v>
      </c>
      <c r="Q425" s="4">
        <v>496577</v>
      </c>
      <c r="R425">
        <v>684</v>
      </c>
      <c r="S425" t="str">
        <f>IF(Linked[[#This Row],[Credit Score]]&lt;=579,"Poor",IF(Linked[[#This Row],[Credit Score]]&lt;=669,"Fair",IF(Linked[[#This Row],[Credit Score]]&lt;=739,"Good",IF(Linked[[#This Row],[Credit Score]]&lt;=799,"Very Good",IF(Linked[[#This Row],[Credit Score]]&gt;=800,"Excellent")))))</f>
        <v>Good</v>
      </c>
      <c r="T425" s="4">
        <v>185388</v>
      </c>
      <c r="U425" s="2"/>
      <c r="V425" s="2"/>
    </row>
    <row r="426" spans="1:22" x14ac:dyDescent="0.25">
      <c r="A426" s="2" t="s">
        <v>458</v>
      </c>
      <c r="B426" s="2" t="s">
        <v>711</v>
      </c>
      <c r="C426" s="2" t="s">
        <v>1841</v>
      </c>
      <c r="D426" s="2" t="s">
        <v>1219</v>
      </c>
      <c r="E426">
        <v>31</v>
      </c>
      <c r="F426" s="2" t="s">
        <v>1220</v>
      </c>
      <c r="G426" s="2" t="s">
        <v>1243</v>
      </c>
      <c r="H426" s="2" t="s">
        <v>1239</v>
      </c>
      <c r="I426" s="1">
        <v>43083</v>
      </c>
      <c r="J426">
        <v>2017</v>
      </c>
      <c r="K426" s="2" t="s">
        <v>1842</v>
      </c>
      <c r="L426" s="4">
        <v>89298</v>
      </c>
      <c r="M426" s="2" t="s">
        <v>1245</v>
      </c>
      <c r="N426" s="2" t="s">
        <v>1224</v>
      </c>
      <c r="O426" s="2" t="s">
        <v>10</v>
      </c>
      <c r="P426" s="3">
        <v>42894</v>
      </c>
      <c r="Q426" s="4">
        <v>445093</v>
      </c>
      <c r="R426">
        <v>663</v>
      </c>
      <c r="S426" t="str">
        <f>IF(Linked[[#This Row],[Credit Score]]&lt;=579,"Poor",IF(Linked[[#This Row],[Credit Score]]&lt;=669,"Fair",IF(Linked[[#This Row],[Credit Score]]&lt;=739,"Good",IF(Linked[[#This Row],[Credit Score]]&lt;=799,"Very Good",IF(Linked[[#This Row],[Credit Score]]&gt;=800,"Excellent")))))</f>
        <v>Fair</v>
      </c>
      <c r="T426" s="4">
        <v>0</v>
      </c>
      <c r="U426" s="2"/>
      <c r="V426" s="2"/>
    </row>
    <row r="427" spans="1:22" x14ac:dyDescent="0.25">
      <c r="A427" s="2" t="s">
        <v>467</v>
      </c>
      <c r="B427" s="2" t="s">
        <v>466</v>
      </c>
      <c r="C427" s="2" t="s">
        <v>2044</v>
      </c>
      <c r="D427" s="2" t="s">
        <v>1227</v>
      </c>
      <c r="E427">
        <v>55</v>
      </c>
      <c r="F427" s="2" t="s">
        <v>1228</v>
      </c>
      <c r="G427" s="2" t="s">
        <v>1243</v>
      </c>
      <c r="H427" s="2" t="s">
        <v>1235</v>
      </c>
      <c r="I427" s="1">
        <v>44745</v>
      </c>
      <c r="J427">
        <v>2022</v>
      </c>
      <c r="K427" s="2" t="s">
        <v>1295</v>
      </c>
      <c r="L427" s="4">
        <v>152028</v>
      </c>
      <c r="M427" s="2" t="s">
        <v>1223</v>
      </c>
      <c r="N427" s="2" t="s">
        <v>1224</v>
      </c>
      <c r="O427" s="2" t="s">
        <v>25</v>
      </c>
      <c r="P427" s="3">
        <v>42661</v>
      </c>
      <c r="Q427" s="4">
        <v>69300</v>
      </c>
      <c r="R427">
        <v>508</v>
      </c>
      <c r="S427" t="str">
        <f>IF(Linked[[#This Row],[Credit Score]]&lt;=579,"Poor",IF(Linked[[#This Row],[Credit Score]]&lt;=669,"Fair",IF(Linked[[#This Row],[Credit Score]]&lt;=739,"Good",IF(Linked[[#This Row],[Credit Score]]&lt;=799,"Very Good",IF(Linked[[#This Row],[Credit Score]]&gt;=800,"Excellent")))))</f>
        <v>Poor</v>
      </c>
      <c r="T427" s="4">
        <v>0</v>
      </c>
      <c r="U427" s="2"/>
      <c r="V427" s="2"/>
    </row>
    <row r="428" spans="1:22" x14ac:dyDescent="0.25">
      <c r="A428" s="2" t="s">
        <v>467</v>
      </c>
      <c r="B428" s="2" t="s">
        <v>673</v>
      </c>
      <c r="C428" s="2" t="s">
        <v>2044</v>
      </c>
      <c r="D428" s="2" t="s">
        <v>1227</v>
      </c>
      <c r="E428">
        <v>55</v>
      </c>
      <c r="F428" s="2" t="s">
        <v>1228</v>
      </c>
      <c r="G428" s="2" t="s">
        <v>1243</v>
      </c>
      <c r="H428" s="2" t="s">
        <v>1235</v>
      </c>
      <c r="I428" s="1">
        <v>44745</v>
      </c>
      <c r="J428">
        <v>2022</v>
      </c>
      <c r="K428" s="2" t="s">
        <v>1295</v>
      </c>
      <c r="L428" s="4">
        <v>152028</v>
      </c>
      <c r="M428" s="2" t="s">
        <v>1223</v>
      </c>
      <c r="N428" s="2" t="s">
        <v>1224</v>
      </c>
      <c r="O428" s="2" t="s">
        <v>13</v>
      </c>
      <c r="P428" s="3">
        <v>43996</v>
      </c>
      <c r="Q428" s="4">
        <v>6859</v>
      </c>
      <c r="R428">
        <v>793</v>
      </c>
      <c r="S428" t="str">
        <f>IF(Linked[[#This Row],[Credit Score]]&lt;=579,"Poor",IF(Linked[[#This Row],[Credit Score]]&lt;=669,"Fair",IF(Linked[[#This Row],[Credit Score]]&lt;=739,"Good",IF(Linked[[#This Row],[Credit Score]]&lt;=799,"Very Good",IF(Linked[[#This Row],[Credit Score]]&gt;=800,"Excellent")))))</f>
        <v>Very Good</v>
      </c>
      <c r="T428" s="4">
        <v>0</v>
      </c>
      <c r="U428" s="2"/>
      <c r="V428" s="2"/>
    </row>
    <row r="429" spans="1:22" x14ac:dyDescent="0.25">
      <c r="A429" s="2" t="s">
        <v>518</v>
      </c>
      <c r="B429" s="2" t="s">
        <v>517</v>
      </c>
      <c r="C429" s="2" t="s">
        <v>1810</v>
      </c>
      <c r="D429" s="2" t="s">
        <v>1227</v>
      </c>
      <c r="E429">
        <v>37</v>
      </c>
      <c r="F429" s="2" t="s">
        <v>1220</v>
      </c>
      <c r="G429" s="2" t="s">
        <v>1229</v>
      </c>
      <c r="H429" s="2" t="s">
        <v>1235</v>
      </c>
      <c r="I429" s="1">
        <v>45516</v>
      </c>
      <c r="J429">
        <v>2024</v>
      </c>
      <c r="K429" s="2" t="s">
        <v>1811</v>
      </c>
      <c r="L429" s="4">
        <v>177661</v>
      </c>
      <c r="M429" s="2" t="s">
        <v>1223</v>
      </c>
      <c r="N429" s="2" t="s">
        <v>1224</v>
      </c>
      <c r="O429" s="2" t="s">
        <v>32</v>
      </c>
      <c r="P429" s="3">
        <v>45436</v>
      </c>
      <c r="Q429" s="4">
        <v>481215</v>
      </c>
      <c r="R429">
        <v>761</v>
      </c>
      <c r="S429" t="str">
        <f>IF(Linked[[#This Row],[Credit Score]]&lt;=579,"Poor",IF(Linked[[#This Row],[Credit Score]]&lt;=669,"Fair",IF(Linked[[#This Row],[Credit Score]]&lt;=739,"Good",IF(Linked[[#This Row],[Credit Score]]&lt;=799,"Very Good",IF(Linked[[#This Row],[Credit Score]]&gt;=800,"Excellent")))))</f>
        <v>Very Good</v>
      </c>
      <c r="T429" s="4">
        <v>0</v>
      </c>
      <c r="U429" s="2" t="s">
        <v>59</v>
      </c>
      <c r="V429" s="2"/>
    </row>
    <row r="430" spans="1:22" x14ac:dyDescent="0.25">
      <c r="A430" s="2" t="s">
        <v>575</v>
      </c>
      <c r="B430" s="2" t="s">
        <v>574</v>
      </c>
      <c r="C430" s="2" t="s">
        <v>1812</v>
      </c>
      <c r="D430" s="2" t="s">
        <v>1219</v>
      </c>
      <c r="E430">
        <v>65</v>
      </c>
      <c r="F430" s="2" t="s">
        <v>1263</v>
      </c>
      <c r="G430" s="2" t="s">
        <v>1243</v>
      </c>
      <c r="H430" s="2" t="s">
        <v>1230</v>
      </c>
      <c r="I430" s="1">
        <v>43829</v>
      </c>
      <c r="J430">
        <v>2019</v>
      </c>
      <c r="K430" s="2" t="s">
        <v>1813</v>
      </c>
      <c r="L430" s="4">
        <v>181087</v>
      </c>
      <c r="M430" s="2" t="s">
        <v>1223</v>
      </c>
      <c r="N430" s="2" t="s">
        <v>1236</v>
      </c>
      <c r="O430" s="2" t="s">
        <v>13</v>
      </c>
      <c r="P430" s="3">
        <v>43225</v>
      </c>
      <c r="Q430" s="4">
        <v>175607</v>
      </c>
      <c r="R430">
        <v>500</v>
      </c>
      <c r="S430" t="str">
        <f>IF(Linked[[#This Row],[Credit Score]]&lt;=579,"Poor",IF(Linked[[#This Row],[Credit Score]]&lt;=669,"Fair",IF(Linked[[#This Row],[Credit Score]]&lt;=739,"Good",IF(Linked[[#This Row],[Credit Score]]&lt;=799,"Very Good",IF(Linked[[#This Row],[Credit Score]]&gt;=800,"Excellent")))))</f>
        <v>Poor</v>
      </c>
      <c r="T430" s="4">
        <v>0</v>
      </c>
      <c r="U430" s="2"/>
      <c r="V430" s="2"/>
    </row>
    <row r="431" spans="1:22" x14ac:dyDescent="0.25">
      <c r="A431" s="2" t="s">
        <v>672</v>
      </c>
      <c r="B431" s="2" t="s">
        <v>671</v>
      </c>
      <c r="C431" s="2" t="s">
        <v>1816</v>
      </c>
      <c r="D431" s="2" t="s">
        <v>1219</v>
      </c>
      <c r="E431">
        <v>39</v>
      </c>
      <c r="F431" s="2" t="s">
        <v>1220</v>
      </c>
      <c r="G431" s="2" t="s">
        <v>1221</v>
      </c>
      <c r="H431" s="2" t="s">
        <v>1244</v>
      </c>
      <c r="I431" s="1">
        <v>44102</v>
      </c>
      <c r="J431">
        <v>2020</v>
      </c>
      <c r="K431" s="2" t="s">
        <v>1817</v>
      </c>
      <c r="L431" s="4">
        <v>103309</v>
      </c>
      <c r="M431" s="2" t="s">
        <v>1245</v>
      </c>
      <c r="N431" s="2" t="s">
        <v>1224</v>
      </c>
      <c r="O431" s="2" t="s">
        <v>25</v>
      </c>
      <c r="P431" s="3">
        <v>45397</v>
      </c>
      <c r="Q431" s="4">
        <v>469725</v>
      </c>
      <c r="R431">
        <v>789</v>
      </c>
      <c r="S431" t="str">
        <f>IF(Linked[[#This Row],[Credit Score]]&lt;=579,"Poor",IF(Linked[[#This Row],[Credit Score]]&lt;=669,"Fair",IF(Linked[[#This Row],[Credit Score]]&lt;=739,"Good",IF(Linked[[#This Row],[Credit Score]]&lt;=799,"Very Good",IF(Linked[[#This Row],[Credit Score]]&gt;=800,"Excellent")))))</f>
        <v>Very Good</v>
      </c>
      <c r="T431" s="4">
        <v>0</v>
      </c>
      <c r="U431" s="2"/>
      <c r="V431" s="2"/>
    </row>
    <row r="432" spans="1:22" x14ac:dyDescent="0.25">
      <c r="A432" s="2" t="s">
        <v>537</v>
      </c>
      <c r="B432" s="2" t="s">
        <v>536</v>
      </c>
      <c r="C432" s="2" t="s">
        <v>1820</v>
      </c>
      <c r="D432" s="2" t="s">
        <v>1227</v>
      </c>
      <c r="E432">
        <v>36</v>
      </c>
      <c r="F432" s="2" t="s">
        <v>1220</v>
      </c>
      <c r="G432" s="2" t="s">
        <v>1229</v>
      </c>
      <c r="H432" s="2" t="s">
        <v>1253</v>
      </c>
      <c r="I432" s="1">
        <v>44437</v>
      </c>
      <c r="J432">
        <v>2021</v>
      </c>
      <c r="K432" s="2" t="s">
        <v>1821</v>
      </c>
      <c r="L432" s="4">
        <v>126661</v>
      </c>
      <c r="M432" s="2" t="s">
        <v>1245</v>
      </c>
      <c r="N432" s="2" t="s">
        <v>1224</v>
      </c>
      <c r="O432" s="2" t="s">
        <v>10</v>
      </c>
      <c r="P432" s="3">
        <v>42963</v>
      </c>
      <c r="Q432" s="4">
        <v>473146</v>
      </c>
      <c r="R432">
        <v>343</v>
      </c>
      <c r="S432" t="str">
        <f>IF(Linked[[#This Row],[Credit Score]]&lt;=579,"Poor",IF(Linked[[#This Row],[Credit Score]]&lt;=669,"Fair",IF(Linked[[#This Row],[Credit Score]]&lt;=739,"Good",IF(Linked[[#This Row],[Credit Score]]&lt;=799,"Very Good",IF(Linked[[#This Row],[Credit Score]]&gt;=800,"Excellent")))))</f>
        <v>Poor</v>
      </c>
      <c r="T432" s="4">
        <v>204757</v>
      </c>
      <c r="U432" s="2"/>
      <c r="V432" s="2"/>
    </row>
    <row r="433" spans="1:22" x14ac:dyDescent="0.25">
      <c r="A433" s="2" t="s">
        <v>539</v>
      </c>
      <c r="B433" s="2" t="s">
        <v>538</v>
      </c>
      <c r="C433" s="2" t="s">
        <v>1822</v>
      </c>
      <c r="D433" s="2" t="s">
        <v>1227</v>
      </c>
      <c r="E433">
        <v>66</v>
      </c>
      <c r="F433" s="2" t="s">
        <v>1263</v>
      </c>
      <c r="G433" s="2" t="s">
        <v>1229</v>
      </c>
      <c r="H433" s="2" t="s">
        <v>1239</v>
      </c>
      <c r="I433" s="1">
        <v>43819</v>
      </c>
      <c r="J433">
        <v>2019</v>
      </c>
      <c r="K433" s="2" t="s">
        <v>1823</v>
      </c>
      <c r="L433" s="4">
        <v>177215</v>
      </c>
      <c r="M433" s="2" t="s">
        <v>1223</v>
      </c>
      <c r="N433" s="2" t="s">
        <v>1224</v>
      </c>
      <c r="O433" s="2" t="s">
        <v>25</v>
      </c>
      <c r="P433" s="3">
        <v>45842</v>
      </c>
      <c r="Q433" s="4">
        <v>392118</v>
      </c>
      <c r="R433">
        <v>616</v>
      </c>
      <c r="S433" t="str">
        <f>IF(Linked[[#This Row],[Credit Score]]&lt;=579,"Poor",IF(Linked[[#This Row],[Credit Score]]&lt;=669,"Fair",IF(Linked[[#This Row],[Credit Score]]&lt;=739,"Good",IF(Linked[[#This Row],[Credit Score]]&lt;=799,"Very Good",IF(Linked[[#This Row],[Credit Score]]&gt;=800,"Excellent")))))</f>
        <v>Fair</v>
      </c>
      <c r="T433" s="4">
        <v>422876</v>
      </c>
      <c r="U433" s="2"/>
      <c r="V433" s="2"/>
    </row>
    <row r="434" spans="1:22" x14ac:dyDescent="0.25">
      <c r="A434" s="2" t="s">
        <v>539</v>
      </c>
      <c r="B434" s="2" t="s">
        <v>571</v>
      </c>
      <c r="C434" s="2" t="s">
        <v>1822</v>
      </c>
      <c r="D434" s="2" t="s">
        <v>1227</v>
      </c>
      <c r="E434">
        <v>66</v>
      </c>
      <c r="F434" s="2" t="s">
        <v>1263</v>
      </c>
      <c r="G434" s="2" t="s">
        <v>1229</v>
      </c>
      <c r="H434" s="2" t="s">
        <v>1239</v>
      </c>
      <c r="I434" s="1">
        <v>43819</v>
      </c>
      <c r="J434">
        <v>2019</v>
      </c>
      <c r="K434" s="2" t="s">
        <v>1823</v>
      </c>
      <c r="L434" s="4">
        <v>177215</v>
      </c>
      <c r="M434" s="2" t="s">
        <v>1223</v>
      </c>
      <c r="N434" s="2" t="s">
        <v>1224</v>
      </c>
      <c r="O434" s="2" t="s">
        <v>10</v>
      </c>
      <c r="P434" s="3">
        <v>45641</v>
      </c>
      <c r="Q434" s="4">
        <v>148961</v>
      </c>
      <c r="R434">
        <v>470</v>
      </c>
      <c r="S434" t="str">
        <f>IF(Linked[[#This Row],[Credit Score]]&lt;=579,"Poor",IF(Linked[[#This Row],[Credit Score]]&lt;=669,"Fair",IF(Linked[[#This Row],[Credit Score]]&lt;=739,"Good",IF(Linked[[#This Row],[Credit Score]]&lt;=799,"Very Good",IF(Linked[[#This Row],[Credit Score]]&gt;=800,"Excellent")))))</f>
        <v>Poor</v>
      </c>
      <c r="T434" s="4">
        <v>437348</v>
      </c>
      <c r="U434" s="2"/>
      <c r="V434" s="2"/>
    </row>
    <row r="435" spans="1:22" x14ac:dyDescent="0.25">
      <c r="A435" s="2" t="s">
        <v>631</v>
      </c>
      <c r="B435" s="2" t="s">
        <v>630</v>
      </c>
      <c r="C435" s="2" t="s">
        <v>1824</v>
      </c>
      <c r="D435" s="2" t="s">
        <v>1219</v>
      </c>
      <c r="E435">
        <v>53</v>
      </c>
      <c r="F435" s="2" t="s">
        <v>1228</v>
      </c>
      <c r="G435" s="2" t="s">
        <v>1229</v>
      </c>
      <c r="H435" s="2" t="s">
        <v>1253</v>
      </c>
      <c r="I435" s="1">
        <v>43150</v>
      </c>
      <c r="J435">
        <v>2018</v>
      </c>
      <c r="K435" s="2" t="s">
        <v>1825</v>
      </c>
      <c r="L435" s="4">
        <v>26154</v>
      </c>
      <c r="M435" s="2" t="s">
        <v>1250</v>
      </c>
      <c r="N435" s="2" t="s">
        <v>1231</v>
      </c>
      <c r="O435" s="2" t="s">
        <v>10</v>
      </c>
      <c r="P435" s="3">
        <v>43612</v>
      </c>
      <c r="Q435" s="4">
        <v>343615</v>
      </c>
      <c r="R435">
        <v>492</v>
      </c>
      <c r="S435" t="str">
        <f>IF(Linked[[#This Row],[Credit Score]]&lt;=579,"Poor",IF(Linked[[#This Row],[Credit Score]]&lt;=669,"Fair",IF(Linked[[#This Row],[Credit Score]]&lt;=739,"Good",IF(Linked[[#This Row],[Credit Score]]&lt;=799,"Very Good",IF(Linked[[#This Row],[Credit Score]]&gt;=800,"Excellent")))))</f>
        <v>Poor</v>
      </c>
      <c r="T435" s="4">
        <v>231024</v>
      </c>
      <c r="U435" s="2"/>
      <c r="V435" s="2"/>
    </row>
    <row r="436" spans="1:22" x14ac:dyDescent="0.25">
      <c r="A436" s="2" t="s">
        <v>483</v>
      </c>
      <c r="B436" s="2" t="s">
        <v>482</v>
      </c>
      <c r="C436" s="2" t="s">
        <v>2128</v>
      </c>
      <c r="D436" s="2" t="s">
        <v>1219</v>
      </c>
      <c r="E436">
        <v>25</v>
      </c>
      <c r="F436" s="2" t="s">
        <v>1242</v>
      </c>
      <c r="G436" s="2" t="s">
        <v>1221</v>
      </c>
      <c r="H436" s="2" t="s">
        <v>1253</v>
      </c>
      <c r="I436" s="1">
        <v>43411</v>
      </c>
      <c r="J436">
        <v>2018</v>
      </c>
      <c r="K436" s="2" t="s">
        <v>2129</v>
      </c>
      <c r="L436" s="4">
        <v>53142</v>
      </c>
      <c r="M436" s="2" t="s">
        <v>1250</v>
      </c>
      <c r="N436" s="2" t="s">
        <v>1231</v>
      </c>
      <c r="O436" s="2" t="s">
        <v>10</v>
      </c>
      <c r="P436" s="3">
        <v>43250</v>
      </c>
      <c r="Q436" s="4">
        <v>133653</v>
      </c>
      <c r="R436">
        <v>538</v>
      </c>
      <c r="S436" t="str">
        <f>IF(Linked[[#This Row],[Credit Score]]&lt;=579,"Poor",IF(Linked[[#This Row],[Credit Score]]&lt;=669,"Fair",IF(Linked[[#This Row],[Credit Score]]&lt;=739,"Good",IF(Linked[[#This Row],[Credit Score]]&lt;=799,"Very Good",IF(Linked[[#This Row],[Credit Score]]&gt;=800,"Excellent")))))</f>
        <v>Poor</v>
      </c>
      <c r="T436" s="4">
        <v>0</v>
      </c>
      <c r="U436" s="2"/>
      <c r="V436" s="2"/>
    </row>
    <row r="437" spans="1:22" x14ac:dyDescent="0.25">
      <c r="A437" s="2" t="s">
        <v>748</v>
      </c>
      <c r="B437" s="2" t="s">
        <v>747</v>
      </c>
      <c r="C437" s="2" t="s">
        <v>1828</v>
      </c>
      <c r="D437" s="2" t="s">
        <v>1227</v>
      </c>
      <c r="E437">
        <v>58</v>
      </c>
      <c r="F437" s="2" t="s">
        <v>1228</v>
      </c>
      <c r="G437" s="2" t="s">
        <v>1221</v>
      </c>
      <c r="H437" s="2" t="s">
        <v>1235</v>
      </c>
      <c r="I437" s="1">
        <v>45051</v>
      </c>
      <c r="J437">
        <v>2023</v>
      </c>
      <c r="K437" s="2" t="s">
        <v>1829</v>
      </c>
      <c r="L437" s="4">
        <v>192760</v>
      </c>
      <c r="M437" s="2" t="s">
        <v>1223</v>
      </c>
      <c r="N437" s="2" t="s">
        <v>1231</v>
      </c>
      <c r="O437" s="2" t="s">
        <v>32</v>
      </c>
      <c r="P437" s="3">
        <v>43451</v>
      </c>
      <c r="Q437" s="4">
        <v>374743</v>
      </c>
      <c r="R437">
        <v>423</v>
      </c>
      <c r="S437" t="str">
        <f>IF(Linked[[#This Row],[Credit Score]]&lt;=579,"Poor",IF(Linked[[#This Row],[Credit Score]]&lt;=669,"Fair",IF(Linked[[#This Row],[Credit Score]]&lt;=739,"Good",IF(Linked[[#This Row],[Credit Score]]&lt;=799,"Very Good",IF(Linked[[#This Row],[Credit Score]]&gt;=800,"Excellent")))))</f>
        <v>Poor</v>
      </c>
      <c r="T437" s="4">
        <v>0</v>
      </c>
      <c r="U437" s="2" t="s">
        <v>39</v>
      </c>
      <c r="V437" s="2"/>
    </row>
    <row r="438" spans="1:22" x14ac:dyDescent="0.25">
      <c r="A438" s="2" t="s">
        <v>485</v>
      </c>
      <c r="B438" s="2" t="s">
        <v>484</v>
      </c>
      <c r="C438" s="2" t="s">
        <v>2063</v>
      </c>
      <c r="D438" s="2" t="s">
        <v>1227</v>
      </c>
      <c r="E438">
        <v>33</v>
      </c>
      <c r="F438" s="2" t="s">
        <v>1220</v>
      </c>
      <c r="G438" s="2" t="s">
        <v>1229</v>
      </c>
      <c r="H438" s="2" t="s">
        <v>1239</v>
      </c>
      <c r="I438" s="1">
        <v>43463</v>
      </c>
      <c r="J438">
        <v>2018</v>
      </c>
      <c r="K438" s="2" t="s">
        <v>2064</v>
      </c>
      <c r="L438" s="4">
        <v>136400</v>
      </c>
      <c r="M438" s="2" t="s">
        <v>1245</v>
      </c>
      <c r="N438" s="2" t="s">
        <v>1231</v>
      </c>
      <c r="O438" s="2" t="s">
        <v>32</v>
      </c>
      <c r="P438" s="3">
        <v>43420</v>
      </c>
      <c r="Q438" s="4">
        <v>51717</v>
      </c>
      <c r="R438">
        <v>371</v>
      </c>
      <c r="S438" t="str">
        <f>IF(Linked[[#This Row],[Credit Score]]&lt;=579,"Poor",IF(Linked[[#This Row],[Credit Score]]&lt;=669,"Fair",IF(Linked[[#This Row],[Credit Score]]&lt;=739,"Good",IF(Linked[[#This Row],[Credit Score]]&lt;=799,"Very Good",IF(Linked[[#This Row],[Credit Score]]&gt;=800,"Excellent")))))</f>
        <v>Poor</v>
      </c>
      <c r="T438" s="4">
        <v>0</v>
      </c>
      <c r="U438" s="2" t="s">
        <v>59</v>
      </c>
      <c r="V438" s="2"/>
    </row>
    <row r="439" spans="1:22" x14ac:dyDescent="0.25">
      <c r="A439" s="2" t="s">
        <v>485</v>
      </c>
      <c r="B439" s="2" t="s">
        <v>755</v>
      </c>
      <c r="C439" s="2" t="s">
        <v>2063</v>
      </c>
      <c r="D439" s="2" t="s">
        <v>1227</v>
      </c>
      <c r="E439">
        <v>33</v>
      </c>
      <c r="F439" s="2" t="s">
        <v>1220</v>
      </c>
      <c r="G439" s="2" t="s">
        <v>1229</v>
      </c>
      <c r="H439" s="2" t="s">
        <v>1239</v>
      </c>
      <c r="I439" s="1">
        <v>43463</v>
      </c>
      <c r="J439">
        <v>2018</v>
      </c>
      <c r="K439" s="2" t="s">
        <v>2064</v>
      </c>
      <c r="L439" s="4">
        <v>136400</v>
      </c>
      <c r="M439" s="2" t="s">
        <v>1245</v>
      </c>
      <c r="N439" s="2" t="s">
        <v>1231</v>
      </c>
      <c r="O439" s="2" t="s">
        <v>13</v>
      </c>
      <c r="P439" s="3">
        <v>43456</v>
      </c>
      <c r="Q439" s="4">
        <v>262347</v>
      </c>
      <c r="R439">
        <v>730</v>
      </c>
      <c r="S439" t="str">
        <f>IF(Linked[[#This Row],[Credit Score]]&lt;=579,"Poor",IF(Linked[[#This Row],[Credit Score]]&lt;=669,"Fair",IF(Linked[[#This Row],[Credit Score]]&lt;=739,"Good",IF(Linked[[#This Row],[Credit Score]]&lt;=799,"Very Good",IF(Linked[[#This Row],[Credit Score]]&gt;=800,"Excellent")))))</f>
        <v>Good</v>
      </c>
      <c r="T439" s="4">
        <v>0</v>
      </c>
      <c r="U439" s="2" t="s">
        <v>18</v>
      </c>
      <c r="V439" s="2"/>
    </row>
    <row r="440" spans="1:22" x14ac:dyDescent="0.25">
      <c r="A440" s="2" t="s">
        <v>757</v>
      </c>
      <c r="B440" s="2" t="s">
        <v>756</v>
      </c>
      <c r="C440" s="2" t="s">
        <v>1830</v>
      </c>
      <c r="D440" s="2" t="s">
        <v>1227</v>
      </c>
      <c r="E440">
        <v>36</v>
      </c>
      <c r="F440" s="2" t="s">
        <v>1220</v>
      </c>
      <c r="G440" s="2" t="s">
        <v>1243</v>
      </c>
      <c r="H440" s="2" t="s">
        <v>1230</v>
      </c>
      <c r="I440" s="1">
        <v>43890</v>
      </c>
      <c r="J440">
        <v>2020</v>
      </c>
      <c r="K440" s="2" t="s">
        <v>1831</v>
      </c>
      <c r="L440" s="4">
        <v>84288</v>
      </c>
      <c r="M440" s="2" t="s">
        <v>1245</v>
      </c>
      <c r="N440" s="2" t="s">
        <v>1231</v>
      </c>
      <c r="O440" s="2" t="s">
        <v>13</v>
      </c>
      <c r="P440" s="3">
        <v>43828</v>
      </c>
      <c r="Q440" s="4">
        <v>409760</v>
      </c>
      <c r="R440">
        <v>735</v>
      </c>
      <c r="S440" t="str">
        <f>IF(Linked[[#This Row],[Credit Score]]&lt;=579,"Poor",IF(Linked[[#This Row],[Credit Score]]&lt;=669,"Fair",IF(Linked[[#This Row],[Credit Score]]&lt;=739,"Good",IF(Linked[[#This Row],[Credit Score]]&lt;=799,"Very Good",IF(Linked[[#This Row],[Credit Score]]&gt;=800,"Excellent")))))</f>
        <v>Good</v>
      </c>
      <c r="T440" s="4">
        <v>0</v>
      </c>
      <c r="U440" s="2"/>
      <c r="V440" s="2"/>
    </row>
    <row r="441" spans="1:22" x14ac:dyDescent="0.25">
      <c r="A441" s="2" t="s">
        <v>487</v>
      </c>
      <c r="B441" s="2" t="s">
        <v>486</v>
      </c>
      <c r="C441" s="2" t="s">
        <v>2285</v>
      </c>
      <c r="D441" s="2" t="s">
        <v>1219</v>
      </c>
      <c r="E441">
        <v>40</v>
      </c>
      <c r="F441" s="2" t="s">
        <v>1220</v>
      </c>
      <c r="G441" s="2" t="s">
        <v>1243</v>
      </c>
      <c r="H441" s="2" t="s">
        <v>1239</v>
      </c>
      <c r="I441" s="1">
        <v>45104</v>
      </c>
      <c r="J441">
        <v>2023</v>
      </c>
      <c r="K441" s="2" t="s">
        <v>2286</v>
      </c>
      <c r="L441" s="4">
        <v>157710</v>
      </c>
      <c r="M441" s="2" t="s">
        <v>1223</v>
      </c>
      <c r="N441" s="2" t="s">
        <v>1224</v>
      </c>
      <c r="O441" s="2" t="s">
        <v>32</v>
      </c>
      <c r="P441" s="3">
        <v>44680</v>
      </c>
      <c r="Q441" s="4">
        <v>2763</v>
      </c>
      <c r="R441">
        <v>744</v>
      </c>
      <c r="S441" t="str">
        <f>IF(Linked[[#This Row],[Credit Score]]&lt;=579,"Poor",IF(Linked[[#This Row],[Credit Score]]&lt;=669,"Fair",IF(Linked[[#This Row],[Credit Score]]&lt;=739,"Good",IF(Linked[[#This Row],[Credit Score]]&lt;=799,"Very Good",IF(Linked[[#This Row],[Credit Score]]&gt;=800,"Excellent")))))</f>
        <v>Very Good</v>
      </c>
      <c r="T441" s="4">
        <v>0</v>
      </c>
      <c r="U441" s="2"/>
      <c r="V441" s="2"/>
    </row>
    <row r="442" spans="1:22" x14ac:dyDescent="0.25">
      <c r="A442" s="2" t="s">
        <v>740</v>
      </c>
      <c r="B442" s="2" t="s">
        <v>739</v>
      </c>
      <c r="C442" s="2" t="s">
        <v>1832</v>
      </c>
      <c r="D442" s="2" t="s">
        <v>1227</v>
      </c>
      <c r="E442">
        <v>29</v>
      </c>
      <c r="F442" s="2" t="s">
        <v>1220</v>
      </c>
      <c r="G442" s="2" t="s">
        <v>1243</v>
      </c>
      <c r="H442" s="2" t="s">
        <v>1259</v>
      </c>
      <c r="I442" s="1">
        <v>44008</v>
      </c>
      <c r="J442">
        <v>2020</v>
      </c>
      <c r="K442" s="2" t="s">
        <v>1833</v>
      </c>
      <c r="L442" s="4">
        <v>71195</v>
      </c>
      <c r="M442" s="2" t="s">
        <v>1250</v>
      </c>
      <c r="N442" s="2" t="s">
        <v>1224</v>
      </c>
      <c r="O442" s="2" t="s">
        <v>10</v>
      </c>
      <c r="P442" s="3">
        <v>43848</v>
      </c>
      <c r="Q442" s="4">
        <v>305539</v>
      </c>
      <c r="R442">
        <v>474</v>
      </c>
      <c r="S442" t="str">
        <f>IF(Linked[[#This Row],[Credit Score]]&lt;=579,"Poor",IF(Linked[[#This Row],[Credit Score]]&lt;=669,"Fair",IF(Linked[[#This Row],[Credit Score]]&lt;=739,"Good",IF(Linked[[#This Row],[Credit Score]]&lt;=799,"Very Good",IF(Linked[[#This Row],[Credit Score]]&gt;=800,"Excellent")))))</f>
        <v>Poor</v>
      </c>
      <c r="T442" s="4">
        <v>0</v>
      </c>
      <c r="U442" s="2"/>
      <c r="V442" s="2"/>
    </row>
    <row r="443" spans="1:22" x14ac:dyDescent="0.25">
      <c r="A443" s="2" t="s">
        <v>610</v>
      </c>
      <c r="B443" s="2" t="s">
        <v>609</v>
      </c>
      <c r="C443" s="2" t="s">
        <v>1837</v>
      </c>
      <c r="D443" s="2" t="s">
        <v>1219</v>
      </c>
      <c r="E443">
        <v>24</v>
      </c>
      <c r="F443" s="2" t="s">
        <v>1242</v>
      </c>
      <c r="G443" s="2" t="s">
        <v>1249</v>
      </c>
      <c r="H443" s="2" t="s">
        <v>1235</v>
      </c>
      <c r="I443" s="1">
        <v>43775</v>
      </c>
      <c r="J443">
        <v>2019</v>
      </c>
      <c r="K443" s="2" t="s">
        <v>1838</v>
      </c>
      <c r="L443" s="4">
        <v>50087</v>
      </c>
      <c r="M443" s="2" t="s">
        <v>1250</v>
      </c>
      <c r="N443" s="2" t="s">
        <v>1231</v>
      </c>
      <c r="O443" s="2" t="s">
        <v>13</v>
      </c>
      <c r="P443" s="3">
        <v>45651</v>
      </c>
      <c r="Q443" s="4">
        <v>348742</v>
      </c>
      <c r="R443">
        <v>511</v>
      </c>
      <c r="S443" t="str">
        <f>IF(Linked[[#This Row],[Credit Score]]&lt;=579,"Poor",IF(Linked[[#This Row],[Credit Score]]&lt;=669,"Fair",IF(Linked[[#This Row],[Credit Score]]&lt;=739,"Good",IF(Linked[[#This Row],[Credit Score]]&lt;=799,"Very Good",IF(Linked[[#This Row],[Credit Score]]&gt;=800,"Excellent")))))</f>
        <v>Poor</v>
      </c>
      <c r="T443" s="4">
        <v>0</v>
      </c>
      <c r="U443" s="2" t="s">
        <v>39</v>
      </c>
      <c r="V443" s="2"/>
    </row>
    <row r="444" spans="1:22" x14ac:dyDescent="0.25">
      <c r="A444" s="2" t="s">
        <v>493</v>
      </c>
      <c r="B444" s="2" t="s">
        <v>492</v>
      </c>
      <c r="C444" s="2" t="s">
        <v>1856</v>
      </c>
      <c r="D444" s="2" t="s">
        <v>1219</v>
      </c>
      <c r="E444">
        <v>22</v>
      </c>
      <c r="F444" s="2" t="s">
        <v>1242</v>
      </c>
      <c r="G444" s="2" t="s">
        <v>1221</v>
      </c>
      <c r="H444" s="2" t="s">
        <v>1230</v>
      </c>
      <c r="I444" s="1">
        <v>42305</v>
      </c>
      <c r="J444">
        <v>2015</v>
      </c>
      <c r="K444" s="2" t="s">
        <v>1857</v>
      </c>
      <c r="L444" s="4">
        <v>68787</v>
      </c>
      <c r="M444" s="2" t="s">
        <v>1250</v>
      </c>
      <c r="N444" s="2" t="s">
        <v>1224</v>
      </c>
      <c r="O444" s="2" t="s">
        <v>32</v>
      </c>
      <c r="P444" s="3">
        <v>44928</v>
      </c>
      <c r="Q444" s="4">
        <v>169831</v>
      </c>
      <c r="R444">
        <v>714</v>
      </c>
      <c r="S444" t="str">
        <f>IF(Linked[[#This Row],[Credit Score]]&lt;=579,"Poor",IF(Linked[[#This Row],[Credit Score]]&lt;=669,"Fair",IF(Linked[[#This Row],[Credit Score]]&lt;=739,"Good",IF(Linked[[#This Row],[Credit Score]]&lt;=799,"Very Good",IF(Linked[[#This Row],[Credit Score]]&gt;=800,"Excellent")))))</f>
        <v>Good</v>
      </c>
      <c r="T444" s="4">
        <v>0</v>
      </c>
      <c r="U444" s="2"/>
      <c r="V444" s="2"/>
    </row>
    <row r="445" spans="1:22" x14ac:dyDescent="0.25">
      <c r="A445" s="2" t="s">
        <v>497</v>
      </c>
      <c r="B445" s="2" t="s">
        <v>496</v>
      </c>
      <c r="C445" s="2" t="s">
        <v>2038</v>
      </c>
      <c r="D445" s="2" t="s">
        <v>1219</v>
      </c>
      <c r="E445">
        <v>42</v>
      </c>
      <c r="F445" s="2" t="s">
        <v>1220</v>
      </c>
      <c r="G445" s="2" t="s">
        <v>1243</v>
      </c>
      <c r="H445" s="2" t="s">
        <v>1253</v>
      </c>
      <c r="I445" s="1">
        <v>44954</v>
      </c>
      <c r="J445">
        <v>2023</v>
      </c>
      <c r="K445" s="2" t="s">
        <v>2017</v>
      </c>
      <c r="L445" s="4">
        <v>181099</v>
      </c>
      <c r="M445" s="2" t="s">
        <v>1223</v>
      </c>
      <c r="N445" s="2" t="s">
        <v>1231</v>
      </c>
      <c r="O445" s="2" t="s">
        <v>13</v>
      </c>
      <c r="P445" s="3">
        <v>43422</v>
      </c>
      <c r="Q445" s="4">
        <v>118094</v>
      </c>
      <c r="R445">
        <v>359</v>
      </c>
      <c r="S445" t="str">
        <f>IF(Linked[[#This Row],[Credit Score]]&lt;=579,"Poor",IF(Linked[[#This Row],[Credit Score]]&lt;=669,"Fair",IF(Linked[[#This Row],[Credit Score]]&lt;=739,"Good",IF(Linked[[#This Row],[Credit Score]]&lt;=799,"Very Good",IF(Linked[[#This Row],[Credit Score]]&gt;=800,"Excellent")))))</f>
        <v>Poor</v>
      </c>
      <c r="T445" s="4">
        <v>0</v>
      </c>
      <c r="U445" s="2"/>
      <c r="V445" s="2"/>
    </row>
    <row r="446" spans="1:22" x14ac:dyDescent="0.25">
      <c r="A446" s="2" t="s">
        <v>499</v>
      </c>
      <c r="B446" s="2" t="s">
        <v>498</v>
      </c>
      <c r="C446" s="2" t="s">
        <v>2197</v>
      </c>
      <c r="D446" s="2" t="s">
        <v>1219</v>
      </c>
      <c r="E446">
        <v>42</v>
      </c>
      <c r="F446" s="2" t="s">
        <v>1220</v>
      </c>
      <c r="G446" s="2" t="s">
        <v>1229</v>
      </c>
      <c r="H446" s="2" t="s">
        <v>1244</v>
      </c>
      <c r="I446" s="1">
        <v>44994</v>
      </c>
      <c r="J446">
        <v>2023</v>
      </c>
      <c r="K446" s="2" t="s">
        <v>2198</v>
      </c>
      <c r="L446" s="4">
        <v>174571</v>
      </c>
      <c r="M446" s="2" t="s">
        <v>1223</v>
      </c>
      <c r="N446" s="2" t="s">
        <v>1224</v>
      </c>
      <c r="O446" s="2" t="s">
        <v>13</v>
      </c>
      <c r="P446" s="3">
        <v>43986</v>
      </c>
      <c r="Q446" s="4">
        <v>156379</v>
      </c>
      <c r="R446">
        <v>305</v>
      </c>
      <c r="S446" t="str">
        <f>IF(Linked[[#This Row],[Credit Score]]&lt;=579,"Poor",IF(Linked[[#This Row],[Credit Score]]&lt;=669,"Fair",IF(Linked[[#This Row],[Credit Score]]&lt;=739,"Good",IF(Linked[[#This Row],[Credit Score]]&lt;=799,"Very Good",IF(Linked[[#This Row],[Credit Score]]&gt;=800,"Excellent")))))</f>
        <v>Poor</v>
      </c>
      <c r="T446" s="4">
        <v>0</v>
      </c>
      <c r="U446" s="2"/>
      <c r="V446" s="2"/>
    </row>
    <row r="447" spans="1:22" x14ac:dyDescent="0.25">
      <c r="A447" s="2" t="s">
        <v>523</v>
      </c>
      <c r="B447" s="2" t="s">
        <v>522</v>
      </c>
      <c r="C447" s="2" t="s">
        <v>1846</v>
      </c>
      <c r="D447" s="2" t="s">
        <v>1219</v>
      </c>
      <c r="E447">
        <v>69</v>
      </c>
      <c r="F447" s="2" t="s">
        <v>1263</v>
      </c>
      <c r="G447" s="2" t="s">
        <v>1229</v>
      </c>
      <c r="H447" s="2" t="s">
        <v>1253</v>
      </c>
      <c r="I447" s="1">
        <v>43316</v>
      </c>
      <c r="J447">
        <v>2018</v>
      </c>
      <c r="K447" s="2" t="s">
        <v>1847</v>
      </c>
      <c r="L447" s="4">
        <v>194480</v>
      </c>
      <c r="M447" s="2" t="s">
        <v>1223</v>
      </c>
      <c r="N447" s="2" t="s">
        <v>1224</v>
      </c>
      <c r="O447" s="2" t="s">
        <v>10</v>
      </c>
      <c r="P447" s="3">
        <v>45521</v>
      </c>
      <c r="Q447" s="4">
        <v>485097</v>
      </c>
      <c r="R447">
        <v>698</v>
      </c>
      <c r="S447" t="str">
        <f>IF(Linked[[#This Row],[Credit Score]]&lt;=579,"Poor",IF(Linked[[#This Row],[Credit Score]]&lt;=669,"Fair",IF(Linked[[#This Row],[Credit Score]]&lt;=739,"Good",IF(Linked[[#This Row],[Credit Score]]&lt;=799,"Very Good",IF(Linked[[#This Row],[Credit Score]]&gt;=800,"Excellent")))))</f>
        <v>Good</v>
      </c>
      <c r="T447" s="4">
        <v>301379</v>
      </c>
      <c r="U447" s="2"/>
      <c r="V447" s="2"/>
    </row>
    <row r="448" spans="1:22" x14ac:dyDescent="0.25">
      <c r="A448" s="2" t="s">
        <v>523</v>
      </c>
      <c r="B448" s="2" t="s">
        <v>734</v>
      </c>
      <c r="C448" s="2" t="s">
        <v>1846</v>
      </c>
      <c r="D448" s="2" t="s">
        <v>1219</v>
      </c>
      <c r="E448">
        <v>69</v>
      </c>
      <c r="F448" s="2" t="s">
        <v>1263</v>
      </c>
      <c r="G448" s="2" t="s">
        <v>1229</v>
      </c>
      <c r="H448" s="2" t="s">
        <v>1253</v>
      </c>
      <c r="I448" s="1">
        <v>43316</v>
      </c>
      <c r="J448">
        <v>2018</v>
      </c>
      <c r="K448" s="2" t="s">
        <v>1847</v>
      </c>
      <c r="L448" s="4">
        <v>194480</v>
      </c>
      <c r="M448" s="2" t="s">
        <v>1223</v>
      </c>
      <c r="N448" s="2" t="s">
        <v>1224</v>
      </c>
      <c r="O448" s="2" t="s">
        <v>13</v>
      </c>
      <c r="P448" s="3">
        <v>43710</v>
      </c>
      <c r="Q448" s="4">
        <v>128585</v>
      </c>
      <c r="R448">
        <v>764</v>
      </c>
      <c r="S448" t="str">
        <f>IF(Linked[[#This Row],[Credit Score]]&lt;=579,"Poor",IF(Linked[[#This Row],[Credit Score]]&lt;=669,"Fair",IF(Linked[[#This Row],[Credit Score]]&lt;=739,"Good",IF(Linked[[#This Row],[Credit Score]]&lt;=799,"Very Good",IF(Linked[[#This Row],[Credit Score]]&gt;=800,"Excellent")))))</f>
        <v>Very Good</v>
      </c>
      <c r="T448" s="4">
        <v>0</v>
      </c>
      <c r="U448" s="2" t="s">
        <v>59</v>
      </c>
      <c r="V448" s="2"/>
    </row>
    <row r="449" spans="1:22" x14ac:dyDescent="0.25">
      <c r="A449" s="2" t="s">
        <v>502</v>
      </c>
      <c r="B449" s="2" t="s">
        <v>501</v>
      </c>
      <c r="C449" s="2" t="s">
        <v>2124</v>
      </c>
      <c r="D449" s="2" t="s">
        <v>1227</v>
      </c>
      <c r="E449">
        <v>49</v>
      </c>
      <c r="F449" s="2" t="s">
        <v>1228</v>
      </c>
      <c r="G449" s="2" t="s">
        <v>1221</v>
      </c>
      <c r="H449" s="2" t="s">
        <v>1239</v>
      </c>
      <c r="I449" s="1">
        <v>43721</v>
      </c>
      <c r="J449">
        <v>2019</v>
      </c>
      <c r="K449" s="2" t="s">
        <v>2125</v>
      </c>
      <c r="L449" s="4">
        <v>162633</v>
      </c>
      <c r="M449" s="2" t="s">
        <v>1223</v>
      </c>
      <c r="N449" s="2" t="s">
        <v>1224</v>
      </c>
      <c r="O449" s="2" t="s">
        <v>32</v>
      </c>
      <c r="P449" s="3">
        <v>43304</v>
      </c>
      <c r="Q449" s="4">
        <v>11064</v>
      </c>
      <c r="R449">
        <v>516</v>
      </c>
      <c r="S449" t="str">
        <f>IF(Linked[[#This Row],[Credit Score]]&lt;=579,"Poor",IF(Linked[[#This Row],[Credit Score]]&lt;=669,"Fair",IF(Linked[[#This Row],[Credit Score]]&lt;=739,"Good",IF(Linked[[#This Row],[Credit Score]]&lt;=799,"Very Good",IF(Linked[[#This Row],[Credit Score]]&gt;=800,"Excellent")))))</f>
        <v>Poor</v>
      </c>
      <c r="T449" s="4">
        <v>0</v>
      </c>
      <c r="U449" s="2"/>
      <c r="V449" s="2"/>
    </row>
    <row r="450" spans="1:22" x14ac:dyDescent="0.25">
      <c r="A450" s="2" t="s">
        <v>502</v>
      </c>
      <c r="B450" s="2" t="s">
        <v>786</v>
      </c>
      <c r="C450" s="2" t="s">
        <v>2124</v>
      </c>
      <c r="D450" s="2" t="s">
        <v>1227</v>
      </c>
      <c r="E450">
        <v>49</v>
      </c>
      <c r="F450" s="2" t="s">
        <v>1228</v>
      </c>
      <c r="G450" s="2" t="s">
        <v>1221</v>
      </c>
      <c r="H450" s="2" t="s">
        <v>1239</v>
      </c>
      <c r="I450" s="1">
        <v>43721</v>
      </c>
      <c r="J450">
        <v>2019</v>
      </c>
      <c r="K450" s="2" t="s">
        <v>2125</v>
      </c>
      <c r="L450" s="4">
        <v>162633</v>
      </c>
      <c r="M450" s="2" t="s">
        <v>1223</v>
      </c>
      <c r="N450" s="2" t="s">
        <v>1224</v>
      </c>
      <c r="O450" s="2" t="s">
        <v>25</v>
      </c>
      <c r="P450" s="3">
        <v>44646</v>
      </c>
      <c r="Q450" s="4">
        <v>65901</v>
      </c>
      <c r="R450">
        <v>538</v>
      </c>
      <c r="S450" t="str">
        <f>IF(Linked[[#This Row],[Credit Score]]&lt;=579,"Poor",IF(Linked[[#This Row],[Credit Score]]&lt;=669,"Fair",IF(Linked[[#This Row],[Credit Score]]&lt;=739,"Good",IF(Linked[[#This Row],[Credit Score]]&lt;=799,"Very Good",IF(Linked[[#This Row],[Credit Score]]&gt;=800,"Excellent")))))</f>
        <v>Poor</v>
      </c>
      <c r="T450" s="4">
        <v>0</v>
      </c>
      <c r="U450" s="2"/>
      <c r="V450" s="2"/>
    </row>
    <row r="451" spans="1:22" x14ac:dyDescent="0.25">
      <c r="A451" s="2" t="s">
        <v>655</v>
      </c>
      <c r="B451" s="2" t="s">
        <v>654</v>
      </c>
      <c r="C451" s="2" t="s">
        <v>1850</v>
      </c>
      <c r="D451" s="2" t="s">
        <v>1227</v>
      </c>
      <c r="E451">
        <v>64</v>
      </c>
      <c r="F451" s="2" t="s">
        <v>1263</v>
      </c>
      <c r="G451" s="2" t="s">
        <v>1229</v>
      </c>
      <c r="H451" s="2" t="s">
        <v>1244</v>
      </c>
      <c r="I451" s="1">
        <v>44500</v>
      </c>
      <c r="J451">
        <v>2021</v>
      </c>
      <c r="K451" s="2" t="s">
        <v>1851</v>
      </c>
      <c r="L451" s="4">
        <v>145816</v>
      </c>
      <c r="M451" s="2" t="s">
        <v>1223</v>
      </c>
      <c r="N451" s="2" t="s">
        <v>1236</v>
      </c>
      <c r="O451" s="2" t="s">
        <v>10</v>
      </c>
      <c r="P451" s="3">
        <v>43144</v>
      </c>
      <c r="Q451" s="4">
        <v>444943</v>
      </c>
      <c r="R451">
        <v>368</v>
      </c>
      <c r="S451" t="str">
        <f>IF(Linked[[#This Row],[Credit Score]]&lt;=579,"Poor",IF(Linked[[#This Row],[Credit Score]]&lt;=669,"Fair",IF(Linked[[#This Row],[Credit Score]]&lt;=739,"Good",IF(Linked[[#This Row],[Credit Score]]&lt;=799,"Very Good",IF(Linked[[#This Row],[Credit Score]]&gt;=800,"Excellent")))))</f>
        <v>Poor</v>
      </c>
      <c r="T451" s="4">
        <v>493815</v>
      </c>
      <c r="U451" s="2"/>
      <c r="V451" s="2"/>
    </row>
    <row r="452" spans="1:22" x14ac:dyDescent="0.25">
      <c r="A452" s="2" t="s">
        <v>581</v>
      </c>
      <c r="B452" s="2" t="s">
        <v>580</v>
      </c>
      <c r="C452" s="2" t="s">
        <v>1855</v>
      </c>
      <c r="D452" s="2" t="s">
        <v>1227</v>
      </c>
      <c r="E452">
        <v>70</v>
      </c>
      <c r="F452" s="2" t="s">
        <v>1263</v>
      </c>
      <c r="G452" s="2" t="s">
        <v>1249</v>
      </c>
      <c r="H452" s="2" t="s">
        <v>1235</v>
      </c>
      <c r="I452" s="1">
        <v>42754</v>
      </c>
      <c r="J452">
        <v>2017</v>
      </c>
      <c r="K452" s="2" t="s">
        <v>1514</v>
      </c>
      <c r="L452" s="4">
        <v>116347</v>
      </c>
      <c r="M452" s="2" t="s">
        <v>1245</v>
      </c>
      <c r="N452" s="2" t="s">
        <v>1224</v>
      </c>
      <c r="O452" s="2" t="s">
        <v>13</v>
      </c>
      <c r="P452" s="3">
        <v>43227</v>
      </c>
      <c r="Q452" s="4">
        <v>152711</v>
      </c>
      <c r="R452">
        <v>424</v>
      </c>
      <c r="S452" t="str">
        <f>IF(Linked[[#This Row],[Credit Score]]&lt;=579,"Poor",IF(Linked[[#This Row],[Credit Score]]&lt;=669,"Fair",IF(Linked[[#This Row],[Credit Score]]&lt;=739,"Good",IF(Linked[[#This Row],[Credit Score]]&lt;=799,"Very Good",IF(Linked[[#This Row],[Credit Score]]&gt;=800,"Excellent")))))</f>
        <v>Poor</v>
      </c>
      <c r="T452" s="4">
        <v>0</v>
      </c>
      <c r="U452" s="2"/>
      <c r="V452" s="2"/>
    </row>
    <row r="453" spans="1:22" x14ac:dyDescent="0.25">
      <c r="A453" s="2" t="s">
        <v>581</v>
      </c>
      <c r="B453" s="2" t="s">
        <v>646</v>
      </c>
      <c r="C453" s="2" t="s">
        <v>1855</v>
      </c>
      <c r="D453" s="2" t="s">
        <v>1227</v>
      </c>
      <c r="E453">
        <v>70</v>
      </c>
      <c r="F453" s="2" t="s">
        <v>1263</v>
      </c>
      <c r="G453" s="2" t="s">
        <v>1249</v>
      </c>
      <c r="H453" s="2" t="s">
        <v>1235</v>
      </c>
      <c r="I453" s="1">
        <v>42754</v>
      </c>
      <c r="J453">
        <v>2017</v>
      </c>
      <c r="K453" s="2" t="s">
        <v>1514</v>
      </c>
      <c r="L453" s="4">
        <v>116347</v>
      </c>
      <c r="M453" s="2" t="s">
        <v>1245</v>
      </c>
      <c r="N453" s="2" t="s">
        <v>1224</v>
      </c>
      <c r="O453" s="2" t="s">
        <v>13</v>
      </c>
      <c r="P453" s="3">
        <v>45779</v>
      </c>
      <c r="Q453" s="4">
        <v>84811</v>
      </c>
      <c r="R453">
        <v>412</v>
      </c>
      <c r="S453" t="str">
        <f>IF(Linked[[#This Row],[Credit Score]]&lt;=579,"Poor",IF(Linked[[#This Row],[Credit Score]]&lt;=669,"Fair",IF(Linked[[#This Row],[Credit Score]]&lt;=739,"Good",IF(Linked[[#This Row],[Credit Score]]&lt;=799,"Very Good",IF(Linked[[#This Row],[Credit Score]]&gt;=800,"Excellent")))))</f>
        <v>Poor</v>
      </c>
      <c r="T453" s="4">
        <v>0</v>
      </c>
      <c r="U453" s="2"/>
      <c r="V453" s="2"/>
    </row>
    <row r="454" spans="1:22" x14ac:dyDescent="0.25">
      <c r="A454" s="2" t="s">
        <v>506</v>
      </c>
      <c r="B454" s="2" t="s">
        <v>505</v>
      </c>
      <c r="C454" s="2" t="s">
        <v>2076</v>
      </c>
      <c r="D454" s="2" t="s">
        <v>1219</v>
      </c>
      <c r="E454">
        <v>52</v>
      </c>
      <c r="F454" s="2" t="s">
        <v>1228</v>
      </c>
      <c r="G454" s="2" t="s">
        <v>1249</v>
      </c>
      <c r="H454" s="2" t="s">
        <v>1253</v>
      </c>
      <c r="I454" s="1">
        <v>43577</v>
      </c>
      <c r="J454">
        <v>2019</v>
      </c>
      <c r="K454" s="2" t="s">
        <v>2077</v>
      </c>
      <c r="L454" s="4">
        <v>51585</v>
      </c>
      <c r="M454" s="2" t="s">
        <v>1250</v>
      </c>
      <c r="N454" s="2" t="s">
        <v>1231</v>
      </c>
      <c r="O454" s="2" t="s">
        <v>13</v>
      </c>
      <c r="P454" s="3">
        <v>45428</v>
      </c>
      <c r="Q454" s="4">
        <v>168017</v>
      </c>
      <c r="R454">
        <v>831</v>
      </c>
      <c r="S454" t="str">
        <f>IF(Linked[[#This Row],[Credit Score]]&lt;=579,"Poor",IF(Linked[[#This Row],[Credit Score]]&lt;=669,"Fair",IF(Linked[[#This Row],[Credit Score]]&lt;=739,"Good",IF(Linked[[#This Row],[Credit Score]]&lt;=799,"Very Good",IF(Linked[[#This Row],[Credit Score]]&gt;=800,"Excellent")))))</f>
        <v>Excellent</v>
      </c>
      <c r="T454" s="4">
        <v>0</v>
      </c>
      <c r="U454" s="2"/>
      <c r="V454" s="2"/>
    </row>
    <row r="455" spans="1:22" x14ac:dyDescent="0.25">
      <c r="A455" s="2" t="s">
        <v>506</v>
      </c>
      <c r="B455" s="2" t="s">
        <v>577</v>
      </c>
      <c r="C455" s="2" t="s">
        <v>2076</v>
      </c>
      <c r="D455" s="2" t="s">
        <v>1219</v>
      </c>
      <c r="E455">
        <v>52</v>
      </c>
      <c r="F455" s="2" t="s">
        <v>1228</v>
      </c>
      <c r="G455" s="2" t="s">
        <v>1249</v>
      </c>
      <c r="H455" s="2" t="s">
        <v>1253</v>
      </c>
      <c r="I455" s="1">
        <v>43577</v>
      </c>
      <c r="J455">
        <v>2019</v>
      </c>
      <c r="K455" s="2" t="s">
        <v>2077</v>
      </c>
      <c r="L455" s="4">
        <v>51585</v>
      </c>
      <c r="M455" s="2" t="s">
        <v>1250</v>
      </c>
      <c r="N455" s="2" t="s">
        <v>1231</v>
      </c>
      <c r="O455" s="2" t="s">
        <v>25</v>
      </c>
      <c r="P455" s="3">
        <v>43026</v>
      </c>
      <c r="Q455" s="4">
        <v>316463</v>
      </c>
      <c r="R455">
        <v>803</v>
      </c>
      <c r="S455" t="str">
        <f>IF(Linked[[#This Row],[Credit Score]]&lt;=579,"Poor",IF(Linked[[#This Row],[Credit Score]]&lt;=669,"Fair",IF(Linked[[#This Row],[Credit Score]]&lt;=739,"Good",IF(Linked[[#This Row],[Credit Score]]&lt;=799,"Very Good",IF(Linked[[#This Row],[Credit Score]]&gt;=800,"Excellent")))))</f>
        <v>Excellent</v>
      </c>
      <c r="T455" s="4">
        <v>0</v>
      </c>
      <c r="U455" s="2"/>
      <c r="V455" s="2"/>
    </row>
    <row r="456" spans="1:22" x14ac:dyDescent="0.25">
      <c r="A456" s="2" t="s">
        <v>508</v>
      </c>
      <c r="B456" s="2" t="s">
        <v>507</v>
      </c>
      <c r="C456" s="2" t="s">
        <v>2215</v>
      </c>
      <c r="D456" s="2" t="s">
        <v>1219</v>
      </c>
      <c r="E456">
        <v>73</v>
      </c>
      <c r="F456" s="2" t="s">
        <v>1263</v>
      </c>
      <c r="G456" s="2" t="s">
        <v>1229</v>
      </c>
      <c r="H456" s="2" t="s">
        <v>1235</v>
      </c>
      <c r="I456" s="1">
        <v>42386</v>
      </c>
      <c r="J456">
        <v>2016</v>
      </c>
      <c r="K456" s="2" t="s">
        <v>2216</v>
      </c>
      <c r="L456" s="4">
        <v>46155</v>
      </c>
      <c r="M456" s="2" t="s">
        <v>1250</v>
      </c>
      <c r="N456" s="2" t="s">
        <v>1224</v>
      </c>
      <c r="O456" s="2" t="s">
        <v>13</v>
      </c>
      <c r="P456" s="3">
        <v>44424</v>
      </c>
      <c r="Q456" s="4">
        <v>441153</v>
      </c>
      <c r="R456">
        <v>689</v>
      </c>
      <c r="S456" t="str">
        <f>IF(Linked[[#This Row],[Credit Score]]&lt;=579,"Poor",IF(Linked[[#This Row],[Credit Score]]&lt;=669,"Fair",IF(Linked[[#This Row],[Credit Score]]&lt;=739,"Good",IF(Linked[[#This Row],[Credit Score]]&lt;=799,"Very Good",IF(Linked[[#This Row],[Credit Score]]&gt;=800,"Excellent")))))</f>
        <v>Good</v>
      </c>
      <c r="T456" s="4">
        <v>34992</v>
      </c>
      <c r="U456" s="2"/>
      <c r="V456" s="2"/>
    </row>
    <row r="457" spans="1:22" x14ac:dyDescent="0.25">
      <c r="A457" s="2" t="s">
        <v>508</v>
      </c>
      <c r="B457" s="2" t="s">
        <v>774</v>
      </c>
      <c r="C457" s="2" t="s">
        <v>2215</v>
      </c>
      <c r="D457" s="2" t="s">
        <v>1219</v>
      </c>
      <c r="E457">
        <v>73</v>
      </c>
      <c r="F457" s="2" t="s">
        <v>1263</v>
      </c>
      <c r="G457" s="2" t="s">
        <v>1229</v>
      </c>
      <c r="H457" s="2" t="s">
        <v>1235</v>
      </c>
      <c r="I457" s="1">
        <v>42386</v>
      </c>
      <c r="J457">
        <v>2016</v>
      </c>
      <c r="K457" s="2" t="s">
        <v>2216</v>
      </c>
      <c r="L457" s="4">
        <v>46155</v>
      </c>
      <c r="M457" s="2" t="s">
        <v>1250</v>
      </c>
      <c r="N457" s="2" t="s">
        <v>1224</v>
      </c>
      <c r="O457" s="2" t="s">
        <v>13</v>
      </c>
      <c r="P457" s="3">
        <v>44958</v>
      </c>
      <c r="Q457" s="4">
        <v>150331</v>
      </c>
      <c r="R457">
        <v>770</v>
      </c>
      <c r="S457" t="str">
        <f>IF(Linked[[#This Row],[Credit Score]]&lt;=579,"Poor",IF(Linked[[#This Row],[Credit Score]]&lt;=669,"Fair",IF(Linked[[#This Row],[Credit Score]]&lt;=739,"Good",IF(Linked[[#This Row],[Credit Score]]&lt;=799,"Very Good",IF(Linked[[#This Row],[Credit Score]]&gt;=800,"Excellent")))))</f>
        <v>Very Good</v>
      </c>
      <c r="T457" s="4">
        <v>0</v>
      </c>
      <c r="U457" s="2"/>
      <c r="V457" s="2"/>
    </row>
    <row r="458" spans="1:22" x14ac:dyDescent="0.25">
      <c r="A458" s="2" t="s">
        <v>706</v>
      </c>
      <c r="B458" s="2" t="s">
        <v>705</v>
      </c>
      <c r="C458" s="2" t="s">
        <v>1860</v>
      </c>
      <c r="D458" s="2" t="s">
        <v>1219</v>
      </c>
      <c r="E458">
        <v>29</v>
      </c>
      <c r="F458" s="2" t="s">
        <v>1220</v>
      </c>
      <c r="G458" s="2" t="s">
        <v>1243</v>
      </c>
      <c r="H458" s="2" t="s">
        <v>1253</v>
      </c>
      <c r="I458" s="1">
        <v>43856</v>
      </c>
      <c r="J458">
        <v>2020</v>
      </c>
      <c r="K458" s="2" t="s">
        <v>1861</v>
      </c>
      <c r="L458" s="4">
        <v>94441</v>
      </c>
      <c r="M458" s="2" t="s">
        <v>1245</v>
      </c>
      <c r="N458" s="2" t="s">
        <v>1224</v>
      </c>
      <c r="O458" s="2" t="s">
        <v>10</v>
      </c>
      <c r="P458" s="3">
        <v>45531</v>
      </c>
      <c r="Q458" s="4">
        <v>207352</v>
      </c>
      <c r="R458">
        <v>782</v>
      </c>
      <c r="S458" t="str">
        <f>IF(Linked[[#This Row],[Credit Score]]&lt;=579,"Poor",IF(Linked[[#This Row],[Credit Score]]&lt;=669,"Fair",IF(Linked[[#This Row],[Credit Score]]&lt;=739,"Good",IF(Linked[[#This Row],[Credit Score]]&lt;=799,"Very Good",IF(Linked[[#This Row],[Credit Score]]&gt;=800,"Excellent")))))</f>
        <v>Very Good</v>
      </c>
      <c r="T458" s="4">
        <v>0</v>
      </c>
      <c r="U458" s="2"/>
      <c r="V458" s="2"/>
    </row>
    <row r="459" spans="1:22" x14ac:dyDescent="0.25">
      <c r="A459" s="2" t="s">
        <v>521</v>
      </c>
      <c r="B459" s="2" t="s">
        <v>520</v>
      </c>
      <c r="C459" s="2" t="s">
        <v>2173</v>
      </c>
      <c r="D459" s="2" t="s">
        <v>1227</v>
      </c>
      <c r="E459">
        <v>45</v>
      </c>
      <c r="F459" s="2" t="s">
        <v>1228</v>
      </c>
      <c r="G459" s="2" t="s">
        <v>1243</v>
      </c>
      <c r="H459" s="2" t="s">
        <v>1239</v>
      </c>
      <c r="I459" s="1">
        <v>43760</v>
      </c>
      <c r="J459">
        <v>2019</v>
      </c>
      <c r="K459" s="2" t="s">
        <v>2174</v>
      </c>
      <c r="L459" s="4">
        <v>64738</v>
      </c>
      <c r="M459" s="2" t="s">
        <v>1250</v>
      </c>
      <c r="N459" s="2" t="s">
        <v>1231</v>
      </c>
      <c r="O459" s="2" t="s">
        <v>10</v>
      </c>
      <c r="P459" s="3">
        <v>45120</v>
      </c>
      <c r="Q459" s="4">
        <v>426618</v>
      </c>
      <c r="R459">
        <v>683</v>
      </c>
      <c r="S459" t="str">
        <f>IF(Linked[[#This Row],[Credit Score]]&lt;=579,"Poor",IF(Linked[[#This Row],[Credit Score]]&lt;=669,"Fair",IF(Linked[[#This Row],[Credit Score]]&lt;=739,"Good",IF(Linked[[#This Row],[Credit Score]]&lt;=799,"Very Good",IF(Linked[[#This Row],[Credit Score]]&gt;=800,"Excellent")))))</f>
        <v>Good</v>
      </c>
      <c r="T459" s="4">
        <v>0</v>
      </c>
      <c r="U459" s="2"/>
      <c r="V459" s="2"/>
    </row>
    <row r="460" spans="1:22" x14ac:dyDescent="0.25">
      <c r="A460" s="2" t="s">
        <v>527</v>
      </c>
      <c r="B460" s="2" t="s">
        <v>526</v>
      </c>
      <c r="C460" s="2" t="s">
        <v>2059</v>
      </c>
      <c r="D460" s="2" t="s">
        <v>1227</v>
      </c>
      <c r="E460">
        <v>64</v>
      </c>
      <c r="F460" s="2" t="s">
        <v>1263</v>
      </c>
      <c r="G460" s="2" t="s">
        <v>1243</v>
      </c>
      <c r="H460" s="2" t="s">
        <v>1222</v>
      </c>
      <c r="I460" s="1">
        <v>44972</v>
      </c>
      <c r="J460">
        <v>2023</v>
      </c>
      <c r="K460" s="2" t="s">
        <v>2060</v>
      </c>
      <c r="L460" s="4">
        <v>59063</v>
      </c>
      <c r="M460" s="2" t="s">
        <v>1250</v>
      </c>
      <c r="N460" s="2" t="s">
        <v>1224</v>
      </c>
      <c r="O460" s="2" t="s">
        <v>13</v>
      </c>
      <c r="P460" s="3">
        <v>44749</v>
      </c>
      <c r="Q460" s="4">
        <v>79698</v>
      </c>
      <c r="R460">
        <v>790</v>
      </c>
      <c r="S460" t="str">
        <f>IF(Linked[[#This Row],[Credit Score]]&lt;=579,"Poor",IF(Linked[[#This Row],[Credit Score]]&lt;=669,"Fair",IF(Linked[[#This Row],[Credit Score]]&lt;=739,"Good",IF(Linked[[#This Row],[Credit Score]]&lt;=799,"Very Good",IF(Linked[[#This Row],[Credit Score]]&gt;=800,"Excellent")))))</f>
        <v>Very Good</v>
      </c>
      <c r="T460" s="4">
        <v>0</v>
      </c>
      <c r="U460" s="2"/>
      <c r="V460" s="2"/>
    </row>
    <row r="461" spans="1:22" x14ac:dyDescent="0.25">
      <c r="A461" s="2" t="s">
        <v>530</v>
      </c>
      <c r="B461" s="2" t="s">
        <v>529</v>
      </c>
      <c r="C461" s="2" t="s">
        <v>2156</v>
      </c>
      <c r="D461" s="2" t="s">
        <v>1219</v>
      </c>
      <c r="E461">
        <v>53</v>
      </c>
      <c r="F461" s="2" t="s">
        <v>1228</v>
      </c>
      <c r="G461" s="2" t="s">
        <v>1229</v>
      </c>
      <c r="H461" s="2" t="s">
        <v>1253</v>
      </c>
      <c r="I461" s="1">
        <v>45052</v>
      </c>
      <c r="J461">
        <v>2023</v>
      </c>
      <c r="K461" s="2" t="s">
        <v>2157</v>
      </c>
      <c r="L461" s="4">
        <v>87649</v>
      </c>
      <c r="M461" s="2" t="s">
        <v>1245</v>
      </c>
      <c r="N461" s="2" t="s">
        <v>1236</v>
      </c>
      <c r="O461" s="2" t="s">
        <v>13</v>
      </c>
      <c r="P461" s="3">
        <v>43976</v>
      </c>
      <c r="Q461" s="4">
        <v>243381</v>
      </c>
      <c r="R461">
        <v>636</v>
      </c>
      <c r="S461" t="str">
        <f>IF(Linked[[#This Row],[Credit Score]]&lt;=579,"Poor",IF(Linked[[#This Row],[Credit Score]]&lt;=669,"Fair",IF(Linked[[#This Row],[Credit Score]]&lt;=739,"Good",IF(Linked[[#This Row],[Credit Score]]&lt;=799,"Very Good",IF(Linked[[#This Row],[Credit Score]]&gt;=800,"Excellent")))))</f>
        <v>Fair</v>
      </c>
      <c r="T461" s="4">
        <v>0</v>
      </c>
      <c r="U461" s="2" t="s">
        <v>39</v>
      </c>
      <c r="V461" s="2"/>
    </row>
    <row r="462" spans="1:22" x14ac:dyDescent="0.25">
      <c r="A462" s="2" t="s">
        <v>535</v>
      </c>
      <c r="B462" s="2" t="s">
        <v>534</v>
      </c>
      <c r="C462" s="2" t="s">
        <v>1909</v>
      </c>
      <c r="D462" s="2" t="s">
        <v>1227</v>
      </c>
      <c r="E462">
        <v>28</v>
      </c>
      <c r="F462" s="2" t="s">
        <v>1242</v>
      </c>
      <c r="G462" s="2" t="s">
        <v>1243</v>
      </c>
      <c r="H462" s="2" t="s">
        <v>1235</v>
      </c>
      <c r="I462" s="1">
        <v>42293</v>
      </c>
      <c r="J462">
        <v>2015</v>
      </c>
      <c r="K462" s="2" t="s">
        <v>1910</v>
      </c>
      <c r="L462" s="4">
        <v>82768</v>
      </c>
      <c r="M462" s="2" t="s">
        <v>1245</v>
      </c>
      <c r="N462" s="2" t="s">
        <v>1224</v>
      </c>
      <c r="O462" s="2" t="s">
        <v>13</v>
      </c>
      <c r="P462" s="3">
        <v>44983</v>
      </c>
      <c r="Q462" s="4">
        <v>45095</v>
      </c>
      <c r="R462">
        <v>731</v>
      </c>
      <c r="S462" t="str">
        <f>IF(Linked[[#This Row],[Credit Score]]&lt;=579,"Poor",IF(Linked[[#This Row],[Credit Score]]&lt;=669,"Fair",IF(Linked[[#This Row],[Credit Score]]&lt;=739,"Good",IF(Linked[[#This Row],[Credit Score]]&lt;=799,"Very Good",IF(Linked[[#This Row],[Credit Score]]&gt;=800,"Excellent")))))</f>
        <v>Good</v>
      </c>
      <c r="T462" s="4">
        <v>0</v>
      </c>
      <c r="U462" s="2"/>
      <c r="V462" s="2"/>
    </row>
    <row r="463" spans="1:22" x14ac:dyDescent="0.25">
      <c r="A463" s="2" t="s">
        <v>535</v>
      </c>
      <c r="B463" s="2" t="s">
        <v>728</v>
      </c>
      <c r="C463" s="2" t="s">
        <v>1909</v>
      </c>
      <c r="D463" s="2" t="s">
        <v>1227</v>
      </c>
      <c r="E463">
        <v>28</v>
      </c>
      <c r="F463" s="2" t="s">
        <v>1242</v>
      </c>
      <c r="G463" s="2" t="s">
        <v>1243</v>
      </c>
      <c r="H463" s="2" t="s">
        <v>1235</v>
      </c>
      <c r="I463" s="1">
        <v>42293</v>
      </c>
      <c r="J463">
        <v>2015</v>
      </c>
      <c r="K463" s="2" t="s">
        <v>1910</v>
      </c>
      <c r="L463" s="4">
        <v>82768</v>
      </c>
      <c r="M463" s="2" t="s">
        <v>1245</v>
      </c>
      <c r="N463" s="2" t="s">
        <v>1224</v>
      </c>
      <c r="O463" s="2" t="s">
        <v>10</v>
      </c>
      <c r="P463" s="3">
        <v>42950</v>
      </c>
      <c r="Q463" s="4">
        <v>65133</v>
      </c>
      <c r="R463">
        <v>562</v>
      </c>
      <c r="S463" t="str">
        <f>IF(Linked[[#This Row],[Credit Score]]&lt;=579,"Poor",IF(Linked[[#This Row],[Credit Score]]&lt;=669,"Fair",IF(Linked[[#This Row],[Credit Score]]&lt;=739,"Good",IF(Linked[[#This Row],[Credit Score]]&lt;=799,"Very Good",IF(Linked[[#This Row],[Credit Score]]&gt;=800,"Excellent")))))</f>
        <v>Poor</v>
      </c>
      <c r="T463" s="4">
        <v>12837</v>
      </c>
      <c r="U463" s="2"/>
      <c r="V463" s="2"/>
    </row>
    <row r="464" spans="1:22" x14ac:dyDescent="0.25">
      <c r="A464" s="2" t="s">
        <v>549</v>
      </c>
      <c r="B464" s="2" t="s">
        <v>548</v>
      </c>
      <c r="C464" s="2" t="s">
        <v>2275</v>
      </c>
      <c r="D464" s="2" t="s">
        <v>1219</v>
      </c>
      <c r="E464">
        <v>22</v>
      </c>
      <c r="F464" s="2" t="s">
        <v>1242</v>
      </c>
      <c r="G464" s="2" t="s">
        <v>1249</v>
      </c>
      <c r="H464" s="2" t="s">
        <v>1253</v>
      </c>
      <c r="I464" s="1">
        <v>43346</v>
      </c>
      <c r="J464">
        <v>2018</v>
      </c>
      <c r="K464" s="2" t="s">
        <v>2276</v>
      </c>
      <c r="L464" s="4">
        <v>81212</v>
      </c>
      <c r="M464" s="2" t="s">
        <v>1245</v>
      </c>
      <c r="N464" s="2" t="s">
        <v>1231</v>
      </c>
      <c r="O464" s="2" t="s">
        <v>13</v>
      </c>
      <c r="P464" s="3">
        <v>43077</v>
      </c>
      <c r="Q464" s="4">
        <v>486521</v>
      </c>
      <c r="R464">
        <v>654</v>
      </c>
      <c r="S464" t="str">
        <f>IF(Linked[[#This Row],[Credit Score]]&lt;=579,"Poor",IF(Linked[[#This Row],[Credit Score]]&lt;=669,"Fair",IF(Linked[[#This Row],[Credit Score]]&lt;=739,"Good",IF(Linked[[#This Row],[Credit Score]]&lt;=799,"Very Good",IF(Linked[[#This Row],[Credit Score]]&gt;=800,"Excellent")))))</f>
        <v>Fair</v>
      </c>
      <c r="T464" s="4">
        <v>0</v>
      </c>
      <c r="U464" s="2" t="s">
        <v>39</v>
      </c>
      <c r="V464" s="2"/>
    </row>
    <row r="465" spans="1:22" x14ac:dyDescent="0.25">
      <c r="A465" s="2" t="s">
        <v>557</v>
      </c>
      <c r="B465" s="2" t="s">
        <v>556</v>
      </c>
      <c r="C465" s="2" t="s">
        <v>2092</v>
      </c>
      <c r="D465" s="2" t="s">
        <v>1227</v>
      </c>
      <c r="E465">
        <v>58</v>
      </c>
      <c r="F465" s="2" t="s">
        <v>1228</v>
      </c>
      <c r="G465" s="2" t="s">
        <v>1249</v>
      </c>
      <c r="H465" s="2" t="s">
        <v>1235</v>
      </c>
      <c r="I465" s="1">
        <v>44545</v>
      </c>
      <c r="J465">
        <v>2021</v>
      </c>
      <c r="K465" s="2" t="s">
        <v>2093</v>
      </c>
      <c r="L465" s="4">
        <v>196422</v>
      </c>
      <c r="M465" s="2" t="s">
        <v>1223</v>
      </c>
      <c r="N465" s="2" t="s">
        <v>1236</v>
      </c>
      <c r="O465" s="2" t="s">
        <v>25</v>
      </c>
      <c r="P465" s="3">
        <v>44495</v>
      </c>
      <c r="Q465" s="4">
        <v>270170</v>
      </c>
      <c r="R465">
        <v>697</v>
      </c>
      <c r="S465" t="str">
        <f>IF(Linked[[#This Row],[Credit Score]]&lt;=579,"Poor",IF(Linked[[#This Row],[Credit Score]]&lt;=669,"Fair",IF(Linked[[#This Row],[Credit Score]]&lt;=739,"Good",IF(Linked[[#This Row],[Credit Score]]&lt;=799,"Very Good",IF(Linked[[#This Row],[Credit Score]]&gt;=800,"Excellent")))))</f>
        <v>Good</v>
      </c>
      <c r="T465" s="4">
        <v>0</v>
      </c>
      <c r="U465" s="2"/>
      <c r="V465" s="2"/>
    </row>
    <row r="466" spans="1:22" x14ac:dyDescent="0.25">
      <c r="A466" s="2" t="s">
        <v>557</v>
      </c>
      <c r="B466" s="2" t="s">
        <v>807</v>
      </c>
      <c r="C466" s="2" t="s">
        <v>2092</v>
      </c>
      <c r="D466" s="2" t="s">
        <v>1227</v>
      </c>
      <c r="E466">
        <v>58</v>
      </c>
      <c r="F466" s="2" t="s">
        <v>1228</v>
      </c>
      <c r="G466" s="2" t="s">
        <v>1249</v>
      </c>
      <c r="H466" s="2" t="s">
        <v>1235</v>
      </c>
      <c r="I466" s="1">
        <v>44545</v>
      </c>
      <c r="J466">
        <v>2021</v>
      </c>
      <c r="K466" s="2" t="s">
        <v>2093</v>
      </c>
      <c r="L466" s="4">
        <v>196422</v>
      </c>
      <c r="M466" s="2" t="s">
        <v>1223</v>
      </c>
      <c r="N466" s="2" t="s">
        <v>1236</v>
      </c>
      <c r="O466" s="2" t="s">
        <v>32</v>
      </c>
      <c r="P466" s="3">
        <v>43580</v>
      </c>
      <c r="Q466" s="4">
        <v>431653</v>
      </c>
      <c r="R466">
        <v>462</v>
      </c>
      <c r="S466" t="str">
        <f>IF(Linked[[#This Row],[Credit Score]]&lt;=579,"Poor",IF(Linked[[#This Row],[Credit Score]]&lt;=669,"Fair",IF(Linked[[#This Row],[Credit Score]]&lt;=739,"Good",IF(Linked[[#This Row],[Credit Score]]&lt;=799,"Very Good",IF(Linked[[#This Row],[Credit Score]]&gt;=800,"Excellent")))))</f>
        <v>Poor</v>
      </c>
      <c r="T466" s="4">
        <v>217986</v>
      </c>
      <c r="U466" s="2"/>
      <c r="V466" s="2"/>
    </row>
    <row r="467" spans="1:22" x14ac:dyDescent="0.25">
      <c r="A467" s="2" t="s">
        <v>573</v>
      </c>
      <c r="B467" s="2" t="s">
        <v>572</v>
      </c>
      <c r="C467" s="2" t="s">
        <v>2074</v>
      </c>
      <c r="D467" s="2" t="s">
        <v>1227</v>
      </c>
      <c r="E467">
        <v>53</v>
      </c>
      <c r="F467" s="2" t="s">
        <v>1228</v>
      </c>
      <c r="G467" s="2" t="s">
        <v>1229</v>
      </c>
      <c r="H467" s="2" t="s">
        <v>1244</v>
      </c>
      <c r="I467" s="1">
        <v>45157</v>
      </c>
      <c r="J467">
        <v>2023</v>
      </c>
      <c r="K467" s="2" t="s">
        <v>2075</v>
      </c>
      <c r="L467" s="4">
        <v>182932</v>
      </c>
      <c r="M467" s="2" t="s">
        <v>1223</v>
      </c>
      <c r="N467" s="2" t="s">
        <v>1231</v>
      </c>
      <c r="O467" s="2" t="s">
        <v>13</v>
      </c>
      <c r="P467" s="3">
        <v>42483</v>
      </c>
      <c r="Q467" s="4">
        <v>448828</v>
      </c>
      <c r="R467">
        <v>458</v>
      </c>
      <c r="S467" t="str">
        <f>IF(Linked[[#This Row],[Credit Score]]&lt;=579,"Poor",IF(Linked[[#This Row],[Credit Score]]&lt;=669,"Fair",IF(Linked[[#This Row],[Credit Score]]&lt;=739,"Good",IF(Linked[[#This Row],[Credit Score]]&lt;=799,"Very Good",IF(Linked[[#This Row],[Credit Score]]&gt;=800,"Excellent")))))</f>
        <v>Poor</v>
      </c>
      <c r="T467" s="4">
        <v>0</v>
      </c>
      <c r="U467" s="2"/>
      <c r="V467" s="2"/>
    </row>
    <row r="468" spans="1:22" x14ac:dyDescent="0.25">
      <c r="A468" s="2" t="s">
        <v>813</v>
      </c>
      <c r="B468" s="2" t="s">
        <v>812</v>
      </c>
      <c r="C468" s="2" t="s">
        <v>1961</v>
      </c>
      <c r="D468" s="2" t="s">
        <v>1227</v>
      </c>
      <c r="E468">
        <v>18</v>
      </c>
      <c r="F468" s="2" t="s">
        <v>1242</v>
      </c>
      <c r="G468" s="2" t="s">
        <v>1249</v>
      </c>
      <c r="H468" s="2" t="s">
        <v>1253</v>
      </c>
      <c r="I468" s="1">
        <v>42347</v>
      </c>
      <c r="J468">
        <v>2015</v>
      </c>
      <c r="K468" s="2" t="s">
        <v>1962</v>
      </c>
      <c r="L468" s="4">
        <v>53662</v>
      </c>
      <c r="M468" s="2" t="s">
        <v>1250</v>
      </c>
      <c r="N468" s="2" t="s">
        <v>1224</v>
      </c>
      <c r="O468" s="2" t="s">
        <v>10</v>
      </c>
      <c r="P468" s="3">
        <v>42833</v>
      </c>
      <c r="Q468" s="4">
        <v>486675</v>
      </c>
      <c r="R468">
        <v>714</v>
      </c>
      <c r="S468" t="str">
        <f>IF(Linked[[#This Row],[Credit Score]]&lt;=579,"Poor",IF(Linked[[#This Row],[Credit Score]]&lt;=669,"Fair",IF(Linked[[#This Row],[Credit Score]]&lt;=739,"Good",IF(Linked[[#This Row],[Credit Score]]&lt;=799,"Very Good",IF(Linked[[#This Row],[Credit Score]]&gt;=800,"Excellent")))))</f>
        <v>Good</v>
      </c>
      <c r="T468" s="4">
        <v>0</v>
      </c>
      <c r="U468" s="2"/>
      <c r="V468" s="2"/>
    </row>
    <row r="469" spans="1:22" x14ac:dyDescent="0.25">
      <c r="A469" s="2" t="s">
        <v>595</v>
      </c>
      <c r="B469" s="2" t="s">
        <v>594</v>
      </c>
      <c r="C469" s="2" t="s">
        <v>2138</v>
      </c>
      <c r="D469" s="2" t="s">
        <v>1219</v>
      </c>
      <c r="E469">
        <v>70</v>
      </c>
      <c r="F469" s="2" t="s">
        <v>1263</v>
      </c>
      <c r="G469" s="2" t="s">
        <v>1249</v>
      </c>
      <c r="H469" s="2" t="s">
        <v>1239</v>
      </c>
      <c r="I469" s="1">
        <v>43022</v>
      </c>
      <c r="J469">
        <v>2017</v>
      </c>
      <c r="K469" s="2" t="s">
        <v>2139</v>
      </c>
      <c r="L469" s="4">
        <v>155720</v>
      </c>
      <c r="M469" s="2" t="s">
        <v>1223</v>
      </c>
      <c r="N469" s="2" t="s">
        <v>1231</v>
      </c>
      <c r="O469" s="2" t="s">
        <v>32</v>
      </c>
      <c r="P469" s="3">
        <v>44417</v>
      </c>
      <c r="Q469" s="4">
        <v>273721</v>
      </c>
      <c r="R469">
        <v>649</v>
      </c>
      <c r="S469" t="str">
        <f>IF(Linked[[#This Row],[Credit Score]]&lt;=579,"Poor",IF(Linked[[#This Row],[Credit Score]]&lt;=669,"Fair",IF(Linked[[#This Row],[Credit Score]]&lt;=739,"Good",IF(Linked[[#This Row],[Credit Score]]&lt;=799,"Very Good",IF(Linked[[#This Row],[Credit Score]]&gt;=800,"Excellent")))))</f>
        <v>Fair</v>
      </c>
      <c r="T469" s="4">
        <v>0</v>
      </c>
      <c r="U469" s="2"/>
      <c r="V469" s="2"/>
    </row>
    <row r="470" spans="1:22" x14ac:dyDescent="0.25">
      <c r="A470" s="2" t="s">
        <v>597</v>
      </c>
      <c r="B470" s="2" t="s">
        <v>596</v>
      </c>
      <c r="C470" s="2" t="s">
        <v>2061</v>
      </c>
      <c r="D470" s="2" t="s">
        <v>1219</v>
      </c>
      <c r="E470">
        <v>38</v>
      </c>
      <c r="F470" s="2" t="s">
        <v>1220</v>
      </c>
      <c r="G470" s="2" t="s">
        <v>1249</v>
      </c>
      <c r="H470" s="2" t="s">
        <v>1259</v>
      </c>
      <c r="I470" s="1">
        <v>44538</v>
      </c>
      <c r="J470">
        <v>2021</v>
      </c>
      <c r="K470" s="2" t="s">
        <v>2062</v>
      </c>
      <c r="L470" s="4">
        <v>134225</v>
      </c>
      <c r="M470" s="2" t="s">
        <v>1245</v>
      </c>
      <c r="N470" s="2" t="s">
        <v>1231</v>
      </c>
      <c r="O470" s="2" t="s">
        <v>13</v>
      </c>
      <c r="P470" s="3">
        <v>45227</v>
      </c>
      <c r="Q470" s="4">
        <v>339443</v>
      </c>
      <c r="R470">
        <v>793</v>
      </c>
      <c r="S470" t="str">
        <f>IF(Linked[[#This Row],[Credit Score]]&lt;=579,"Poor",IF(Linked[[#This Row],[Credit Score]]&lt;=669,"Fair",IF(Linked[[#This Row],[Credit Score]]&lt;=739,"Good",IF(Linked[[#This Row],[Credit Score]]&lt;=799,"Very Good",IF(Linked[[#This Row],[Credit Score]]&gt;=800,"Excellent")))))</f>
        <v>Very Good</v>
      </c>
      <c r="T470" s="4">
        <v>393333</v>
      </c>
      <c r="U470" s="2"/>
      <c r="V470" s="2"/>
    </row>
    <row r="471" spans="1:22" x14ac:dyDescent="0.25">
      <c r="A471" s="2" t="s">
        <v>777</v>
      </c>
      <c r="B471" s="2" t="s">
        <v>776</v>
      </c>
      <c r="C471" s="2" t="s">
        <v>1982</v>
      </c>
      <c r="D471" s="2" t="s">
        <v>1219</v>
      </c>
      <c r="E471">
        <v>48</v>
      </c>
      <c r="F471" s="2" t="s">
        <v>1228</v>
      </c>
      <c r="G471" s="2" t="s">
        <v>1221</v>
      </c>
      <c r="H471" s="2" t="s">
        <v>1253</v>
      </c>
      <c r="I471" s="1">
        <v>43154</v>
      </c>
      <c r="J471">
        <v>2018</v>
      </c>
      <c r="K471" s="2" t="s">
        <v>1983</v>
      </c>
      <c r="L471" s="4">
        <v>152632</v>
      </c>
      <c r="M471" s="2" t="s">
        <v>1223</v>
      </c>
      <c r="N471" s="2" t="s">
        <v>1224</v>
      </c>
      <c r="O471" s="2" t="s">
        <v>25</v>
      </c>
      <c r="P471" s="3">
        <v>42705</v>
      </c>
      <c r="Q471" s="4">
        <v>378669</v>
      </c>
      <c r="R471">
        <v>726</v>
      </c>
      <c r="S471" t="str">
        <f>IF(Linked[[#This Row],[Credit Score]]&lt;=579,"Poor",IF(Linked[[#This Row],[Credit Score]]&lt;=669,"Fair",IF(Linked[[#This Row],[Credit Score]]&lt;=739,"Good",IF(Linked[[#This Row],[Credit Score]]&lt;=799,"Very Good",IF(Linked[[#This Row],[Credit Score]]&gt;=800,"Excellent")))))</f>
        <v>Good</v>
      </c>
      <c r="T471" s="4">
        <v>0</v>
      </c>
      <c r="U471" s="2" t="s">
        <v>39</v>
      </c>
      <c r="V471" s="2"/>
    </row>
    <row r="472" spans="1:22" x14ac:dyDescent="0.25">
      <c r="A472" s="2" t="s">
        <v>750</v>
      </c>
      <c r="B472" s="2" t="s">
        <v>749</v>
      </c>
      <c r="C472" s="2" t="s">
        <v>1991</v>
      </c>
      <c r="D472" s="2" t="s">
        <v>1219</v>
      </c>
      <c r="E472">
        <v>56</v>
      </c>
      <c r="F472" s="2" t="s">
        <v>1228</v>
      </c>
      <c r="G472" s="2" t="s">
        <v>1249</v>
      </c>
      <c r="H472" s="2" t="s">
        <v>1253</v>
      </c>
      <c r="I472" s="1">
        <v>45560</v>
      </c>
      <c r="J472">
        <v>2024</v>
      </c>
      <c r="K472" s="2" t="s">
        <v>1550</v>
      </c>
      <c r="L472" s="4">
        <v>182962</v>
      </c>
      <c r="M472" s="2" t="s">
        <v>1223</v>
      </c>
      <c r="N472" s="2" t="s">
        <v>1231</v>
      </c>
      <c r="O472" s="2" t="s">
        <v>10</v>
      </c>
      <c r="P472" s="3">
        <v>45088</v>
      </c>
      <c r="Q472" s="4">
        <v>25939</v>
      </c>
      <c r="R472">
        <v>680</v>
      </c>
      <c r="S472" t="str">
        <f>IF(Linked[[#This Row],[Credit Score]]&lt;=579,"Poor",IF(Linked[[#This Row],[Credit Score]]&lt;=669,"Fair",IF(Linked[[#This Row],[Credit Score]]&lt;=739,"Good",IF(Linked[[#This Row],[Credit Score]]&lt;=799,"Very Good",IF(Linked[[#This Row],[Credit Score]]&gt;=800,"Excellent")))))</f>
        <v>Good</v>
      </c>
      <c r="T472" s="4">
        <v>13720</v>
      </c>
      <c r="U472" s="2"/>
      <c r="V472" s="2"/>
    </row>
    <row r="473" spans="1:22" x14ac:dyDescent="0.25">
      <c r="A473" s="2" t="s">
        <v>604</v>
      </c>
      <c r="B473" s="2" t="s">
        <v>603</v>
      </c>
      <c r="C473" s="2" t="s">
        <v>2262</v>
      </c>
      <c r="D473" s="2" t="s">
        <v>1227</v>
      </c>
      <c r="E473">
        <v>65</v>
      </c>
      <c r="F473" s="2" t="s">
        <v>1263</v>
      </c>
      <c r="G473" s="2" t="s">
        <v>1249</v>
      </c>
      <c r="H473" s="2" t="s">
        <v>1230</v>
      </c>
      <c r="I473" s="1">
        <v>42602</v>
      </c>
      <c r="J473">
        <v>2016</v>
      </c>
      <c r="K473" s="2" t="s">
        <v>2263</v>
      </c>
      <c r="L473" s="4">
        <v>139273</v>
      </c>
      <c r="M473" s="2" t="s">
        <v>1245</v>
      </c>
      <c r="N473" s="2" t="s">
        <v>1231</v>
      </c>
      <c r="O473" s="2" t="s">
        <v>25</v>
      </c>
      <c r="P473" s="3">
        <v>44803</v>
      </c>
      <c r="Q473" s="4">
        <v>483007</v>
      </c>
      <c r="R473">
        <v>445</v>
      </c>
      <c r="S473" t="str">
        <f>IF(Linked[[#This Row],[Credit Score]]&lt;=579,"Poor",IF(Linked[[#This Row],[Credit Score]]&lt;=669,"Fair",IF(Linked[[#This Row],[Credit Score]]&lt;=739,"Good",IF(Linked[[#This Row],[Credit Score]]&lt;=799,"Very Good",IF(Linked[[#This Row],[Credit Score]]&gt;=800,"Excellent")))))</f>
        <v>Poor</v>
      </c>
      <c r="T473" s="4">
        <v>0</v>
      </c>
      <c r="U473" s="2"/>
      <c r="V473" s="2"/>
    </row>
    <row r="474" spans="1:22" x14ac:dyDescent="0.25">
      <c r="A474" s="2" t="s">
        <v>652</v>
      </c>
      <c r="B474" s="2" t="s">
        <v>651</v>
      </c>
      <c r="C474" s="2" t="s">
        <v>2004</v>
      </c>
      <c r="D474" s="2" t="s">
        <v>1219</v>
      </c>
      <c r="E474">
        <v>20</v>
      </c>
      <c r="F474" s="2" t="s">
        <v>1242</v>
      </c>
      <c r="G474" s="2" t="s">
        <v>1221</v>
      </c>
      <c r="H474" s="2" t="s">
        <v>1222</v>
      </c>
      <c r="I474" s="1">
        <v>43727</v>
      </c>
      <c r="J474">
        <v>2019</v>
      </c>
      <c r="K474" s="2" t="s">
        <v>2005</v>
      </c>
      <c r="L474" s="4">
        <v>22356</v>
      </c>
      <c r="M474" s="2" t="s">
        <v>1250</v>
      </c>
      <c r="N474" s="2" t="s">
        <v>1224</v>
      </c>
      <c r="O474" s="2" t="s">
        <v>32</v>
      </c>
      <c r="P474" s="3">
        <v>45188</v>
      </c>
      <c r="Q474" s="4">
        <v>39178</v>
      </c>
      <c r="R474">
        <v>424</v>
      </c>
      <c r="S474" t="str">
        <f>IF(Linked[[#This Row],[Credit Score]]&lt;=579,"Poor",IF(Linked[[#This Row],[Credit Score]]&lt;=669,"Fair",IF(Linked[[#This Row],[Credit Score]]&lt;=739,"Good",IF(Linked[[#This Row],[Credit Score]]&lt;=799,"Very Good",IF(Linked[[#This Row],[Credit Score]]&gt;=800,"Excellent")))))</f>
        <v>Poor</v>
      </c>
      <c r="T474" s="4">
        <v>0</v>
      </c>
      <c r="U474" s="2"/>
      <c r="V474" s="2"/>
    </row>
    <row r="475" spans="1:22" x14ac:dyDescent="0.25">
      <c r="A475" s="2" t="s">
        <v>809</v>
      </c>
      <c r="B475" s="2" t="s">
        <v>808</v>
      </c>
      <c r="C475" s="2" t="s">
        <v>2008</v>
      </c>
      <c r="D475" s="2" t="s">
        <v>1227</v>
      </c>
      <c r="E475">
        <v>30</v>
      </c>
      <c r="F475" s="2" t="s">
        <v>1220</v>
      </c>
      <c r="G475" s="2" t="s">
        <v>1243</v>
      </c>
      <c r="H475" s="2" t="s">
        <v>1235</v>
      </c>
      <c r="I475" s="1">
        <v>43847</v>
      </c>
      <c r="J475">
        <v>2020</v>
      </c>
      <c r="K475" s="2" t="s">
        <v>1948</v>
      </c>
      <c r="L475" s="4">
        <v>112447</v>
      </c>
      <c r="M475" s="2" t="s">
        <v>1245</v>
      </c>
      <c r="N475" s="2" t="s">
        <v>1224</v>
      </c>
      <c r="O475" s="2" t="s">
        <v>10</v>
      </c>
      <c r="P475" s="3">
        <v>43023</v>
      </c>
      <c r="Q475" s="4">
        <v>297647</v>
      </c>
      <c r="R475">
        <v>740</v>
      </c>
      <c r="S475" t="str">
        <f>IF(Linked[[#This Row],[Credit Score]]&lt;=579,"Poor",IF(Linked[[#This Row],[Credit Score]]&lt;=669,"Fair",IF(Linked[[#This Row],[Credit Score]]&lt;=739,"Good",IF(Linked[[#This Row],[Credit Score]]&lt;=799,"Very Good",IF(Linked[[#This Row],[Credit Score]]&gt;=800,"Excellent")))))</f>
        <v>Very Good</v>
      </c>
      <c r="T475" s="4">
        <v>0</v>
      </c>
      <c r="U475" s="2"/>
      <c r="V475" s="2"/>
    </row>
    <row r="476" spans="1:22" x14ac:dyDescent="0.25">
      <c r="A476" s="2" t="s">
        <v>616</v>
      </c>
      <c r="B476" s="2" t="s">
        <v>615</v>
      </c>
      <c r="C476" s="2" t="s">
        <v>2096</v>
      </c>
      <c r="D476" s="2" t="s">
        <v>1219</v>
      </c>
      <c r="E476">
        <v>31</v>
      </c>
      <c r="F476" s="2" t="s">
        <v>1220</v>
      </c>
      <c r="G476" s="2" t="s">
        <v>1249</v>
      </c>
      <c r="H476" s="2" t="s">
        <v>1239</v>
      </c>
      <c r="I476" s="1">
        <v>45372</v>
      </c>
      <c r="J476">
        <v>2024</v>
      </c>
      <c r="K476" s="2" t="s">
        <v>2097</v>
      </c>
      <c r="L476" s="4">
        <v>49426</v>
      </c>
      <c r="M476" s="2" t="s">
        <v>1250</v>
      </c>
      <c r="N476" s="2" t="s">
        <v>1224</v>
      </c>
      <c r="O476" s="2" t="s">
        <v>13</v>
      </c>
      <c r="P476" s="3">
        <v>45080</v>
      </c>
      <c r="Q476" s="4">
        <v>123099</v>
      </c>
      <c r="R476">
        <v>405</v>
      </c>
      <c r="S476" t="str">
        <f>IF(Linked[[#This Row],[Credit Score]]&lt;=579,"Poor",IF(Linked[[#This Row],[Credit Score]]&lt;=669,"Fair",IF(Linked[[#This Row],[Credit Score]]&lt;=739,"Good",IF(Linked[[#This Row],[Credit Score]]&lt;=799,"Very Good",IF(Linked[[#This Row],[Credit Score]]&gt;=800,"Excellent")))))</f>
        <v>Poor</v>
      </c>
      <c r="T476" s="4">
        <v>0</v>
      </c>
      <c r="U476" s="2"/>
      <c r="V476" s="2"/>
    </row>
    <row r="477" spans="1:22" x14ac:dyDescent="0.25">
      <c r="A477" s="2" t="s">
        <v>616</v>
      </c>
      <c r="B477" s="2" t="s">
        <v>686</v>
      </c>
      <c r="C477" s="2" t="s">
        <v>2096</v>
      </c>
      <c r="D477" s="2" t="s">
        <v>1219</v>
      </c>
      <c r="E477">
        <v>31</v>
      </c>
      <c r="F477" s="2" t="s">
        <v>1220</v>
      </c>
      <c r="G477" s="2" t="s">
        <v>1249</v>
      </c>
      <c r="H477" s="2" t="s">
        <v>1239</v>
      </c>
      <c r="I477" s="1">
        <v>45372</v>
      </c>
      <c r="J477">
        <v>2024</v>
      </c>
      <c r="K477" s="2" t="s">
        <v>2097</v>
      </c>
      <c r="L477" s="4">
        <v>49426</v>
      </c>
      <c r="M477" s="2" t="s">
        <v>1250</v>
      </c>
      <c r="N477" s="2" t="s">
        <v>1224</v>
      </c>
      <c r="O477" s="2" t="s">
        <v>10</v>
      </c>
      <c r="P477" s="3">
        <v>42266</v>
      </c>
      <c r="Q477" s="4">
        <v>477697</v>
      </c>
      <c r="R477">
        <v>398</v>
      </c>
      <c r="S477" t="str">
        <f>IF(Linked[[#This Row],[Credit Score]]&lt;=579,"Poor",IF(Linked[[#This Row],[Credit Score]]&lt;=669,"Fair",IF(Linked[[#This Row],[Credit Score]]&lt;=739,"Good",IF(Linked[[#This Row],[Credit Score]]&lt;=799,"Very Good",IF(Linked[[#This Row],[Credit Score]]&gt;=800,"Excellent")))))</f>
        <v>Poor</v>
      </c>
      <c r="T477" s="4">
        <v>0</v>
      </c>
      <c r="U477" s="2"/>
      <c r="V477" s="2"/>
    </row>
    <row r="478" spans="1:22" x14ac:dyDescent="0.25">
      <c r="A478" s="2" t="s">
        <v>619</v>
      </c>
      <c r="B478" s="2" t="s">
        <v>618</v>
      </c>
      <c r="C478" s="2" t="s">
        <v>2051</v>
      </c>
      <c r="D478" s="2" t="s">
        <v>1219</v>
      </c>
      <c r="E478">
        <v>61</v>
      </c>
      <c r="F478" s="2" t="s">
        <v>1263</v>
      </c>
      <c r="G478" s="2" t="s">
        <v>1229</v>
      </c>
      <c r="H478" s="2" t="s">
        <v>1253</v>
      </c>
      <c r="I478" s="1">
        <v>44798</v>
      </c>
      <c r="J478">
        <v>2022</v>
      </c>
      <c r="K478" s="2" t="s">
        <v>2052</v>
      </c>
      <c r="L478" s="4">
        <v>45963</v>
      </c>
      <c r="M478" s="2" t="s">
        <v>1250</v>
      </c>
      <c r="N478" s="2" t="s">
        <v>1224</v>
      </c>
      <c r="O478" s="2" t="s">
        <v>13</v>
      </c>
      <c r="P478" s="3">
        <v>42725</v>
      </c>
      <c r="Q478" s="4">
        <v>428956</v>
      </c>
      <c r="R478">
        <v>395</v>
      </c>
      <c r="S478" t="str">
        <f>IF(Linked[[#This Row],[Credit Score]]&lt;=579,"Poor",IF(Linked[[#This Row],[Credit Score]]&lt;=669,"Fair",IF(Linked[[#This Row],[Credit Score]]&lt;=739,"Good",IF(Linked[[#This Row],[Credit Score]]&lt;=799,"Very Good",IF(Linked[[#This Row],[Credit Score]]&gt;=800,"Excellent")))))</f>
        <v>Poor</v>
      </c>
      <c r="T478" s="4">
        <v>0</v>
      </c>
      <c r="U478" s="2"/>
      <c r="V478" s="2"/>
    </row>
    <row r="479" spans="1:22" x14ac:dyDescent="0.25">
      <c r="A479" s="2" t="s">
        <v>619</v>
      </c>
      <c r="B479" s="2" t="s">
        <v>626</v>
      </c>
      <c r="C479" s="2" t="s">
        <v>2051</v>
      </c>
      <c r="D479" s="2" t="s">
        <v>1219</v>
      </c>
      <c r="E479">
        <v>61</v>
      </c>
      <c r="F479" s="2" t="s">
        <v>1263</v>
      </c>
      <c r="G479" s="2" t="s">
        <v>1229</v>
      </c>
      <c r="H479" s="2" t="s">
        <v>1253</v>
      </c>
      <c r="I479" s="1">
        <v>44798</v>
      </c>
      <c r="J479">
        <v>2022</v>
      </c>
      <c r="K479" s="2" t="s">
        <v>2052</v>
      </c>
      <c r="L479" s="4">
        <v>45963</v>
      </c>
      <c r="M479" s="2" t="s">
        <v>1250</v>
      </c>
      <c r="N479" s="2" t="s">
        <v>1224</v>
      </c>
      <c r="O479" s="2" t="s">
        <v>13</v>
      </c>
      <c r="P479" s="3">
        <v>42862</v>
      </c>
      <c r="Q479" s="4">
        <v>279518</v>
      </c>
      <c r="R479">
        <v>753</v>
      </c>
      <c r="S479" t="str">
        <f>IF(Linked[[#This Row],[Credit Score]]&lt;=579,"Poor",IF(Linked[[#This Row],[Credit Score]]&lt;=669,"Fair",IF(Linked[[#This Row],[Credit Score]]&lt;=739,"Good",IF(Linked[[#This Row],[Credit Score]]&lt;=799,"Very Good",IF(Linked[[#This Row],[Credit Score]]&gt;=800,"Excellent")))))</f>
        <v>Very Good</v>
      </c>
      <c r="T479" s="4">
        <v>155953</v>
      </c>
      <c r="U479" s="2" t="s">
        <v>59</v>
      </c>
      <c r="V479" s="2"/>
    </row>
    <row r="480" spans="1:22" x14ac:dyDescent="0.25">
      <c r="A480" s="2" t="s">
        <v>636</v>
      </c>
      <c r="B480" s="2" t="s">
        <v>635</v>
      </c>
      <c r="C480" s="2" t="s">
        <v>2130</v>
      </c>
      <c r="D480" s="2" t="s">
        <v>1227</v>
      </c>
      <c r="E480">
        <v>55</v>
      </c>
      <c r="F480" s="2" t="s">
        <v>1228</v>
      </c>
      <c r="G480" s="2" t="s">
        <v>1221</v>
      </c>
      <c r="H480" s="2" t="s">
        <v>1222</v>
      </c>
      <c r="I480" s="1">
        <v>45608</v>
      </c>
      <c r="J480">
        <v>2024</v>
      </c>
      <c r="K480" s="2" t="s">
        <v>2131</v>
      </c>
      <c r="L480" s="4">
        <v>46916</v>
      </c>
      <c r="M480" s="2" t="s">
        <v>1250</v>
      </c>
      <c r="N480" s="2" t="s">
        <v>1231</v>
      </c>
      <c r="O480" s="2" t="s">
        <v>25</v>
      </c>
      <c r="P480" s="3">
        <v>42334</v>
      </c>
      <c r="Q480" s="4">
        <v>197097</v>
      </c>
      <c r="R480">
        <v>692</v>
      </c>
      <c r="S480" t="str">
        <f>IF(Linked[[#This Row],[Credit Score]]&lt;=579,"Poor",IF(Linked[[#This Row],[Credit Score]]&lt;=669,"Fair",IF(Linked[[#This Row],[Credit Score]]&lt;=739,"Good",IF(Linked[[#This Row],[Credit Score]]&lt;=799,"Very Good",IF(Linked[[#This Row],[Credit Score]]&gt;=800,"Excellent")))))</f>
        <v>Good</v>
      </c>
      <c r="T480" s="4">
        <v>96288</v>
      </c>
      <c r="U480" s="2"/>
      <c r="V480" s="2"/>
    </row>
    <row r="481" spans="1:22" x14ac:dyDescent="0.25">
      <c r="A481" s="2" t="s">
        <v>685</v>
      </c>
      <c r="B481" s="2" t="s">
        <v>684</v>
      </c>
      <c r="C481" s="2" t="s">
        <v>2055</v>
      </c>
      <c r="D481" s="2" t="s">
        <v>1227</v>
      </c>
      <c r="E481">
        <v>49</v>
      </c>
      <c r="F481" s="2" t="s">
        <v>1228</v>
      </c>
      <c r="G481" s="2" t="s">
        <v>1221</v>
      </c>
      <c r="H481" s="2" t="s">
        <v>1230</v>
      </c>
      <c r="I481" s="1">
        <v>44918</v>
      </c>
      <c r="J481">
        <v>2022</v>
      </c>
      <c r="K481" s="2" t="s">
        <v>2056</v>
      </c>
      <c r="L481" s="4">
        <v>190515</v>
      </c>
      <c r="M481" s="2" t="s">
        <v>1223</v>
      </c>
      <c r="N481" s="2" t="s">
        <v>1224</v>
      </c>
      <c r="O481" s="2" t="s">
        <v>32</v>
      </c>
      <c r="P481" s="3">
        <v>45268</v>
      </c>
      <c r="Q481" s="4">
        <v>315097</v>
      </c>
      <c r="R481">
        <v>347</v>
      </c>
      <c r="S481" t="str">
        <f>IF(Linked[[#This Row],[Credit Score]]&lt;=579,"Poor",IF(Linked[[#This Row],[Credit Score]]&lt;=669,"Fair",IF(Linked[[#This Row],[Credit Score]]&lt;=739,"Good",IF(Linked[[#This Row],[Credit Score]]&lt;=799,"Very Good",IF(Linked[[#This Row],[Credit Score]]&gt;=800,"Excellent")))))</f>
        <v>Poor</v>
      </c>
      <c r="T481" s="4">
        <v>0</v>
      </c>
      <c r="U481" s="2" t="s">
        <v>39</v>
      </c>
      <c r="V481" s="2"/>
    </row>
    <row r="482" spans="1:22" x14ac:dyDescent="0.25">
      <c r="A482" s="2" t="s">
        <v>657</v>
      </c>
      <c r="B482" s="2" t="s">
        <v>656</v>
      </c>
      <c r="C482" s="2" t="s">
        <v>2114</v>
      </c>
      <c r="D482" s="2" t="s">
        <v>1219</v>
      </c>
      <c r="E482">
        <v>40</v>
      </c>
      <c r="F482" s="2" t="s">
        <v>1220</v>
      </c>
      <c r="G482" s="2" t="s">
        <v>1249</v>
      </c>
      <c r="H482" s="2" t="s">
        <v>1244</v>
      </c>
      <c r="I482" s="1">
        <v>44268</v>
      </c>
      <c r="J482">
        <v>2021</v>
      </c>
      <c r="K482" s="2" t="s">
        <v>2115</v>
      </c>
      <c r="L482" s="4">
        <v>77056</v>
      </c>
      <c r="M482" s="2" t="s">
        <v>1245</v>
      </c>
      <c r="N482" s="2" t="s">
        <v>1224</v>
      </c>
      <c r="O482" s="2" t="s">
        <v>13</v>
      </c>
      <c r="P482" s="3">
        <v>43532</v>
      </c>
      <c r="Q482" s="4">
        <v>454151</v>
      </c>
      <c r="R482">
        <v>346</v>
      </c>
      <c r="S482" t="str">
        <f>IF(Linked[[#This Row],[Credit Score]]&lt;=579,"Poor",IF(Linked[[#This Row],[Credit Score]]&lt;=669,"Fair",IF(Linked[[#This Row],[Credit Score]]&lt;=739,"Good",IF(Linked[[#This Row],[Credit Score]]&lt;=799,"Very Good",IF(Linked[[#This Row],[Credit Score]]&gt;=800,"Excellent")))))</f>
        <v>Poor</v>
      </c>
      <c r="T482" s="4">
        <v>0</v>
      </c>
      <c r="U482" s="2"/>
      <c r="V482" s="2"/>
    </row>
    <row r="483" spans="1:22" x14ac:dyDescent="0.25">
      <c r="A483" s="2" t="s">
        <v>662</v>
      </c>
      <c r="B483" s="2" t="s">
        <v>661</v>
      </c>
      <c r="C483" s="2" t="s">
        <v>2065</v>
      </c>
      <c r="D483" s="2" t="s">
        <v>1227</v>
      </c>
      <c r="E483">
        <v>71</v>
      </c>
      <c r="F483" s="2" t="s">
        <v>1263</v>
      </c>
      <c r="G483" s="2" t="s">
        <v>1221</v>
      </c>
      <c r="H483" s="2" t="s">
        <v>1253</v>
      </c>
      <c r="I483" s="1">
        <v>43995</v>
      </c>
      <c r="J483">
        <v>2020</v>
      </c>
      <c r="K483" s="2" t="s">
        <v>2066</v>
      </c>
      <c r="L483" s="4">
        <v>100818</v>
      </c>
      <c r="M483" s="2" t="s">
        <v>1245</v>
      </c>
      <c r="N483" s="2" t="s">
        <v>1224</v>
      </c>
      <c r="O483" s="2" t="s">
        <v>32</v>
      </c>
      <c r="P483" s="3">
        <v>42983</v>
      </c>
      <c r="Q483" s="4">
        <v>300856</v>
      </c>
      <c r="R483">
        <v>580</v>
      </c>
      <c r="S483" t="str">
        <f>IF(Linked[[#This Row],[Credit Score]]&lt;=579,"Poor",IF(Linked[[#This Row],[Credit Score]]&lt;=669,"Fair",IF(Linked[[#This Row],[Credit Score]]&lt;=739,"Good",IF(Linked[[#This Row],[Credit Score]]&lt;=799,"Very Good",IF(Linked[[#This Row],[Credit Score]]&gt;=800,"Excellent")))))</f>
        <v>Fair</v>
      </c>
      <c r="T483" s="4">
        <v>0</v>
      </c>
      <c r="U483" s="2"/>
      <c r="V483" s="2"/>
    </row>
    <row r="484" spans="1:22" x14ac:dyDescent="0.25">
      <c r="A484" s="2" t="s">
        <v>659</v>
      </c>
      <c r="B484" s="2" t="s">
        <v>658</v>
      </c>
      <c r="C484" s="2" t="s">
        <v>2142</v>
      </c>
      <c r="D484" s="2" t="s">
        <v>1227</v>
      </c>
      <c r="E484">
        <v>45</v>
      </c>
      <c r="F484" s="2" t="s">
        <v>1228</v>
      </c>
      <c r="G484" s="2" t="s">
        <v>1243</v>
      </c>
      <c r="H484" s="2" t="s">
        <v>1259</v>
      </c>
      <c r="I484" s="1">
        <v>43432</v>
      </c>
      <c r="J484">
        <v>2018</v>
      </c>
      <c r="K484" s="2" t="s">
        <v>2143</v>
      </c>
      <c r="L484" s="4">
        <v>116059</v>
      </c>
      <c r="M484" s="2" t="s">
        <v>1245</v>
      </c>
      <c r="N484" s="2" t="s">
        <v>1224</v>
      </c>
      <c r="O484" s="2" t="s">
        <v>10</v>
      </c>
      <c r="P484" s="3">
        <v>45259</v>
      </c>
      <c r="Q484" s="4">
        <v>16999</v>
      </c>
      <c r="R484">
        <v>555</v>
      </c>
      <c r="S484" t="str">
        <f>IF(Linked[[#This Row],[Credit Score]]&lt;=579,"Poor",IF(Linked[[#This Row],[Credit Score]]&lt;=669,"Fair",IF(Linked[[#This Row],[Credit Score]]&lt;=739,"Good",IF(Linked[[#This Row],[Credit Score]]&lt;=799,"Very Good",IF(Linked[[#This Row],[Credit Score]]&gt;=800,"Excellent")))))</f>
        <v>Poor</v>
      </c>
      <c r="T484" s="4">
        <v>378957</v>
      </c>
      <c r="U484" s="2"/>
      <c r="V484" s="2"/>
    </row>
    <row r="485" spans="1:22" x14ac:dyDescent="0.25">
      <c r="A485" s="2" t="s">
        <v>659</v>
      </c>
      <c r="B485" s="2" t="s">
        <v>758</v>
      </c>
      <c r="C485" s="2" t="s">
        <v>2142</v>
      </c>
      <c r="D485" s="2" t="s">
        <v>1227</v>
      </c>
      <c r="E485">
        <v>45</v>
      </c>
      <c r="F485" s="2" t="s">
        <v>1228</v>
      </c>
      <c r="G485" s="2" t="s">
        <v>1243</v>
      </c>
      <c r="H485" s="2" t="s">
        <v>1259</v>
      </c>
      <c r="I485" s="1">
        <v>43432</v>
      </c>
      <c r="J485">
        <v>2018</v>
      </c>
      <c r="K485" s="2" t="s">
        <v>2143</v>
      </c>
      <c r="L485" s="4">
        <v>116059</v>
      </c>
      <c r="M485" s="2" t="s">
        <v>1245</v>
      </c>
      <c r="N485" s="2" t="s">
        <v>1224</v>
      </c>
      <c r="O485" s="2" t="s">
        <v>13</v>
      </c>
      <c r="P485" s="3">
        <v>43877</v>
      </c>
      <c r="Q485" s="4">
        <v>409115</v>
      </c>
      <c r="R485">
        <v>760</v>
      </c>
      <c r="S485" t="str">
        <f>IF(Linked[[#This Row],[Credit Score]]&lt;=579,"Poor",IF(Linked[[#This Row],[Credit Score]]&lt;=669,"Fair",IF(Linked[[#This Row],[Credit Score]]&lt;=739,"Good",IF(Linked[[#This Row],[Credit Score]]&lt;=799,"Very Good",IF(Linked[[#This Row],[Credit Score]]&gt;=800,"Excellent")))))</f>
        <v>Very Good</v>
      </c>
      <c r="T485" s="4">
        <v>419336</v>
      </c>
      <c r="U485" s="2" t="s">
        <v>59</v>
      </c>
      <c r="V485" s="2"/>
    </row>
    <row r="486" spans="1:22" x14ac:dyDescent="0.25">
      <c r="A486" s="2" t="s">
        <v>670</v>
      </c>
      <c r="B486" s="2" t="s">
        <v>669</v>
      </c>
      <c r="C486" s="2" t="s">
        <v>2260</v>
      </c>
      <c r="D486" s="2" t="s">
        <v>1219</v>
      </c>
      <c r="E486">
        <v>38</v>
      </c>
      <c r="F486" s="2" t="s">
        <v>1220</v>
      </c>
      <c r="G486" s="2" t="s">
        <v>1221</v>
      </c>
      <c r="H486" s="2" t="s">
        <v>1239</v>
      </c>
      <c r="I486" s="1">
        <v>42325</v>
      </c>
      <c r="J486">
        <v>2015</v>
      </c>
      <c r="K486" s="2" t="s">
        <v>2261</v>
      </c>
      <c r="L486" s="4">
        <v>176683</v>
      </c>
      <c r="M486" s="2" t="s">
        <v>1223</v>
      </c>
      <c r="N486" s="2" t="s">
        <v>1224</v>
      </c>
      <c r="O486" s="2" t="s">
        <v>10</v>
      </c>
      <c r="P486" s="3">
        <v>42373</v>
      </c>
      <c r="Q486" s="4">
        <v>198237</v>
      </c>
      <c r="R486">
        <v>324</v>
      </c>
      <c r="S486" t="str">
        <f>IF(Linked[[#This Row],[Credit Score]]&lt;=579,"Poor",IF(Linked[[#This Row],[Credit Score]]&lt;=669,"Fair",IF(Linked[[#This Row],[Credit Score]]&lt;=739,"Good",IF(Linked[[#This Row],[Credit Score]]&lt;=799,"Very Good",IF(Linked[[#This Row],[Credit Score]]&gt;=800,"Excellent")))))</f>
        <v>Poor</v>
      </c>
      <c r="T486" s="4">
        <v>349912</v>
      </c>
      <c r="U486" s="2" t="s">
        <v>39</v>
      </c>
      <c r="V486" s="2"/>
    </row>
    <row r="487" spans="1:22" x14ac:dyDescent="0.25">
      <c r="A487" s="2" t="s">
        <v>676</v>
      </c>
      <c r="B487" s="2" t="s">
        <v>675</v>
      </c>
      <c r="C487" s="2" t="s">
        <v>2170</v>
      </c>
      <c r="D487" s="2" t="s">
        <v>1227</v>
      </c>
      <c r="E487">
        <v>37</v>
      </c>
      <c r="F487" s="2" t="s">
        <v>1220</v>
      </c>
      <c r="G487" s="2" t="s">
        <v>1221</v>
      </c>
      <c r="H487" s="2" t="s">
        <v>1235</v>
      </c>
      <c r="I487" s="1">
        <v>43599</v>
      </c>
      <c r="J487">
        <v>2019</v>
      </c>
      <c r="K487" s="2" t="s">
        <v>2171</v>
      </c>
      <c r="L487" s="4">
        <v>141750</v>
      </c>
      <c r="M487" s="2" t="s">
        <v>1223</v>
      </c>
      <c r="N487" s="2" t="s">
        <v>1224</v>
      </c>
      <c r="O487" s="2" t="s">
        <v>10</v>
      </c>
      <c r="P487" s="3">
        <v>42510</v>
      </c>
      <c r="Q487" s="4">
        <v>436523</v>
      </c>
      <c r="R487">
        <v>674</v>
      </c>
      <c r="S487" t="str">
        <f>IF(Linked[[#This Row],[Credit Score]]&lt;=579,"Poor",IF(Linked[[#This Row],[Credit Score]]&lt;=669,"Fair",IF(Linked[[#This Row],[Credit Score]]&lt;=739,"Good",IF(Linked[[#This Row],[Credit Score]]&lt;=799,"Very Good",IF(Linked[[#This Row],[Credit Score]]&gt;=800,"Excellent")))))</f>
        <v>Good</v>
      </c>
      <c r="T487" s="4">
        <v>0</v>
      </c>
      <c r="U487" s="2"/>
      <c r="V487" s="2"/>
    </row>
    <row r="488" spans="1:22" x14ac:dyDescent="0.25">
      <c r="A488" s="2" t="s">
        <v>683</v>
      </c>
      <c r="B488" s="2" t="s">
        <v>682</v>
      </c>
      <c r="C488" s="2" t="s">
        <v>2158</v>
      </c>
      <c r="D488" s="2" t="s">
        <v>1227</v>
      </c>
      <c r="E488">
        <v>44</v>
      </c>
      <c r="F488" s="2" t="s">
        <v>1220</v>
      </c>
      <c r="G488" s="2" t="s">
        <v>1243</v>
      </c>
      <c r="H488" s="2" t="s">
        <v>1244</v>
      </c>
      <c r="I488" s="1">
        <v>43617</v>
      </c>
      <c r="J488">
        <v>2019</v>
      </c>
      <c r="K488" s="2" t="s">
        <v>2159</v>
      </c>
      <c r="L488" s="4">
        <v>84674</v>
      </c>
      <c r="M488" s="2" t="s">
        <v>1245</v>
      </c>
      <c r="N488" s="2" t="s">
        <v>1236</v>
      </c>
      <c r="O488" s="2" t="s">
        <v>13</v>
      </c>
      <c r="P488" s="3">
        <v>45732</v>
      </c>
      <c r="Q488" s="4">
        <v>289360</v>
      </c>
      <c r="R488">
        <v>415</v>
      </c>
      <c r="S488" t="str">
        <f>IF(Linked[[#This Row],[Credit Score]]&lt;=579,"Poor",IF(Linked[[#This Row],[Credit Score]]&lt;=669,"Fair",IF(Linked[[#This Row],[Credit Score]]&lt;=739,"Good",IF(Linked[[#This Row],[Credit Score]]&lt;=799,"Very Good",IF(Linked[[#This Row],[Credit Score]]&gt;=800,"Excellent")))))</f>
        <v>Poor</v>
      </c>
      <c r="T488" s="4">
        <v>0</v>
      </c>
      <c r="U488" s="2" t="s">
        <v>39</v>
      </c>
      <c r="V488" s="2"/>
    </row>
    <row r="489" spans="1:22" x14ac:dyDescent="0.25">
      <c r="A489" s="2" t="s">
        <v>688</v>
      </c>
      <c r="B489" s="2" t="s">
        <v>687</v>
      </c>
      <c r="C489" s="2" t="s">
        <v>2203</v>
      </c>
      <c r="D489" s="2" t="s">
        <v>1227</v>
      </c>
      <c r="E489">
        <v>73</v>
      </c>
      <c r="F489" s="2" t="s">
        <v>1263</v>
      </c>
      <c r="G489" s="2" t="s">
        <v>1249</v>
      </c>
      <c r="H489" s="2" t="s">
        <v>1235</v>
      </c>
      <c r="I489" s="1">
        <v>45486</v>
      </c>
      <c r="J489">
        <v>2024</v>
      </c>
      <c r="K489" s="2" t="s">
        <v>2204</v>
      </c>
      <c r="L489" s="4">
        <v>127803</v>
      </c>
      <c r="M489" s="2" t="s">
        <v>1245</v>
      </c>
      <c r="N489" s="2" t="s">
        <v>1224</v>
      </c>
      <c r="O489" s="2" t="s">
        <v>32</v>
      </c>
      <c r="P489" s="3">
        <v>43009</v>
      </c>
      <c r="Q489" s="4">
        <v>453809</v>
      </c>
      <c r="R489">
        <v>758</v>
      </c>
      <c r="S489" t="str">
        <f>IF(Linked[[#This Row],[Credit Score]]&lt;=579,"Poor",IF(Linked[[#This Row],[Credit Score]]&lt;=669,"Fair",IF(Linked[[#This Row],[Credit Score]]&lt;=739,"Good",IF(Linked[[#This Row],[Credit Score]]&lt;=799,"Very Good",IF(Linked[[#This Row],[Credit Score]]&gt;=800,"Excellent")))))</f>
        <v>Very Good</v>
      </c>
      <c r="T489" s="4">
        <v>0</v>
      </c>
      <c r="U489" s="2"/>
      <c r="V489" s="2"/>
    </row>
    <row r="490" spans="1:22" x14ac:dyDescent="0.25">
      <c r="A490" s="2" t="s">
        <v>690</v>
      </c>
      <c r="B490" s="2" t="s">
        <v>689</v>
      </c>
      <c r="C490" s="2" t="s">
        <v>2164</v>
      </c>
      <c r="D490" s="2" t="s">
        <v>1219</v>
      </c>
      <c r="E490">
        <v>26</v>
      </c>
      <c r="F490" s="2" t="s">
        <v>1242</v>
      </c>
      <c r="G490" s="2" t="s">
        <v>1243</v>
      </c>
      <c r="H490" s="2" t="s">
        <v>1230</v>
      </c>
      <c r="I490" s="1">
        <v>45133</v>
      </c>
      <c r="J490">
        <v>2023</v>
      </c>
      <c r="K490" s="2" t="s">
        <v>2165</v>
      </c>
      <c r="L490" s="4">
        <v>106475</v>
      </c>
      <c r="M490" s="2" t="s">
        <v>1245</v>
      </c>
      <c r="N490" s="2" t="s">
        <v>1224</v>
      </c>
      <c r="O490" s="2" t="s">
        <v>13</v>
      </c>
      <c r="P490" s="3">
        <v>45340</v>
      </c>
      <c r="Q490" s="4">
        <v>465291</v>
      </c>
      <c r="R490">
        <v>822</v>
      </c>
      <c r="S490" t="str">
        <f>IF(Linked[[#This Row],[Credit Score]]&lt;=579,"Poor",IF(Linked[[#This Row],[Credit Score]]&lt;=669,"Fair",IF(Linked[[#This Row],[Credit Score]]&lt;=739,"Good",IF(Linked[[#This Row],[Credit Score]]&lt;=799,"Very Good",IF(Linked[[#This Row],[Credit Score]]&gt;=800,"Excellent")))))</f>
        <v>Excellent</v>
      </c>
      <c r="T490" s="4">
        <v>0</v>
      </c>
      <c r="U490" s="2" t="s">
        <v>59</v>
      </c>
      <c r="V490" s="2"/>
    </row>
    <row r="491" spans="1:22" x14ac:dyDescent="0.25">
      <c r="A491" s="2" t="s">
        <v>690</v>
      </c>
      <c r="B491" s="2" t="s">
        <v>729</v>
      </c>
      <c r="C491" s="2" t="s">
        <v>2164</v>
      </c>
      <c r="D491" s="2" t="s">
        <v>1219</v>
      </c>
      <c r="E491">
        <v>26</v>
      </c>
      <c r="F491" s="2" t="s">
        <v>1242</v>
      </c>
      <c r="G491" s="2" t="s">
        <v>1243</v>
      </c>
      <c r="H491" s="2" t="s">
        <v>1230</v>
      </c>
      <c r="I491" s="1">
        <v>45133</v>
      </c>
      <c r="J491">
        <v>2023</v>
      </c>
      <c r="K491" s="2" t="s">
        <v>2165</v>
      </c>
      <c r="L491" s="4">
        <v>106475</v>
      </c>
      <c r="M491" s="2" t="s">
        <v>1245</v>
      </c>
      <c r="N491" s="2" t="s">
        <v>1224</v>
      </c>
      <c r="O491" s="2" t="s">
        <v>10</v>
      </c>
      <c r="P491" s="3">
        <v>45798</v>
      </c>
      <c r="Q491" s="4">
        <v>376588</v>
      </c>
      <c r="R491">
        <v>311</v>
      </c>
      <c r="S491" t="str">
        <f>IF(Linked[[#This Row],[Credit Score]]&lt;=579,"Poor",IF(Linked[[#This Row],[Credit Score]]&lt;=669,"Fair",IF(Linked[[#This Row],[Credit Score]]&lt;=739,"Good",IF(Linked[[#This Row],[Credit Score]]&lt;=799,"Very Good",IF(Linked[[#This Row],[Credit Score]]&gt;=800,"Excellent")))))</f>
        <v>Poor</v>
      </c>
      <c r="T491" s="4">
        <v>0</v>
      </c>
      <c r="U491" s="2"/>
      <c r="V491" s="2"/>
    </row>
    <row r="492" spans="1:22" x14ac:dyDescent="0.25">
      <c r="A492" s="2" t="s">
        <v>694</v>
      </c>
      <c r="B492" s="2" t="s">
        <v>693</v>
      </c>
      <c r="C492" s="2" t="s">
        <v>2217</v>
      </c>
      <c r="D492" s="2" t="s">
        <v>1227</v>
      </c>
      <c r="E492">
        <v>50</v>
      </c>
      <c r="F492" s="2" t="s">
        <v>1228</v>
      </c>
      <c r="G492" s="2" t="s">
        <v>1249</v>
      </c>
      <c r="H492" s="2" t="s">
        <v>1259</v>
      </c>
      <c r="I492" s="1">
        <v>42416</v>
      </c>
      <c r="J492">
        <v>2016</v>
      </c>
      <c r="K492" s="2" t="s">
        <v>2218</v>
      </c>
      <c r="L492" s="4">
        <v>99671</v>
      </c>
      <c r="M492" s="2" t="s">
        <v>1245</v>
      </c>
      <c r="N492" s="2" t="s">
        <v>1224</v>
      </c>
      <c r="O492" s="2" t="s">
        <v>32</v>
      </c>
      <c r="P492" s="3">
        <v>45173</v>
      </c>
      <c r="Q492" s="4">
        <v>398102</v>
      </c>
      <c r="R492">
        <v>802</v>
      </c>
      <c r="S492" t="str">
        <f>IF(Linked[[#This Row],[Credit Score]]&lt;=579,"Poor",IF(Linked[[#This Row],[Credit Score]]&lt;=669,"Fair",IF(Linked[[#This Row],[Credit Score]]&lt;=739,"Good",IF(Linked[[#This Row],[Credit Score]]&lt;=799,"Very Good",IF(Linked[[#This Row],[Credit Score]]&gt;=800,"Excellent")))))</f>
        <v>Excellent</v>
      </c>
      <c r="T492" s="4">
        <v>0</v>
      </c>
      <c r="U492" s="2"/>
      <c r="V492" s="2"/>
    </row>
    <row r="493" spans="1:22" x14ac:dyDescent="0.25">
      <c r="A493" s="2" t="s">
        <v>826</v>
      </c>
      <c r="B493" s="2" t="s">
        <v>825</v>
      </c>
      <c r="C493" s="2" t="s">
        <v>2120</v>
      </c>
      <c r="D493" s="2" t="s">
        <v>1227</v>
      </c>
      <c r="E493">
        <v>29</v>
      </c>
      <c r="F493" s="2" t="s">
        <v>1220</v>
      </c>
      <c r="G493" s="2" t="s">
        <v>1229</v>
      </c>
      <c r="H493" s="2" t="s">
        <v>1244</v>
      </c>
      <c r="I493" s="1">
        <v>43097</v>
      </c>
      <c r="J493">
        <v>2017</v>
      </c>
      <c r="K493" s="2" t="s">
        <v>2121</v>
      </c>
      <c r="L493" s="4">
        <v>177795</v>
      </c>
      <c r="M493" s="2" t="s">
        <v>1223</v>
      </c>
      <c r="N493" s="2" t="s">
        <v>1236</v>
      </c>
      <c r="O493" s="2" t="s">
        <v>32</v>
      </c>
      <c r="P493" s="3">
        <v>44423</v>
      </c>
      <c r="Q493" s="4">
        <v>485833</v>
      </c>
      <c r="R493">
        <v>615</v>
      </c>
      <c r="S493" t="str">
        <f>IF(Linked[[#This Row],[Credit Score]]&lt;=579,"Poor",IF(Linked[[#This Row],[Credit Score]]&lt;=669,"Fair",IF(Linked[[#This Row],[Credit Score]]&lt;=739,"Good",IF(Linked[[#This Row],[Credit Score]]&lt;=799,"Very Good",IF(Linked[[#This Row],[Credit Score]]&gt;=800,"Excellent")))))</f>
        <v>Fair</v>
      </c>
      <c r="T493" s="4">
        <v>419627</v>
      </c>
      <c r="U493" s="2"/>
      <c r="V493" s="2"/>
    </row>
    <row r="494" spans="1:22" x14ac:dyDescent="0.25">
      <c r="A494" s="2" t="s">
        <v>701</v>
      </c>
      <c r="B494" s="2" t="s">
        <v>700</v>
      </c>
      <c r="C494" s="2" t="s">
        <v>2246</v>
      </c>
      <c r="D494" s="2" t="s">
        <v>1227</v>
      </c>
      <c r="E494">
        <v>66</v>
      </c>
      <c r="F494" s="2" t="s">
        <v>1263</v>
      </c>
      <c r="G494" s="2" t="s">
        <v>1221</v>
      </c>
      <c r="H494" s="2" t="s">
        <v>1244</v>
      </c>
      <c r="I494" s="1">
        <v>44345</v>
      </c>
      <c r="J494">
        <v>2021</v>
      </c>
      <c r="K494" s="2" t="s">
        <v>2247</v>
      </c>
      <c r="L494" s="4">
        <v>152130</v>
      </c>
      <c r="M494" s="2" t="s">
        <v>1223</v>
      </c>
      <c r="N494" s="2" t="s">
        <v>1224</v>
      </c>
      <c r="O494" s="2" t="s">
        <v>13</v>
      </c>
      <c r="P494" s="3">
        <v>44178</v>
      </c>
      <c r="Q494" s="4">
        <v>243056</v>
      </c>
      <c r="R494">
        <v>353</v>
      </c>
      <c r="S494" t="str">
        <f>IF(Linked[[#This Row],[Credit Score]]&lt;=579,"Poor",IF(Linked[[#This Row],[Credit Score]]&lt;=669,"Fair",IF(Linked[[#This Row],[Credit Score]]&lt;=739,"Good",IF(Linked[[#This Row],[Credit Score]]&lt;=799,"Very Good",IF(Linked[[#This Row],[Credit Score]]&gt;=800,"Excellent")))))</f>
        <v>Poor</v>
      </c>
      <c r="T494" s="4">
        <v>0</v>
      </c>
      <c r="U494" s="2"/>
      <c r="V494" s="2"/>
    </row>
    <row r="495" spans="1:22" x14ac:dyDescent="0.25">
      <c r="A495" s="2" t="s">
        <v>708</v>
      </c>
      <c r="B495" s="2" t="s">
        <v>707</v>
      </c>
      <c r="C495" s="2" t="s">
        <v>2255</v>
      </c>
      <c r="D495" s="2" t="s">
        <v>1227</v>
      </c>
      <c r="E495">
        <v>58</v>
      </c>
      <c r="F495" s="2" t="s">
        <v>1228</v>
      </c>
      <c r="G495" s="2" t="s">
        <v>1229</v>
      </c>
      <c r="H495" s="2" t="s">
        <v>1253</v>
      </c>
      <c r="I495" s="1">
        <v>43719</v>
      </c>
      <c r="J495">
        <v>2019</v>
      </c>
      <c r="K495" s="2" t="s">
        <v>1718</v>
      </c>
      <c r="L495" s="4">
        <v>160272</v>
      </c>
      <c r="M495" s="2" t="s">
        <v>1223</v>
      </c>
      <c r="N495" s="2" t="s">
        <v>1231</v>
      </c>
      <c r="O495" s="2" t="s">
        <v>13</v>
      </c>
      <c r="P495" s="3">
        <v>45135</v>
      </c>
      <c r="Q495" s="4">
        <v>102638</v>
      </c>
      <c r="R495">
        <v>486</v>
      </c>
      <c r="S495" t="str">
        <f>IF(Linked[[#This Row],[Credit Score]]&lt;=579,"Poor",IF(Linked[[#This Row],[Credit Score]]&lt;=669,"Fair",IF(Linked[[#This Row],[Credit Score]]&lt;=739,"Good",IF(Linked[[#This Row],[Credit Score]]&lt;=799,"Very Good",IF(Linked[[#This Row],[Credit Score]]&gt;=800,"Excellent")))))</f>
        <v>Poor</v>
      </c>
      <c r="T495" s="4">
        <v>485721</v>
      </c>
      <c r="U495" s="2"/>
      <c r="V495" s="2"/>
    </row>
    <row r="496" spans="1:22" x14ac:dyDescent="0.25">
      <c r="A496" s="2" t="s">
        <v>710</v>
      </c>
      <c r="B496" s="2" t="s">
        <v>709</v>
      </c>
      <c r="C496" s="2" t="s">
        <v>2300</v>
      </c>
      <c r="D496" s="2" t="s">
        <v>1219</v>
      </c>
      <c r="E496">
        <v>34</v>
      </c>
      <c r="F496" s="2" t="s">
        <v>1220</v>
      </c>
      <c r="G496" s="2" t="s">
        <v>1243</v>
      </c>
      <c r="H496" s="2" t="s">
        <v>1244</v>
      </c>
      <c r="I496" s="1">
        <v>42920</v>
      </c>
      <c r="J496">
        <v>2017</v>
      </c>
      <c r="K496" s="2" t="s">
        <v>2301</v>
      </c>
      <c r="L496" s="4">
        <v>42911</v>
      </c>
      <c r="M496" s="2" t="s">
        <v>1250</v>
      </c>
      <c r="N496" s="2" t="s">
        <v>1231</v>
      </c>
      <c r="O496" s="2" t="s">
        <v>13</v>
      </c>
      <c r="P496" s="3">
        <v>44728</v>
      </c>
      <c r="Q496" s="4">
        <v>184514</v>
      </c>
      <c r="R496">
        <v>561</v>
      </c>
      <c r="S496" t="str">
        <f>IF(Linked[[#This Row],[Credit Score]]&lt;=579,"Poor",IF(Linked[[#This Row],[Credit Score]]&lt;=669,"Fair",IF(Linked[[#This Row],[Credit Score]]&lt;=739,"Good",IF(Linked[[#This Row],[Credit Score]]&lt;=799,"Very Good",IF(Linked[[#This Row],[Credit Score]]&gt;=800,"Excellent")))))</f>
        <v>Poor</v>
      </c>
      <c r="T496" s="4">
        <v>0</v>
      </c>
      <c r="U496" s="2" t="s">
        <v>18</v>
      </c>
      <c r="V496" s="2"/>
    </row>
    <row r="497" spans="1:22" x14ac:dyDescent="0.25">
      <c r="A497" s="2" t="s">
        <v>720</v>
      </c>
      <c r="B497" s="2" t="s">
        <v>719</v>
      </c>
      <c r="C497" s="2" t="s">
        <v>2244</v>
      </c>
      <c r="D497" s="2" t="s">
        <v>1219</v>
      </c>
      <c r="E497">
        <v>44</v>
      </c>
      <c r="F497" s="2" t="s">
        <v>1220</v>
      </c>
      <c r="G497" s="2" t="s">
        <v>1229</v>
      </c>
      <c r="H497" s="2" t="s">
        <v>1259</v>
      </c>
      <c r="I497" s="1">
        <v>42954</v>
      </c>
      <c r="J497">
        <v>2017</v>
      </c>
      <c r="K497" s="2" t="s">
        <v>2245</v>
      </c>
      <c r="L497" s="4">
        <v>190102</v>
      </c>
      <c r="M497" s="2" t="s">
        <v>1223</v>
      </c>
      <c r="N497" s="2" t="s">
        <v>1236</v>
      </c>
      <c r="O497" s="2" t="s">
        <v>10</v>
      </c>
      <c r="P497" s="3">
        <v>44658</v>
      </c>
      <c r="Q497" s="4">
        <v>441004</v>
      </c>
      <c r="R497">
        <v>375</v>
      </c>
      <c r="S497" t="str">
        <f>IF(Linked[[#This Row],[Credit Score]]&lt;=579,"Poor",IF(Linked[[#This Row],[Credit Score]]&lt;=669,"Fair",IF(Linked[[#This Row],[Credit Score]]&lt;=739,"Good",IF(Linked[[#This Row],[Credit Score]]&lt;=799,"Very Good",IF(Linked[[#This Row],[Credit Score]]&gt;=800,"Excellent")))))</f>
        <v>Poor</v>
      </c>
      <c r="T497" s="4">
        <v>0</v>
      </c>
      <c r="U497" s="2"/>
      <c r="V497" s="2"/>
    </row>
    <row r="498" spans="1:22" x14ac:dyDescent="0.25">
      <c r="A498" s="2" t="s">
        <v>796</v>
      </c>
      <c r="B498" s="2" t="s">
        <v>795</v>
      </c>
      <c r="C498" s="2" t="s">
        <v>2175</v>
      </c>
      <c r="D498" s="2" t="s">
        <v>1227</v>
      </c>
      <c r="E498">
        <v>65</v>
      </c>
      <c r="F498" s="2" t="s">
        <v>1263</v>
      </c>
      <c r="G498" s="2" t="s">
        <v>1249</v>
      </c>
      <c r="H498" s="2" t="s">
        <v>1222</v>
      </c>
      <c r="I498" s="1">
        <v>45281</v>
      </c>
      <c r="J498">
        <v>2023</v>
      </c>
      <c r="K498" s="2" t="s">
        <v>2176</v>
      </c>
      <c r="L498" s="4">
        <v>53397</v>
      </c>
      <c r="M498" s="2" t="s">
        <v>1250</v>
      </c>
      <c r="N498" s="2" t="s">
        <v>1231</v>
      </c>
      <c r="O498" s="2" t="s">
        <v>13</v>
      </c>
      <c r="P498" s="3">
        <v>45303</v>
      </c>
      <c r="Q498" s="4">
        <v>422117</v>
      </c>
      <c r="R498">
        <v>577</v>
      </c>
      <c r="S498" t="str">
        <f>IF(Linked[[#This Row],[Credit Score]]&lt;=579,"Poor",IF(Linked[[#This Row],[Credit Score]]&lt;=669,"Fair",IF(Linked[[#This Row],[Credit Score]]&lt;=739,"Good",IF(Linked[[#This Row],[Credit Score]]&lt;=799,"Very Good",IF(Linked[[#This Row],[Credit Score]]&gt;=800,"Excellent")))))</f>
        <v>Poor</v>
      </c>
      <c r="T498" s="4">
        <v>0</v>
      </c>
      <c r="U498" s="2"/>
      <c r="V498" s="2"/>
    </row>
    <row r="499" spans="1:22" x14ac:dyDescent="0.25">
      <c r="A499" s="2" t="s">
        <v>828</v>
      </c>
      <c r="B499" s="2" t="s">
        <v>827</v>
      </c>
      <c r="C499" s="2" t="s">
        <v>2188</v>
      </c>
      <c r="D499" s="2" t="s">
        <v>1219</v>
      </c>
      <c r="E499">
        <v>35</v>
      </c>
      <c r="F499" s="2" t="s">
        <v>1220</v>
      </c>
      <c r="G499" s="2" t="s">
        <v>1221</v>
      </c>
      <c r="H499" s="2" t="s">
        <v>1259</v>
      </c>
      <c r="I499" s="1">
        <v>43285</v>
      </c>
      <c r="J499">
        <v>2018</v>
      </c>
      <c r="K499" s="2" t="s">
        <v>2189</v>
      </c>
      <c r="L499" s="4">
        <v>39816</v>
      </c>
      <c r="M499" s="2" t="s">
        <v>1250</v>
      </c>
      <c r="N499" s="2" t="s">
        <v>1231</v>
      </c>
      <c r="O499" s="2" t="s">
        <v>13</v>
      </c>
      <c r="P499" s="3">
        <v>43993</v>
      </c>
      <c r="Q499" s="4">
        <v>443842</v>
      </c>
      <c r="R499">
        <v>443</v>
      </c>
      <c r="S499" t="str">
        <f>IF(Linked[[#This Row],[Credit Score]]&lt;=579,"Poor",IF(Linked[[#This Row],[Credit Score]]&lt;=669,"Fair",IF(Linked[[#This Row],[Credit Score]]&lt;=739,"Good",IF(Linked[[#This Row],[Credit Score]]&lt;=799,"Very Good",IF(Linked[[#This Row],[Credit Score]]&gt;=800,"Excellent")))))</f>
        <v>Poor</v>
      </c>
      <c r="T499" s="4">
        <v>0</v>
      </c>
      <c r="U499" s="2"/>
      <c r="V499" s="2"/>
    </row>
    <row r="500" spans="1:22" x14ac:dyDescent="0.25">
      <c r="A500" s="2" t="s">
        <v>761</v>
      </c>
      <c r="B500" s="2" t="s">
        <v>760</v>
      </c>
      <c r="C500" s="2" t="s">
        <v>2271</v>
      </c>
      <c r="D500" s="2" t="s">
        <v>1219</v>
      </c>
      <c r="E500">
        <v>22</v>
      </c>
      <c r="F500" s="2" t="s">
        <v>1242</v>
      </c>
      <c r="G500" s="2" t="s">
        <v>1243</v>
      </c>
      <c r="H500" s="2" t="s">
        <v>1235</v>
      </c>
      <c r="I500" s="1">
        <v>45512</v>
      </c>
      <c r="J500">
        <v>2024</v>
      </c>
      <c r="K500" s="2" t="s">
        <v>2272</v>
      </c>
      <c r="L500" s="4">
        <v>65272</v>
      </c>
      <c r="M500" s="2" t="s">
        <v>1250</v>
      </c>
      <c r="N500" s="2" t="s">
        <v>1231</v>
      </c>
      <c r="O500" s="2" t="s">
        <v>25</v>
      </c>
      <c r="P500" s="3">
        <v>45318</v>
      </c>
      <c r="Q500" s="4">
        <v>90880</v>
      </c>
      <c r="R500">
        <v>363</v>
      </c>
      <c r="S500" t="str">
        <f>IF(Linked[[#This Row],[Credit Score]]&lt;=579,"Poor",IF(Linked[[#This Row],[Credit Score]]&lt;=669,"Fair",IF(Linked[[#This Row],[Credit Score]]&lt;=739,"Good",IF(Linked[[#This Row],[Credit Score]]&lt;=799,"Very Good",IF(Linked[[#This Row],[Credit Score]]&gt;=800,"Excellent")))))</f>
        <v>Poor</v>
      </c>
      <c r="T500" s="4">
        <v>63655</v>
      </c>
      <c r="U500" s="2"/>
      <c r="V500" s="2"/>
    </row>
    <row r="501" spans="1:22" x14ac:dyDescent="0.25">
      <c r="A501" s="2" t="s">
        <v>803</v>
      </c>
      <c r="B501" s="2" t="s">
        <v>802</v>
      </c>
      <c r="C501" s="2" t="s">
        <v>2224</v>
      </c>
      <c r="D501" s="2" t="s">
        <v>1219</v>
      </c>
      <c r="E501">
        <v>35</v>
      </c>
      <c r="F501" s="2" t="s">
        <v>1220</v>
      </c>
      <c r="G501" s="2" t="s">
        <v>1249</v>
      </c>
      <c r="H501" s="2" t="s">
        <v>1235</v>
      </c>
      <c r="I501" s="1">
        <v>44357</v>
      </c>
      <c r="J501">
        <v>2021</v>
      </c>
      <c r="K501" s="2" t="s">
        <v>2225</v>
      </c>
      <c r="L501" s="4">
        <v>169381</v>
      </c>
      <c r="M501" s="2" t="s">
        <v>1223</v>
      </c>
      <c r="N501" s="2" t="s">
        <v>1224</v>
      </c>
      <c r="O501" s="2" t="s">
        <v>32</v>
      </c>
      <c r="P501" s="3">
        <v>45316</v>
      </c>
      <c r="Q501" s="4">
        <v>393184</v>
      </c>
      <c r="R501">
        <v>777</v>
      </c>
      <c r="S501" t="str">
        <f>IF(Linked[[#This Row],[Credit Score]]&lt;=579,"Poor",IF(Linked[[#This Row],[Credit Score]]&lt;=669,"Fair",IF(Linked[[#This Row],[Credit Score]]&lt;=739,"Good",IF(Linked[[#This Row],[Credit Score]]&lt;=799,"Very Good",IF(Linked[[#This Row],[Credit Score]]&gt;=800,"Excellent")))))</f>
        <v>Very Good</v>
      </c>
      <c r="T501" s="4">
        <v>143266</v>
      </c>
      <c r="U501" s="2"/>
      <c r="V501" s="2"/>
    </row>
    <row r="502" spans="1:22" x14ac:dyDescent="0.25">
      <c r="A502" s="2" t="s">
        <v>801</v>
      </c>
      <c r="B502" s="2" t="s">
        <v>800</v>
      </c>
      <c r="C502" s="2" t="s">
        <v>2273</v>
      </c>
      <c r="D502" s="2" t="s">
        <v>1227</v>
      </c>
      <c r="E502">
        <v>48</v>
      </c>
      <c r="F502" s="2" t="s">
        <v>1228</v>
      </c>
      <c r="G502" s="2" t="s">
        <v>1243</v>
      </c>
      <c r="H502" s="2" t="s">
        <v>1244</v>
      </c>
      <c r="I502" s="1">
        <v>45087</v>
      </c>
      <c r="J502">
        <v>2023</v>
      </c>
      <c r="K502" s="2" t="s">
        <v>2274</v>
      </c>
      <c r="L502" s="4">
        <v>109393</v>
      </c>
      <c r="M502" s="2" t="s">
        <v>1245</v>
      </c>
      <c r="N502" s="2" t="s">
        <v>1224</v>
      </c>
      <c r="O502" s="2" t="s">
        <v>13</v>
      </c>
      <c r="P502" s="3">
        <v>45807</v>
      </c>
      <c r="Q502" s="4">
        <v>461130</v>
      </c>
      <c r="R502">
        <v>789</v>
      </c>
      <c r="S502" t="str">
        <f>IF(Linked[[#This Row],[Credit Score]]&lt;=579,"Poor",IF(Linked[[#This Row],[Credit Score]]&lt;=669,"Fair",IF(Linked[[#This Row],[Credit Score]]&lt;=739,"Good",IF(Linked[[#This Row],[Credit Score]]&lt;=799,"Very Good",IF(Linked[[#This Row],[Credit Score]]&gt;=800,"Excellent")))))</f>
        <v>Very Good</v>
      </c>
      <c r="T502" s="4">
        <v>0</v>
      </c>
      <c r="U502" s="2"/>
      <c r="V502" s="2"/>
    </row>
    <row r="503" spans="1:22" x14ac:dyDescent="0.25">
      <c r="A503" s="2" t="s">
        <v>322</v>
      </c>
      <c r="B503" s="2" t="s">
        <v>832</v>
      </c>
      <c r="C503" s="2" t="s">
        <v>2053</v>
      </c>
      <c r="D503" s="2" t="s">
        <v>1227</v>
      </c>
      <c r="E503">
        <v>62</v>
      </c>
      <c r="F503" s="2" t="s">
        <v>1263</v>
      </c>
      <c r="G503" s="2" t="s">
        <v>1221</v>
      </c>
      <c r="H503" s="2" t="s">
        <v>1259</v>
      </c>
      <c r="I503" s="1">
        <v>42284</v>
      </c>
      <c r="J503">
        <v>2015</v>
      </c>
      <c r="K503" s="2" t="s">
        <v>2054</v>
      </c>
      <c r="L503" s="4">
        <v>121757</v>
      </c>
      <c r="M503" s="2" t="s">
        <v>1245</v>
      </c>
      <c r="N503" s="2" t="s">
        <v>1224</v>
      </c>
      <c r="O503" s="2" t="s">
        <v>25</v>
      </c>
      <c r="P503" s="3">
        <v>44818</v>
      </c>
      <c r="Q503" s="4">
        <v>177826</v>
      </c>
      <c r="R503">
        <v>722</v>
      </c>
      <c r="S503" t="str">
        <f>IF(Linked[[#This Row],[Credit Score]]&lt;=579,"Poor",IF(Linked[[#This Row],[Credit Score]]&lt;=669,"Fair",IF(Linked[[#This Row],[Credit Score]]&lt;=739,"Good",IF(Linked[[#This Row],[Credit Score]]&lt;=799,"Very Good",IF(Linked[[#This Row],[Credit Score]]&gt;=800,"Excellent")))))</f>
        <v>Good</v>
      </c>
      <c r="T503" s="4">
        <v>0</v>
      </c>
      <c r="U503" s="2"/>
      <c r="V503" s="2"/>
    </row>
    <row r="504" spans="1:22" x14ac:dyDescent="0.25">
      <c r="A504" s="2" t="s">
        <v>834</v>
      </c>
      <c r="B504" s="2" t="s">
        <v>833</v>
      </c>
      <c r="C504" s="2" t="s">
        <v>1343</v>
      </c>
      <c r="D504" s="2" t="s">
        <v>1227</v>
      </c>
      <c r="E504">
        <v>37</v>
      </c>
      <c r="F504" s="2" t="s">
        <v>1220</v>
      </c>
      <c r="G504" s="2" t="s">
        <v>1249</v>
      </c>
      <c r="H504" s="2" t="s">
        <v>1259</v>
      </c>
      <c r="I504" s="1">
        <v>44323</v>
      </c>
      <c r="J504">
        <v>2021</v>
      </c>
      <c r="K504" s="2" t="s">
        <v>1344</v>
      </c>
      <c r="L504" s="4">
        <v>27906</v>
      </c>
      <c r="M504" s="2" t="s">
        <v>1250</v>
      </c>
      <c r="N504" s="2" t="s">
        <v>1224</v>
      </c>
      <c r="O504" s="2" t="s">
        <v>32</v>
      </c>
      <c r="P504" s="3">
        <v>45335</v>
      </c>
      <c r="Q504" s="4">
        <v>290446</v>
      </c>
      <c r="R504">
        <v>544</v>
      </c>
      <c r="S504" t="str">
        <f>IF(Linked[[#This Row],[Credit Score]]&lt;=579,"Poor",IF(Linked[[#This Row],[Credit Score]]&lt;=669,"Fair",IF(Linked[[#This Row],[Credit Score]]&lt;=739,"Good",IF(Linked[[#This Row],[Credit Score]]&lt;=799,"Very Good",IF(Linked[[#This Row],[Credit Score]]&gt;=800,"Excellent")))))</f>
        <v>Poor</v>
      </c>
      <c r="T504" s="4">
        <v>0</v>
      </c>
      <c r="U504" s="2"/>
      <c r="V504" s="2"/>
    </row>
    <row r="505" spans="1:22" x14ac:dyDescent="0.25">
      <c r="A505" s="2" t="s">
        <v>836</v>
      </c>
      <c r="B505" s="2" t="s">
        <v>835</v>
      </c>
      <c r="C505" s="2" t="s">
        <v>1327</v>
      </c>
      <c r="D505" s="2" t="s">
        <v>1219</v>
      </c>
      <c r="E505">
        <v>67</v>
      </c>
      <c r="F505" s="2" t="s">
        <v>1263</v>
      </c>
      <c r="G505" s="2" t="s">
        <v>1229</v>
      </c>
      <c r="H505" s="2" t="s">
        <v>1244</v>
      </c>
      <c r="I505" s="1">
        <v>44507</v>
      </c>
      <c r="J505">
        <v>2021</v>
      </c>
      <c r="K505" s="2" t="s">
        <v>1328</v>
      </c>
      <c r="L505" s="4">
        <v>46172</v>
      </c>
      <c r="M505" s="2" t="s">
        <v>1250</v>
      </c>
      <c r="N505" s="2" t="s">
        <v>1231</v>
      </c>
      <c r="O505" s="2" t="s">
        <v>25</v>
      </c>
      <c r="P505" s="3">
        <v>43824</v>
      </c>
      <c r="Q505" s="4">
        <v>322959</v>
      </c>
      <c r="R505">
        <v>406</v>
      </c>
      <c r="S505" t="str">
        <f>IF(Linked[[#This Row],[Credit Score]]&lt;=579,"Poor",IF(Linked[[#This Row],[Credit Score]]&lt;=669,"Fair",IF(Linked[[#This Row],[Credit Score]]&lt;=739,"Good",IF(Linked[[#This Row],[Credit Score]]&lt;=799,"Very Good",IF(Linked[[#This Row],[Credit Score]]&gt;=800,"Excellent")))))</f>
        <v>Poor</v>
      </c>
      <c r="T505" s="4">
        <v>171280</v>
      </c>
      <c r="U505" s="2"/>
      <c r="V505" s="2"/>
    </row>
    <row r="506" spans="1:22" x14ac:dyDescent="0.25">
      <c r="A506" s="2" t="s">
        <v>326</v>
      </c>
      <c r="B506" s="2" t="s">
        <v>837</v>
      </c>
      <c r="C506" s="2" t="s">
        <v>1549</v>
      </c>
      <c r="D506" s="2" t="s">
        <v>1219</v>
      </c>
      <c r="E506">
        <v>66</v>
      </c>
      <c r="F506" s="2" t="s">
        <v>1263</v>
      </c>
      <c r="G506" s="2" t="s">
        <v>1221</v>
      </c>
      <c r="H506" s="2" t="s">
        <v>1259</v>
      </c>
      <c r="I506" s="1">
        <v>45560</v>
      </c>
      <c r="J506">
        <v>2024</v>
      </c>
      <c r="K506" s="2" t="s">
        <v>1550</v>
      </c>
      <c r="L506" s="4">
        <v>83852</v>
      </c>
      <c r="M506" s="2" t="s">
        <v>1245</v>
      </c>
      <c r="N506" s="2" t="s">
        <v>1224</v>
      </c>
      <c r="O506" s="2" t="s">
        <v>32</v>
      </c>
      <c r="P506" s="3">
        <v>44393</v>
      </c>
      <c r="Q506" s="4">
        <v>252156</v>
      </c>
      <c r="R506">
        <v>387</v>
      </c>
      <c r="S506" t="str">
        <f>IF(Linked[[#This Row],[Credit Score]]&lt;=579,"Poor",IF(Linked[[#This Row],[Credit Score]]&lt;=669,"Fair",IF(Linked[[#This Row],[Credit Score]]&lt;=739,"Good",IF(Linked[[#This Row],[Credit Score]]&lt;=799,"Very Good",IF(Linked[[#This Row],[Credit Score]]&gt;=800,"Excellent")))))</f>
        <v>Poor</v>
      </c>
      <c r="T506" s="4">
        <v>0</v>
      </c>
      <c r="U506" s="2"/>
      <c r="V506" s="2"/>
    </row>
    <row r="507" spans="1:22" x14ac:dyDescent="0.25">
      <c r="A507" s="2" t="s">
        <v>201</v>
      </c>
      <c r="B507" s="2" t="s">
        <v>838</v>
      </c>
      <c r="C507" s="2" t="s">
        <v>1461</v>
      </c>
      <c r="D507" s="2" t="s">
        <v>1219</v>
      </c>
      <c r="E507">
        <v>36</v>
      </c>
      <c r="F507" s="2" t="s">
        <v>1220</v>
      </c>
      <c r="G507" s="2" t="s">
        <v>1229</v>
      </c>
      <c r="H507" s="2" t="s">
        <v>1253</v>
      </c>
      <c r="I507" s="1">
        <v>44942</v>
      </c>
      <c r="J507">
        <v>2023</v>
      </c>
      <c r="K507" s="2" t="s">
        <v>1462</v>
      </c>
      <c r="L507" s="4">
        <v>119616</v>
      </c>
      <c r="M507" s="2" t="s">
        <v>1245</v>
      </c>
      <c r="N507" s="2" t="s">
        <v>1231</v>
      </c>
      <c r="O507" s="2" t="s">
        <v>13</v>
      </c>
      <c r="P507" s="3">
        <v>44200</v>
      </c>
      <c r="Q507" s="4">
        <v>477964</v>
      </c>
      <c r="R507">
        <v>428</v>
      </c>
      <c r="S507" t="str">
        <f>IF(Linked[[#This Row],[Credit Score]]&lt;=579,"Poor",IF(Linked[[#This Row],[Credit Score]]&lt;=669,"Fair",IF(Linked[[#This Row],[Credit Score]]&lt;=739,"Good",IF(Linked[[#This Row],[Credit Score]]&lt;=799,"Very Good",IF(Linked[[#This Row],[Credit Score]]&gt;=800,"Excellent")))))</f>
        <v>Poor</v>
      </c>
      <c r="T507" s="4">
        <v>0</v>
      </c>
      <c r="U507" s="2"/>
      <c r="V507" s="2"/>
    </row>
    <row r="508" spans="1:22" x14ac:dyDescent="0.25">
      <c r="A508" s="2" t="s">
        <v>840</v>
      </c>
      <c r="B508" s="2" t="s">
        <v>839</v>
      </c>
      <c r="C508" s="2" t="s">
        <v>1951</v>
      </c>
      <c r="D508" s="2" t="s">
        <v>1219</v>
      </c>
      <c r="E508">
        <v>55</v>
      </c>
      <c r="F508" s="2" t="s">
        <v>1228</v>
      </c>
      <c r="G508" s="2" t="s">
        <v>1249</v>
      </c>
      <c r="H508" s="2" t="s">
        <v>1230</v>
      </c>
      <c r="I508" s="1">
        <v>44461</v>
      </c>
      <c r="J508">
        <v>2021</v>
      </c>
      <c r="K508" s="2" t="s">
        <v>1952</v>
      </c>
      <c r="L508" s="4">
        <v>197235</v>
      </c>
      <c r="M508" s="2" t="s">
        <v>1223</v>
      </c>
      <c r="N508" s="2" t="s">
        <v>1224</v>
      </c>
      <c r="O508" s="2" t="s">
        <v>25</v>
      </c>
      <c r="P508" s="3">
        <v>45083</v>
      </c>
      <c r="Q508" s="4">
        <v>325488</v>
      </c>
      <c r="R508">
        <v>640</v>
      </c>
      <c r="S508" t="str">
        <f>IF(Linked[[#This Row],[Credit Score]]&lt;=579,"Poor",IF(Linked[[#This Row],[Credit Score]]&lt;=669,"Fair",IF(Linked[[#This Row],[Credit Score]]&lt;=739,"Good",IF(Linked[[#This Row],[Credit Score]]&lt;=799,"Very Good",IF(Linked[[#This Row],[Credit Score]]&gt;=800,"Excellent")))))</f>
        <v>Fair</v>
      </c>
      <c r="T508" s="4">
        <v>0</v>
      </c>
      <c r="U508" s="2"/>
      <c r="V508" s="2"/>
    </row>
    <row r="509" spans="1:22" x14ac:dyDescent="0.25">
      <c r="A509" s="2" t="s">
        <v>717</v>
      </c>
      <c r="B509" s="2" t="s">
        <v>841</v>
      </c>
      <c r="C509" s="2" t="s">
        <v>1654</v>
      </c>
      <c r="D509" s="2" t="s">
        <v>1227</v>
      </c>
      <c r="E509">
        <v>68</v>
      </c>
      <c r="F509" s="2" t="s">
        <v>1263</v>
      </c>
      <c r="G509" s="2" t="s">
        <v>1221</v>
      </c>
      <c r="H509" s="2" t="s">
        <v>1235</v>
      </c>
      <c r="I509" s="1">
        <v>43008</v>
      </c>
      <c r="J509">
        <v>2017</v>
      </c>
      <c r="K509" s="2" t="s">
        <v>1655</v>
      </c>
      <c r="L509" s="4">
        <v>109186</v>
      </c>
      <c r="M509" s="2" t="s">
        <v>1245</v>
      </c>
      <c r="N509" s="2" t="s">
        <v>1224</v>
      </c>
      <c r="O509" s="2" t="s">
        <v>25</v>
      </c>
      <c r="P509" s="3">
        <v>45841</v>
      </c>
      <c r="Q509" s="4">
        <v>428834</v>
      </c>
      <c r="R509">
        <v>303</v>
      </c>
      <c r="S509" t="str">
        <f>IF(Linked[[#This Row],[Credit Score]]&lt;=579,"Poor",IF(Linked[[#This Row],[Credit Score]]&lt;=669,"Fair",IF(Linked[[#This Row],[Credit Score]]&lt;=739,"Good",IF(Linked[[#This Row],[Credit Score]]&lt;=799,"Very Good",IF(Linked[[#This Row],[Credit Score]]&gt;=800,"Excellent")))))</f>
        <v>Poor</v>
      </c>
      <c r="T509" s="4">
        <v>260230</v>
      </c>
      <c r="U509" s="2"/>
      <c r="V509" s="2"/>
    </row>
    <row r="510" spans="1:22" x14ac:dyDescent="0.25">
      <c r="A510" s="2" t="s">
        <v>154</v>
      </c>
      <c r="B510" s="2" t="s">
        <v>842</v>
      </c>
      <c r="C510" s="2" t="s">
        <v>1321</v>
      </c>
      <c r="D510" s="2" t="s">
        <v>1227</v>
      </c>
      <c r="E510">
        <v>72</v>
      </c>
      <c r="F510" s="2" t="s">
        <v>1263</v>
      </c>
      <c r="G510" s="2" t="s">
        <v>1229</v>
      </c>
      <c r="H510" s="2" t="s">
        <v>1239</v>
      </c>
      <c r="I510" s="1">
        <v>42533</v>
      </c>
      <c r="J510">
        <v>2016</v>
      </c>
      <c r="K510" s="2" t="s">
        <v>1322</v>
      </c>
      <c r="L510" s="4">
        <v>96898</v>
      </c>
      <c r="M510" s="2" t="s">
        <v>1245</v>
      </c>
      <c r="N510" s="2" t="s">
        <v>1231</v>
      </c>
      <c r="O510" s="2" t="s">
        <v>13</v>
      </c>
      <c r="P510" s="3">
        <v>45133</v>
      </c>
      <c r="Q510" s="4">
        <v>373747</v>
      </c>
      <c r="R510">
        <v>626</v>
      </c>
      <c r="S510" t="str">
        <f>IF(Linked[[#This Row],[Credit Score]]&lt;=579,"Poor",IF(Linked[[#This Row],[Credit Score]]&lt;=669,"Fair",IF(Linked[[#This Row],[Credit Score]]&lt;=739,"Good",IF(Linked[[#This Row],[Credit Score]]&lt;=799,"Very Good",IF(Linked[[#This Row],[Credit Score]]&gt;=800,"Excellent")))))</f>
        <v>Fair</v>
      </c>
      <c r="T510" s="4">
        <v>0</v>
      </c>
      <c r="U510" s="2"/>
      <c r="V510" s="2"/>
    </row>
    <row r="511" spans="1:22" x14ac:dyDescent="0.25">
      <c r="A511" s="2" t="s">
        <v>844</v>
      </c>
      <c r="B511" s="2" t="s">
        <v>843</v>
      </c>
      <c r="C511" s="2" t="s">
        <v>1560</v>
      </c>
      <c r="D511" s="2" t="s">
        <v>1219</v>
      </c>
      <c r="E511">
        <v>29</v>
      </c>
      <c r="F511" s="2" t="s">
        <v>1220</v>
      </c>
      <c r="G511" s="2" t="s">
        <v>1249</v>
      </c>
      <c r="H511" s="2" t="s">
        <v>1222</v>
      </c>
      <c r="I511" s="1">
        <v>43888</v>
      </c>
      <c r="J511">
        <v>2020</v>
      </c>
      <c r="K511" s="2" t="s">
        <v>1561</v>
      </c>
      <c r="L511" s="4">
        <v>193279</v>
      </c>
      <c r="M511" s="2" t="s">
        <v>1223</v>
      </c>
      <c r="N511" s="2" t="s">
        <v>1236</v>
      </c>
      <c r="O511" s="2" t="s">
        <v>32</v>
      </c>
      <c r="P511" s="3">
        <v>43266</v>
      </c>
      <c r="Q511" s="4">
        <v>469450</v>
      </c>
      <c r="R511">
        <v>709</v>
      </c>
      <c r="S511" t="str">
        <f>IF(Linked[[#This Row],[Credit Score]]&lt;=579,"Poor",IF(Linked[[#This Row],[Credit Score]]&lt;=669,"Fair",IF(Linked[[#This Row],[Credit Score]]&lt;=739,"Good",IF(Linked[[#This Row],[Credit Score]]&lt;=799,"Very Good",IF(Linked[[#This Row],[Credit Score]]&gt;=800,"Excellent")))))</f>
        <v>Good</v>
      </c>
      <c r="T511" s="4">
        <v>0</v>
      </c>
      <c r="U511" s="2"/>
      <c r="V511" s="2"/>
    </row>
    <row r="512" spans="1:22" x14ac:dyDescent="0.25">
      <c r="A512" s="2" t="s">
        <v>29</v>
      </c>
      <c r="B512" s="2" t="s">
        <v>845</v>
      </c>
      <c r="C512" s="2" t="s">
        <v>1311</v>
      </c>
      <c r="D512" s="2" t="s">
        <v>1227</v>
      </c>
      <c r="E512">
        <v>71</v>
      </c>
      <c r="F512" s="2" t="s">
        <v>1263</v>
      </c>
      <c r="G512" s="2" t="s">
        <v>1249</v>
      </c>
      <c r="H512" s="2" t="s">
        <v>1244</v>
      </c>
      <c r="I512" s="1">
        <v>44109</v>
      </c>
      <c r="J512">
        <v>2020</v>
      </c>
      <c r="K512" s="2" t="s">
        <v>1312</v>
      </c>
      <c r="L512" s="4">
        <v>165271</v>
      </c>
      <c r="M512" s="2" t="s">
        <v>1223</v>
      </c>
      <c r="N512" s="2" t="s">
        <v>1224</v>
      </c>
      <c r="O512" s="2" t="s">
        <v>13</v>
      </c>
      <c r="P512" s="3">
        <v>42377</v>
      </c>
      <c r="Q512" s="4">
        <v>323258</v>
      </c>
      <c r="R512">
        <v>605</v>
      </c>
      <c r="S512" t="str">
        <f>IF(Linked[[#This Row],[Credit Score]]&lt;=579,"Poor",IF(Linked[[#This Row],[Credit Score]]&lt;=669,"Fair",IF(Linked[[#This Row],[Credit Score]]&lt;=739,"Good",IF(Linked[[#This Row],[Credit Score]]&lt;=799,"Very Good",IF(Linked[[#This Row],[Credit Score]]&gt;=800,"Excellent")))))</f>
        <v>Fair</v>
      </c>
      <c r="T512" s="4">
        <v>0</v>
      </c>
      <c r="U512" s="2"/>
      <c r="V512" s="2"/>
    </row>
    <row r="513" spans="1:22" x14ac:dyDescent="0.25">
      <c r="A513" s="2" t="s">
        <v>847</v>
      </c>
      <c r="B513" s="2" t="s">
        <v>846</v>
      </c>
      <c r="C513" s="2" t="s">
        <v>1963</v>
      </c>
      <c r="D513" s="2" t="s">
        <v>1219</v>
      </c>
      <c r="E513">
        <v>39</v>
      </c>
      <c r="F513" s="2" t="s">
        <v>1220</v>
      </c>
      <c r="G513" s="2" t="s">
        <v>1221</v>
      </c>
      <c r="H513" s="2" t="s">
        <v>1244</v>
      </c>
      <c r="I513" s="1">
        <v>43494</v>
      </c>
      <c r="J513">
        <v>2019</v>
      </c>
      <c r="K513" s="2" t="s">
        <v>1964</v>
      </c>
      <c r="L513" s="4">
        <v>118818</v>
      </c>
      <c r="M513" s="2" t="s">
        <v>1245</v>
      </c>
      <c r="N513" s="2" t="s">
        <v>1231</v>
      </c>
      <c r="O513" s="2" t="s">
        <v>10</v>
      </c>
      <c r="P513" s="3">
        <v>43792</v>
      </c>
      <c r="Q513" s="4">
        <v>248724</v>
      </c>
      <c r="R513">
        <v>524</v>
      </c>
      <c r="S513" t="str">
        <f>IF(Linked[[#This Row],[Credit Score]]&lt;=579,"Poor",IF(Linked[[#This Row],[Credit Score]]&lt;=669,"Fair",IF(Linked[[#This Row],[Credit Score]]&lt;=739,"Good",IF(Linked[[#This Row],[Credit Score]]&lt;=799,"Very Good",IF(Linked[[#This Row],[Credit Score]]&gt;=800,"Excellent")))))</f>
        <v>Poor</v>
      </c>
      <c r="T513" s="4">
        <v>0</v>
      </c>
      <c r="U513" s="2"/>
      <c r="V513" s="2"/>
    </row>
    <row r="514" spans="1:22" x14ac:dyDescent="0.25">
      <c r="A514" s="2" t="s">
        <v>221</v>
      </c>
      <c r="B514" s="2" t="s">
        <v>848</v>
      </c>
      <c r="C514" s="2" t="s">
        <v>1426</v>
      </c>
      <c r="D514" s="2" t="s">
        <v>1227</v>
      </c>
      <c r="E514">
        <v>49</v>
      </c>
      <c r="F514" s="2" t="s">
        <v>1228</v>
      </c>
      <c r="G514" s="2" t="s">
        <v>1249</v>
      </c>
      <c r="H514" s="2" t="s">
        <v>1239</v>
      </c>
      <c r="I514" s="1">
        <v>44288</v>
      </c>
      <c r="J514">
        <v>2021</v>
      </c>
      <c r="K514" s="2" t="s">
        <v>1427</v>
      </c>
      <c r="L514" s="4">
        <v>154092</v>
      </c>
      <c r="M514" s="2" t="s">
        <v>1223</v>
      </c>
      <c r="N514" s="2" t="s">
        <v>1236</v>
      </c>
      <c r="O514" s="2" t="s">
        <v>13</v>
      </c>
      <c r="P514" s="3">
        <v>45597</v>
      </c>
      <c r="Q514" s="4">
        <v>201202</v>
      </c>
      <c r="R514">
        <v>647</v>
      </c>
      <c r="S514" t="str">
        <f>IF(Linked[[#This Row],[Credit Score]]&lt;=579,"Poor",IF(Linked[[#This Row],[Credit Score]]&lt;=669,"Fair",IF(Linked[[#This Row],[Credit Score]]&lt;=739,"Good",IF(Linked[[#This Row],[Credit Score]]&lt;=799,"Very Good",IF(Linked[[#This Row],[Credit Score]]&gt;=800,"Excellent")))))</f>
        <v>Fair</v>
      </c>
      <c r="T514" s="4">
        <v>0</v>
      </c>
      <c r="U514" s="2"/>
      <c r="V514" s="2"/>
    </row>
    <row r="515" spans="1:22" x14ac:dyDescent="0.25">
      <c r="A515" s="2" t="s">
        <v>497</v>
      </c>
      <c r="B515" s="2" t="s">
        <v>849</v>
      </c>
      <c r="C515" s="2" t="s">
        <v>2038</v>
      </c>
      <c r="D515" s="2" t="s">
        <v>1219</v>
      </c>
      <c r="E515">
        <v>42</v>
      </c>
      <c r="F515" s="2" t="s">
        <v>1220</v>
      </c>
      <c r="G515" s="2" t="s">
        <v>1243</v>
      </c>
      <c r="H515" s="2" t="s">
        <v>1253</v>
      </c>
      <c r="I515" s="1">
        <v>44954</v>
      </c>
      <c r="J515">
        <v>2023</v>
      </c>
      <c r="K515" s="2" t="s">
        <v>2017</v>
      </c>
      <c r="L515" s="4">
        <v>181099</v>
      </c>
      <c r="M515" s="2" t="s">
        <v>1223</v>
      </c>
      <c r="N515" s="2" t="s">
        <v>1231</v>
      </c>
      <c r="O515" s="2" t="s">
        <v>10</v>
      </c>
      <c r="P515" s="3">
        <v>45621</v>
      </c>
      <c r="Q515" s="4">
        <v>25525</v>
      </c>
      <c r="R515">
        <v>620</v>
      </c>
      <c r="S515" t="str">
        <f>IF(Linked[[#This Row],[Credit Score]]&lt;=579,"Poor",IF(Linked[[#This Row],[Credit Score]]&lt;=669,"Fair",IF(Linked[[#This Row],[Credit Score]]&lt;=739,"Good",IF(Linked[[#This Row],[Credit Score]]&lt;=799,"Very Good",IF(Linked[[#This Row],[Credit Score]]&gt;=800,"Excellent")))))</f>
        <v>Fair</v>
      </c>
      <c r="T515" s="4">
        <v>0</v>
      </c>
      <c r="U515" s="2"/>
      <c r="V515" s="2"/>
    </row>
    <row r="516" spans="1:22" x14ac:dyDescent="0.25">
      <c r="A516" s="2" t="s">
        <v>655</v>
      </c>
      <c r="B516" s="2" t="s">
        <v>850</v>
      </c>
      <c r="C516" s="2" t="s">
        <v>1850</v>
      </c>
      <c r="D516" s="2" t="s">
        <v>1227</v>
      </c>
      <c r="E516">
        <v>64</v>
      </c>
      <c r="F516" s="2" t="s">
        <v>1263</v>
      </c>
      <c r="G516" s="2" t="s">
        <v>1229</v>
      </c>
      <c r="H516" s="2" t="s">
        <v>1244</v>
      </c>
      <c r="I516" s="1">
        <v>44500</v>
      </c>
      <c r="J516">
        <v>2021</v>
      </c>
      <c r="K516" s="2" t="s">
        <v>1851</v>
      </c>
      <c r="L516" s="4">
        <v>145816</v>
      </c>
      <c r="M516" s="2" t="s">
        <v>1223</v>
      </c>
      <c r="N516" s="2" t="s">
        <v>1236</v>
      </c>
      <c r="O516" s="2" t="s">
        <v>25</v>
      </c>
      <c r="P516" s="3">
        <v>45803</v>
      </c>
      <c r="Q516" s="4">
        <v>79818</v>
      </c>
      <c r="R516">
        <v>480</v>
      </c>
      <c r="S516" t="str">
        <f>IF(Linked[[#This Row],[Credit Score]]&lt;=579,"Poor",IF(Linked[[#This Row],[Credit Score]]&lt;=669,"Fair",IF(Linked[[#This Row],[Credit Score]]&lt;=739,"Good",IF(Linked[[#This Row],[Credit Score]]&lt;=799,"Very Good",IF(Linked[[#This Row],[Credit Score]]&gt;=800,"Excellent")))))</f>
        <v>Poor</v>
      </c>
      <c r="T516" s="4">
        <v>0</v>
      </c>
      <c r="U516" s="2"/>
      <c r="V516" s="2"/>
    </row>
    <row r="517" spans="1:22" x14ac:dyDescent="0.25">
      <c r="A517" s="2" t="s">
        <v>437</v>
      </c>
      <c r="B517" s="2" t="s">
        <v>851</v>
      </c>
      <c r="C517" s="2" t="s">
        <v>2151</v>
      </c>
      <c r="D517" s="2" t="s">
        <v>1219</v>
      </c>
      <c r="E517">
        <v>45</v>
      </c>
      <c r="F517" s="2" t="s">
        <v>1228</v>
      </c>
      <c r="G517" s="2" t="s">
        <v>1249</v>
      </c>
      <c r="H517" s="2" t="s">
        <v>1222</v>
      </c>
      <c r="I517" s="1">
        <v>44111</v>
      </c>
      <c r="J517">
        <v>2020</v>
      </c>
      <c r="K517" s="2" t="s">
        <v>2152</v>
      </c>
      <c r="L517" s="4">
        <v>121520</v>
      </c>
      <c r="M517" s="2" t="s">
        <v>1245</v>
      </c>
      <c r="N517" s="2" t="s">
        <v>1231</v>
      </c>
      <c r="O517" s="2" t="s">
        <v>10</v>
      </c>
      <c r="P517" s="3">
        <v>43514</v>
      </c>
      <c r="Q517" s="4">
        <v>114589</v>
      </c>
      <c r="R517">
        <v>685</v>
      </c>
      <c r="S517" t="str">
        <f>IF(Linked[[#This Row],[Credit Score]]&lt;=579,"Poor",IF(Linked[[#This Row],[Credit Score]]&lt;=669,"Fair",IF(Linked[[#This Row],[Credit Score]]&lt;=739,"Good",IF(Linked[[#This Row],[Credit Score]]&lt;=799,"Very Good",IF(Linked[[#This Row],[Credit Score]]&gt;=800,"Excellent")))))</f>
        <v>Good</v>
      </c>
      <c r="T517" s="4">
        <v>210827</v>
      </c>
      <c r="U517" s="2" t="s">
        <v>18</v>
      </c>
      <c r="V517" s="2"/>
    </row>
    <row r="518" spans="1:22" x14ac:dyDescent="0.25">
      <c r="A518" s="2" t="s">
        <v>433</v>
      </c>
      <c r="B518" s="2" t="s">
        <v>852</v>
      </c>
      <c r="C518" s="2" t="s">
        <v>1984</v>
      </c>
      <c r="D518" s="2" t="s">
        <v>1227</v>
      </c>
      <c r="E518">
        <v>36</v>
      </c>
      <c r="F518" s="2" t="s">
        <v>1220</v>
      </c>
      <c r="G518" s="2" t="s">
        <v>1229</v>
      </c>
      <c r="H518" s="2" t="s">
        <v>1253</v>
      </c>
      <c r="I518" s="1">
        <v>43052</v>
      </c>
      <c r="J518">
        <v>2017</v>
      </c>
      <c r="K518" s="2" t="s">
        <v>1985</v>
      </c>
      <c r="L518" s="4">
        <v>99148</v>
      </c>
      <c r="M518" s="2" t="s">
        <v>1245</v>
      </c>
      <c r="N518" s="2" t="s">
        <v>1236</v>
      </c>
      <c r="O518" s="2" t="s">
        <v>10</v>
      </c>
      <c r="P518" s="3">
        <v>43481</v>
      </c>
      <c r="Q518" s="4">
        <v>145406</v>
      </c>
      <c r="R518">
        <v>407</v>
      </c>
      <c r="S518" t="str">
        <f>IF(Linked[[#This Row],[Credit Score]]&lt;=579,"Poor",IF(Linked[[#This Row],[Credit Score]]&lt;=669,"Fair",IF(Linked[[#This Row],[Credit Score]]&lt;=739,"Good",IF(Linked[[#This Row],[Credit Score]]&lt;=799,"Very Good",IF(Linked[[#This Row],[Credit Score]]&gt;=800,"Excellent")))))</f>
        <v>Poor</v>
      </c>
      <c r="T518" s="4">
        <v>0</v>
      </c>
      <c r="U518" s="2"/>
      <c r="V518" s="2"/>
    </row>
    <row r="519" spans="1:22" x14ac:dyDescent="0.25">
      <c r="A519" s="2" t="s">
        <v>249</v>
      </c>
      <c r="B519" s="2" t="s">
        <v>853</v>
      </c>
      <c r="C519" s="2" t="s">
        <v>1826</v>
      </c>
      <c r="D519" s="2" t="s">
        <v>1219</v>
      </c>
      <c r="E519">
        <v>29</v>
      </c>
      <c r="F519" s="2" t="s">
        <v>1220</v>
      </c>
      <c r="G519" s="2" t="s">
        <v>1243</v>
      </c>
      <c r="H519" s="2" t="s">
        <v>1244</v>
      </c>
      <c r="I519" s="1">
        <v>42737</v>
      </c>
      <c r="J519">
        <v>2017</v>
      </c>
      <c r="K519" s="2" t="s">
        <v>1827</v>
      </c>
      <c r="L519" s="4">
        <v>172876</v>
      </c>
      <c r="M519" s="2" t="s">
        <v>1223</v>
      </c>
      <c r="N519" s="2" t="s">
        <v>1224</v>
      </c>
      <c r="O519" s="2" t="s">
        <v>13</v>
      </c>
      <c r="P519" s="3">
        <v>42986</v>
      </c>
      <c r="Q519" s="4">
        <v>94715</v>
      </c>
      <c r="R519">
        <v>830</v>
      </c>
      <c r="S519" t="str">
        <f>IF(Linked[[#This Row],[Credit Score]]&lt;=579,"Poor",IF(Linked[[#This Row],[Credit Score]]&lt;=669,"Fair",IF(Linked[[#This Row],[Credit Score]]&lt;=739,"Good",IF(Linked[[#This Row],[Credit Score]]&lt;=799,"Very Good",IF(Linked[[#This Row],[Credit Score]]&gt;=800,"Excellent")))))</f>
        <v>Excellent</v>
      </c>
      <c r="T519" s="4">
        <v>0</v>
      </c>
      <c r="U519" s="2"/>
      <c r="V519" s="2"/>
    </row>
    <row r="520" spans="1:22" x14ac:dyDescent="0.25">
      <c r="A520" s="2" t="s">
        <v>318</v>
      </c>
      <c r="B520" s="2" t="s">
        <v>854</v>
      </c>
      <c r="C520" s="2" t="s">
        <v>1575</v>
      </c>
      <c r="D520" s="2" t="s">
        <v>1219</v>
      </c>
      <c r="E520">
        <v>53</v>
      </c>
      <c r="F520" s="2" t="s">
        <v>1228</v>
      </c>
      <c r="G520" s="2" t="s">
        <v>1221</v>
      </c>
      <c r="H520" s="2" t="s">
        <v>1230</v>
      </c>
      <c r="I520" s="1">
        <v>42280</v>
      </c>
      <c r="J520">
        <v>2015</v>
      </c>
      <c r="K520" s="2" t="s">
        <v>1576</v>
      </c>
      <c r="L520" s="4">
        <v>164579</v>
      </c>
      <c r="M520" s="2" t="s">
        <v>1223</v>
      </c>
      <c r="N520" s="2" t="s">
        <v>1236</v>
      </c>
      <c r="O520" s="2" t="s">
        <v>25</v>
      </c>
      <c r="P520" s="3">
        <v>42510</v>
      </c>
      <c r="Q520" s="4">
        <v>193839</v>
      </c>
      <c r="R520">
        <v>709</v>
      </c>
      <c r="S520" t="str">
        <f>IF(Linked[[#This Row],[Credit Score]]&lt;=579,"Poor",IF(Linked[[#This Row],[Credit Score]]&lt;=669,"Fair",IF(Linked[[#This Row],[Credit Score]]&lt;=739,"Good",IF(Linked[[#This Row],[Credit Score]]&lt;=799,"Very Good",IF(Linked[[#This Row],[Credit Score]]&gt;=800,"Excellent")))))</f>
        <v>Good</v>
      </c>
      <c r="T520" s="4">
        <v>0</v>
      </c>
      <c r="U520" s="2"/>
      <c r="V520" s="2"/>
    </row>
    <row r="521" spans="1:22" x14ac:dyDescent="0.25">
      <c r="A521" s="2" t="s">
        <v>638</v>
      </c>
      <c r="B521" s="2" t="s">
        <v>855</v>
      </c>
      <c r="C521" s="2" t="s">
        <v>1465</v>
      </c>
      <c r="D521" s="2" t="s">
        <v>1227</v>
      </c>
      <c r="E521">
        <v>72</v>
      </c>
      <c r="F521" s="2" t="s">
        <v>1263</v>
      </c>
      <c r="G521" s="2" t="s">
        <v>1249</v>
      </c>
      <c r="H521" s="2" t="s">
        <v>1244</v>
      </c>
      <c r="I521" s="1">
        <v>44560</v>
      </c>
      <c r="J521">
        <v>2021</v>
      </c>
      <c r="K521" s="2" t="s">
        <v>1466</v>
      </c>
      <c r="L521" s="4">
        <v>106231</v>
      </c>
      <c r="M521" s="2" t="s">
        <v>1245</v>
      </c>
      <c r="N521" s="2" t="s">
        <v>1224</v>
      </c>
      <c r="O521" s="2" t="s">
        <v>13</v>
      </c>
      <c r="P521" s="3">
        <v>43263</v>
      </c>
      <c r="Q521" s="4">
        <v>268788</v>
      </c>
      <c r="R521">
        <v>595</v>
      </c>
      <c r="S521" t="str">
        <f>IF(Linked[[#This Row],[Credit Score]]&lt;=579,"Poor",IF(Linked[[#This Row],[Credit Score]]&lt;=669,"Fair",IF(Linked[[#This Row],[Credit Score]]&lt;=739,"Good",IF(Linked[[#This Row],[Credit Score]]&lt;=799,"Very Good",IF(Linked[[#This Row],[Credit Score]]&gt;=800,"Excellent")))))</f>
        <v>Fair</v>
      </c>
      <c r="T521" s="4">
        <v>0</v>
      </c>
      <c r="U521" s="2" t="s">
        <v>18</v>
      </c>
      <c r="V521" s="2"/>
    </row>
    <row r="522" spans="1:22" x14ac:dyDescent="0.25">
      <c r="A522" s="2" t="s">
        <v>857</v>
      </c>
      <c r="B522" s="2" t="s">
        <v>856</v>
      </c>
      <c r="C522" s="2" t="s">
        <v>1709</v>
      </c>
      <c r="D522" s="2" t="s">
        <v>1219</v>
      </c>
      <c r="E522">
        <v>43</v>
      </c>
      <c r="F522" s="2" t="s">
        <v>1220</v>
      </c>
      <c r="G522" s="2" t="s">
        <v>1221</v>
      </c>
      <c r="H522" s="2" t="s">
        <v>1230</v>
      </c>
      <c r="I522" s="1">
        <v>43877</v>
      </c>
      <c r="J522">
        <v>2020</v>
      </c>
      <c r="K522" s="2" t="s">
        <v>1710</v>
      </c>
      <c r="L522" s="4">
        <v>171054</v>
      </c>
      <c r="M522" s="2" t="s">
        <v>1223</v>
      </c>
      <c r="N522" s="2" t="s">
        <v>1224</v>
      </c>
      <c r="O522" s="2" t="s">
        <v>10</v>
      </c>
      <c r="P522" s="3">
        <v>44417</v>
      </c>
      <c r="Q522" s="4">
        <v>363298</v>
      </c>
      <c r="R522">
        <v>470</v>
      </c>
      <c r="S522" t="str">
        <f>IF(Linked[[#This Row],[Credit Score]]&lt;=579,"Poor",IF(Linked[[#This Row],[Credit Score]]&lt;=669,"Fair",IF(Linked[[#This Row],[Credit Score]]&lt;=739,"Good",IF(Linked[[#This Row],[Credit Score]]&lt;=799,"Very Good",IF(Linked[[#This Row],[Credit Score]]&gt;=800,"Excellent")))))</f>
        <v>Poor</v>
      </c>
      <c r="T522" s="4">
        <v>0</v>
      </c>
      <c r="U522" s="2"/>
      <c r="V522" s="2"/>
    </row>
    <row r="523" spans="1:22" x14ac:dyDescent="0.25">
      <c r="A523" s="2" t="s">
        <v>738</v>
      </c>
      <c r="B523" s="2" t="s">
        <v>858</v>
      </c>
      <c r="C523" s="2" t="s">
        <v>1566</v>
      </c>
      <c r="D523" s="2" t="s">
        <v>1227</v>
      </c>
      <c r="E523">
        <v>43</v>
      </c>
      <c r="F523" s="2" t="s">
        <v>1220</v>
      </c>
      <c r="G523" s="2" t="s">
        <v>1249</v>
      </c>
      <c r="H523" s="2" t="s">
        <v>1230</v>
      </c>
      <c r="I523" s="1">
        <v>44015</v>
      </c>
      <c r="J523">
        <v>2020</v>
      </c>
      <c r="K523" s="2" t="s">
        <v>1567</v>
      </c>
      <c r="L523" s="4">
        <v>21435</v>
      </c>
      <c r="M523" s="2" t="s">
        <v>1250</v>
      </c>
      <c r="N523" s="2" t="s">
        <v>1224</v>
      </c>
      <c r="O523" s="2" t="s">
        <v>32</v>
      </c>
      <c r="P523" s="3">
        <v>45035</v>
      </c>
      <c r="Q523" s="4">
        <v>426149</v>
      </c>
      <c r="R523">
        <v>630</v>
      </c>
      <c r="S523" t="str">
        <f>IF(Linked[[#This Row],[Credit Score]]&lt;=579,"Poor",IF(Linked[[#This Row],[Credit Score]]&lt;=669,"Fair",IF(Linked[[#This Row],[Credit Score]]&lt;=739,"Good",IF(Linked[[#This Row],[Credit Score]]&lt;=799,"Very Good",IF(Linked[[#This Row],[Credit Score]]&gt;=800,"Excellent")))))</f>
        <v>Fair</v>
      </c>
      <c r="T523" s="4">
        <v>0</v>
      </c>
      <c r="U523" s="2"/>
      <c r="V523" s="2"/>
    </row>
    <row r="524" spans="1:22" x14ac:dyDescent="0.25">
      <c r="A524" s="2" t="s">
        <v>47</v>
      </c>
      <c r="B524" s="2" t="s">
        <v>859</v>
      </c>
      <c r="C524" s="2" t="s">
        <v>2166</v>
      </c>
      <c r="D524" s="2" t="s">
        <v>1227</v>
      </c>
      <c r="E524">
        <v>50</v>
      </c>
      <c r="F524" s="2" t="s">
        <v>1228</v>
      </c>
      <c r="G524" s="2" t="s">
        <v>1229</v>
      </c>
      <c r="H524" s="2" t="s">
        <v>1230</v>
      </c>
      <c r="I524" s="1">
        <v>42887</v>
      </c>
      <c r="J524">
        <v>2017</v>
      </c>
      <c r="K524" s="2" t="s">
        <v>2167</v>
      </c>
      <c r="L524" s="4">
        <v>81367</v>
      </c>
      <c r="M524" s="2" t="s">
        <v>1245</v>
      </c>
      <c r="N524" s="2" t="s">
        <v>1231</v>
      </c>
      <c r="O524" s="2" t="s">
        <v>25</v>
      </c>
      <c r="P524" s="3">
        <v>44572</v>
      </c>
      <c r="Q524" s="4">
        <v>257438</v>
      </c>
      <c r="R524">
        <v>792</v>
      </c>
      <c r="S524" t="str">
        <f>IF(Linked[[#This Row],[Credit Score]]&lt;=579,"Poor",IF(Linked[[#This Row],[Credit Score]]&lt;=669,"Fair",IF(Linked[[#This Row],[Credit Score]]&lt;=739,"Good",IF(Linked[[#This Row],[Credit Score]]&lt;=799,"Very Good",IF(Linked[[#This Row],[Credit Score]]&gt;=800,"Excellent")))))</f>
        <v>Very Good</v>
      </c>
      <c r="T524" s="4">
        <v>0</v>
      </c>
      <c r="U524" s="2" t="s">
        <v>39</v>
      </c>
      <c r="V524" s="2"/>
    </row>
    <row r="525" spans="1:22" x14ac:dyDescent="0.25">
      <c r="A525" s="2" t="s">
        <v>861</v>
      </c>
      <c r="B525" s="2" t="s">
        <v>860</v>
      </c>
      <c r="C525" s="2" t="s">
        <v>1424</v>
      </c>
      <c r="D525" s="2" t="s">
        <v>1219</v>
      </c>
      <c r="E525">
        <v>62</v>
      </c>
      <c r="F525" s="2" t="s">
        <v>1263</v>
      </c>
      <c r="G525" s="2" t="s">
        <v>1221</v>
      </c>
      <c r="H525" s="2" t="s">
        <v>1244</v>
      </c>
      <c r="I525" s="1">
        <v>44302</v>
      </c>
      <c r="J525">
        <v>2021</v>
      </c>
      <c r="K525" s="2" t="s">
        <v>1425</v>
      </c>
      <c r="L525" s="4">
        <v>160975</v>
      </c>
      <c r="M525" s="2" t="s">
        <v>1223</v>
      </c>
      <c r="N525" s="2" t="s">
        <v>1224</v>
      </c>
      <c r="O525" s="2" t="s">
        <v>10</v>
      </c>
      <c r="P525" s="3">
        <v>45062</v>
      </c>
      <c r="Q525" s="4">
        <v>305613</v>
      </c>
      <c r="R525">
        <v>494</v>
      </c>
      <c r="S525" t="str">
        <f>IF(Linked[[#This Row],[Credit Score]]&lt;=579,"Poor",IF(Linked[[#This Row],[Credit Score]]&lt;=669,"Fair",IF(Linked[[#This Row],[Credit Score]]&lt;=739,"Good",IF(Linked[[#This Row],[Credit Score]]&lt;=799,"Very Good",IF(Linked[[#This Row],[Credit Score]]&gt;=800,"Excellent")))))</f>
        <v>Poor</v>
      </c>
      <c r="T525" s="4">
        <v>0</v>
      </c>
      <c r="U525" s="2"/>
      <c r="V525" s="2"/>
    </row>
    <row r="526" spans="1:22" x14ac:dyDescent="0.25">
      <c r="A526" s="2" t="s">
        <v>863</v>
      </c>
      <c r="B526" s="2" t="s">
        <v>862</v>
      </c>
      <c r="C526" s="2" t="s">
        <v>1481</v>
      </c>
      <c r="D526" s="2" t="s">
        <v>1219</v>
      </c>
      <c r="E526">
        <v>70</v>
      </c>
      <c r="F526" s="2" t="s">
        <v>1263</v>
      </c>
      <c r="G526" s="2" t="s">
        <v>1229</v>
      </c>
      <c r="H526" s="2" t="s">
        <v>1239</v>
      </c>
      <c r="I526" s="1">
        <v>43256</v>
      </c>
      <c r="J526">
        <v>2018</v>
      </c>
      <c r="K526" s="2" t="s">
        <v>1482</v>
      </c>
      <c r="L526" s="4">
        <v>106206</v>
      </c>
      <c r="M526" s="2" t="s">
        <v>1245</v>
      </c>
      <c r="N526" s="2" t="s">
        <v>1224</v>
      </c>
      <c r="O526" s="2" t="s">
        <v>25</v>
      </c>
      <c r="P526" s="3">
        <v>42325</v>
      </c>
      <c r="Q526" s="4">
        <v>426903</v>
      </c>
      <c r="R526">
        <v>311</v>
      </c>
      <c r="S526" t="str">
        <f>IF(Linked[[#This Row],[Credit Score]]&lt;=579,"Poor",IF(Linked[[#This Row],[Credit Score]]&lt;=669,"Fair",IF(Linked[[#This Row],[Credit Score]]&lt;=739,"Good",IF(Linked[[#This Row],[Credit Score]]&lt;=799,"Very Good",IF(Linked[[#This Row],[Credit Score]]&gt;=800,"Excellent")))))</f>
        <v>Poor</v>
      </c>
      <c r="T526" s="4">
        <v>0</v>
      </c>
      <c r="U526" s="2"/>
      <c r="V526" s="2"/>
    </row>
    <row r="527" spans="1:22" x14ac:dyDescent="0.25">
      <c r="A527" s="2" t="s">
        <v>425</v>
      </c>
      <c r="B527" s="2" t="s">
        <v>864</v>
      </c>
      <c r="C527" s="2" t="s">
        <v>2172</v>
      </c>
      <c r="D527" s="2" t="s">
        <v>1227</v>
      </c>
      <c r="E527">
        <v>30</v>
      </c>
      <c r="F527" s="2" t="s">
        <v>1220</v>
      </c>
      <c r="G527" s="2" t="s">
        <v>1221</v>
      </c>
      <c r="H527" s="2" t="s">
        <v>1222</v>
      </c>
      <c r="I527" s="1">
        <v>44896</v>
      </c>
      <c r="J527">
        <v>2022</v>
      </c>
      <c r="K527" s="2" t="s">
        <v>2068</v>
      </c>
      <c r="L527" s="4">
        <v>138154</v>
      </c>
      <c r="M527" s="2" t="s">
        <v>1245</v>
      </c>
      <c r="N527" s="2" t="s">
        <v>1224</v>
      </c>
      <c r="O527" s="2" t="s">
        <v>25</v>
      </c>
      <c r="P527" s="3">
        <v>43329</v>
      </c>
      <c r="Q527" s="4">
        <v>368753</v>
      </c>
      <c r="R527">
        <v>494</v>
      </c>
      <c r="S527" t="str">
        <f>IF(Linked[[#This Row],[Credit Score]]&lt;=579,"Poor",IF(Linked[[#This Row],[Credit Score]]&lt;=669,"Fair",IF(Linked[[#This Row],[Credit Score]]&lt;=739,"Good",IF(Linked[[#This Row],[Credit Score]]&lt;=799,"Very Good",IF(Linked[[#This Row],[Credit Score]]&gt;=800,"Excellent")))))</f>
        <v>Poor</v>
      </c>
      <c r="T527" s="4">
        <v>0</v>
      </c>
      <c r="U527" s="2"/>
      <c r="V527" s="2"/>
    </row>
    <row r="528" spans="1:22" x14ac:dyDescent="0.25">
      <c r="A528" s="2" t="s">
        <v>506</v>
      </c>
      <c r="B528" s="2" t="s">
        <v>865</v>
      </c>
      <c r="C528" s="2" t="s">
        <v>2076</v>
      </c>
      <c r="D528" s="2" t="s">
        <v>1219</v>
      </c>
      <c r="E528">
        <v>52</v>
      </c>
      <c r="F528" s="2" t="s">
        <v>1228</v>
      </c>
      <c r="G528" s="2" t="s">
        <v>1249</v>
      </c>
      <c r="H528" s="2" t="s">
        <v>1253</v>
      </c>
      <c r="I528" s="1">
        <v>43577</v>
      </c>
      <c r="J528">
        <v>2019</v>
      </c>
      <c r="K528" s="2" t="s">
        <v>2077</v>
      </c>
      <c r="L528" s="4">
        <v>51585</v>
      </c>
      <c r="M528" s="2" t="s">
        <v>1250</v>
      </c>
      <c r="N528" s="2" t="s">
        <v>1231</v>
      </c>
      <c r="O528" s="2" t="s">
        <v>25</v>
      </c>
      <c r="P528" s="3">
        <v>42839</v>
      </c>
      <c r="Q528" s="4">
        <v>445872</v>
      </c>
      <c r="R528">
        <v>789</v>
      </c>
      <c r="S528" t="str">
        <f>IF(Linked[[#This Row],[Credit Score]]&lt;=579,"Poor",IF(Linked[[#This Row],[Credit Score]]&lt;=669,"Fair",IF(Linked[[#This Row],[Credit Score]]&lt;=739,"Good",IF(Linked[[#This Row],[Credit Score]]&lt;=799,"Very Good",IF(Linked[[#This Row],[Credit Score]]&gt;=800,"Excellent")))))</f>
        <v>Very Good</v>
      </c>
      <c r="T528" s="4">
        <v>0</v>
      </c>
      <c r="U528" s="2"/>
      <c r="V528" s="2"/>
    </row>
    <row r="529" spans="1:22" x14ac:dyDescent="0.25">
      <c r="A529" s="2" t="s">
        <v>152</v>
      </c>
      <c r="B529" s="2" t="s">
        <v>866</v>
      </c>
      <c r="C529" s="2" t="s">
        <v>2154</v>
      </c>
      <c r="D529" s="2" t="s">
        <v>1219</v>
      </c>
      <c r="E529">
        <v>58</v>
      </c>
      <c r="F529" s="2" t="s">
        <v>1228</v>
      </c>
      <c r="G529" s="2" t="s">
        <v>1229</v>
      </c>
      <c r="H529" s="2" t="s">
        <v>1259</v>
      </c>
      <c r="I529" s="1">
        <v>42747</v>
      </c>
      <c r="J529">
        <v>2017</v>
      </c>
      <c r="K529" s="2" t="s">
        <v>2155</v>
      </c>
      <c r="L529" s="4">
        <v>81272</v>
      </c>
      <c r="M529" s="2" t="s">
        <v>1245</v>
      </c>
      <c r="N529" s="2" t="s">
        <v>1224</v>
      </c>
      <c r="O529" s="2" t="s">
        <v>10</v>
      </c>
      <c r="P529" s="3">
        <v>43168</v>
      </c>
      <c r="Q529" s="4">
        <v>410591</v>
      </c>
      <c r="R529">
        <v>481</v>
      </c>
      <c r="S529" t="str">
        <f>IF(Linked[[#This Row],[Credit Score]]&lt;=579,"Poor",IF(Linked[[#This Row],[Credit Score]]&lt;=669,"Fair",IF(Linked[[#This Row],[Credit Score]]&lt;=739,"Good",IF(Linked[[#This Row],[Credit Score]]&lt;=799,"Very Good",IF(Linked[[#This Row],[Credit Score]]&gt;=800,"Excellent")))))</f>
        <v>Poor</v>
      </c>
      <c r="T529" s="4">
        <v>0</v>
      </c>
      <c r="U529" s="2"/>
      <c r="V529" s="2"/>
    </row>
    <row r="530" spans="1:22" x14ac:dyDescent="0.25">
      <c r="A530" s="2" t="s">
        <v>610</v>
      </c>
      <c r="B530" s="2" t="s">
        <v>867</v>
      </c>
      <c r="C530" s="2" t="s">
        <v>1837</v>
      </c>
      <c r="D530" s="2" t="s">
        <v>1219</v>
      </c>
      <c r="E530">
        <v>24</v>
      </c>
      <c r="F530" s="2" t="s">
        <v>1242</v>
      </c>
      <c r="G530" s="2" t="s">
        <v>1249</v>
      </c>
      <c r="H530" s="2" t="s">
        <v>1235</v>
      </c>
      <c r="I530" s="1">
        <v>43775</v>
      </c>
      <c r="J530">
        <v>2019</v>
      </c>
      <c r="K530" s="2" t="s">
        <v>1838</v>
      </c>
      <c r="L530" s="4">
        <v>50087</v>
      </c>
      <c r="M530" s="2" t="s">
        <v>1250</v>
      </c>
      <c r="N530" s="2" t="s">
        <v>1231</v>
      </c>
      <c r="O530" s="2" t="s">
        <v>13</v>
      </c>
      <c r="P530" s="3">
        <v>45860</v>
      </c>
      <c r="Q530" s="4">
        <v>327350</v>
      </c>
      <c r="R530">
        <v>615</v>
      </c>
      <c r="S530" t="str">
        <f>IF(Linked[[#This Row],[Credit Score]]&lt;=579,"Poor",IF(Linked[[#This Row],[Credit Score]]&lt;=669,"Fair",IF(Linked[[#This Row],[Credit Score]]&lt;=739,"Good",IF(Linked[[#This Row],[Credit Score]]&lt;=799,"Very Good",IF(Linked[[#This Row],[Credit Score]]&gt;=800,"Excellent")))))</f>
        <v>Fair</v>
      </c>
      <c r="T530" s="4">
        <v>0</v>
      </c>
      <c r="U530" s="2"/>
      <c r="V530" s="2"/>
    </row>
    <row r="531" spans="1:22" x14ac:dyDescent="0.25">
      <c r="A531" s="2" t="s">
        <v>769</v>
      </c>
      <c r="B531" s="2" t="s">
        <v>868</v>
      </c>
      <c r="C531" s="2" t="s">
        <v>1679</v>
      </c>
      <c r="D531" s="2" t="s">
        <v>1219</v>
      </c>
      <c r="E531">
        <v>46</v>
      </c>
      <c r="F531" s="2" t="s">
        <v>1228</v>
      </c>
      <c r="G531" s="2" t="s">
        <v>1243</v>
      </c>
      <c r="H531" s="2" t="s">
        <v>1235</v>
      </c>
      <c r="I531" s="1">
        <v>42971</v>
      </c>
      <c r="J531">
        <v>2017</v>
      </c>
      <c r="K531" s="2" t="s">
        <v>1680</v>
      </c>
      <c r="L531" s="4">
        <v>72930</v>
      </c>
      <c r="M531" s="2" t="s">
        <v>1250</v>
      </c>
      <c r="N531" s="2" t="s">
        <v>1236</v>
      </c>
      <c r="O531" s="2" t="s">
        <v>13</v>
      </c>
      <c r="P531" s="3">
        <v>42689</v>
      </c>
      <c r="Q531" s="4">
        <v>358606</v>
      </c>
      <c r="R531">
        <v>329</v>
      </c>
      <c r="S531" t="str">
        <f>IF(Linked[[#This Row],[Credit Score]]&lt;=579,"Poor",IF(Linked[[#This Row],[Credit Score]]&lt;=669,"Fair",IF(Linked[[#This Row],[Credit Score]]&lt;=739,"Good",IF(Linked[[#This Row],[Credit Score]]&lt;=799,"Very Good",IF(Linked[[#This Row],[Credit Score]]&gt;=800,"Excellent")))))</f>
        <v>Poor</v>
      </c>
      <c r="T531" s="4">
        <v>0</v>
      </c>
      <c r="U531" s="2"/>
      <c r="V531" s="2"/>
    </row>
    <row r="532" spans="1:22" x14ac:dyDescent="0.25">
      <c r="A532" s="2" t="s">
        <v>493</v>
      </c>
      <c r="B532" s="2" t="s">
        <v>869</v>
      </c>
      <c r="C532" s="2" t="s">
        <v>1856</v>
      </c>
      <c r="D532" s="2" t="s">
        <v>1219</v>
      </c>
      <c r="E532">
        <v>22</v>
      </c>
      <c r="F532" s="2" t="s">
        <v>1242</v>
      </c>
      <c r="G532" s="2" t="s">
        <v>1221</v>
      </c>
      <c r="H532" s="2" t="s">
        <v>1230</v>
      </c>
      <c r="I532" s="1">
        <v>42305</v>
      </c>
      <c r="J532">
        <v>2015</v>
      </c>
      <c r="K532" s="2" t="s">
        <v>1857</v>
      </c>
      <c r="L532" s="4">
        <v>68787</v>
      </c>
      <c r="M532" s="2" t="s">
        <v>1250</v>
      </c>
      <c r="N532" s="2" t="s">
        <v>1224</v>
      </c>
      <c r="O532" s="2" t="s">
        <v>13</v>
      </c>
      <c r="P532" s="3">
        <v>44599</v>
      </c>
      <c r="Q532" s="4">
        <v>167679</v>
      </c>
      <c r="R532">
        <v>395</v>
      </c>
      <c r="S532" t="str">
        <f>IF(Linked[[#This Row],[Credit Score]]&lt;=579,"Poor",IF(Linked[[#This Row],[Credit Score]]&lt;=669,"Fair",IF(Linked[[#This Row],[Credit Score]]&lt;=739,"Good",IF(Linked[[#This Row],[Credit Score]]&lt;=799,"Very Good",IF(Linked[[#This Row],[Credit Score]]&gt;=800,"Excellent")))))</f>
        <v>Poor</v>
      </c>
      <c r="T532" s="4">
        <v>0</v>
      </c>
      <c r="U532" s="2"/>
      <c r="V532" s="2"/>
    </row>
    <row r="533" spans="1:22" x14ac:dyDescent="0.25">
      <c r="A533" s="2" t="s">
        <v>170</v>
      </c>
      <c r="B533" s="2" t="s">
        <v>870</v>
      </c>
      <c r="C533" s="2" t="s">
        <v>2242</v>
      </c>
      <c r="D533" s="2" t="s">
        <v>1219</v>
      </c>
      <c r="E533">
        <v>39</v>
      </c>
      <c r="F533" s="2" t="s">
        <v>1220</v>
      </c>
      <c r="G533" s="2" t="s">
        <v>1243</v>
      </c>
      <c r="H533" s="2" t="s">
        <v>1222</v>
      </c>
      <c r="I533" s="1">
        <v>45319</v>
      </c>
      <c r="J533">
        <v>2024</v>
      </c>
      <c r="K533" s="2" t="s">
        <v>2243</v>
      </c>
      <c r="L533" s="4">
        <v>178492</v>
      </c>
      <c r="M533" s="2" t="s">
        <v>1223</v>
      </c>
      <c r="N533" s="2" t="s">
        <v>1224</v>
      </c>
      <c r="O533" s="2" t="s">
        <v>10</v>
      </c>
      <c r="P533" s="3">
        <v>43698</v>
      </c>
      <c r="Q533" s="4">
        <v>83178</v>
      </c>
      <c r="R533">
        <v>680</v>
      </c>
      <c r="S533" t="str">
        <f>IF(Linked[[#This Row],[Credit Score]]&lt;=579,"Poor",IF(Linked[[#This Row],[Credit Score]]&lt;=669,"Fair",IF(Linked[[#This Row],[Credit Score]]&lt;=739,"Good",IF(Linked[[#This Row],[Credit Score]]&lt;=799,"Very Good",IF(Linked[[#This Row],[Credit Score]]&gt;=800,"Excellent")))))</f>
        <v>Good</v>
      </c>
      <c r="T533" s="4">
        <v>0</v>
      </c>
      <c r="U533" s="2"/>
      <c r="V533" s="2"/>
    </row>
    <row r="534" spans="1:22" x14ac:dyDescent="0.25">
      <c r="A534" s="2" t="s">
        <v>49</v>
      </c>
      <c r="B534" s="2" t="s">
        <v>871</v>
      </c>
      <c r="C534" s="2" t="s">
        <v>1617</v>
      </c>
      <c r="D534" s="2" t="s">
        <v>1219</v>
      </c>
      <c r="E534">
        <v>21</v>
      </c>
      <c r="F534" s="2" t="s">
        <v>1242</v>
      </c>
      <c r="G534" s="2" t="s">
        <v>1249</v>
      </c>
      <c r="H534" s="2" t="s">
        <v>1230</v>
      </c>
      <c r="I534" s="1">
        <v>44501</v>
      </c>
      <c r="J534">
        <v>2021</v>
      </c>
      <c r="K534" s="2" t="s">
        <v>1618</v>
      </c>
      <c r="L534" s="4">
        <v>172499</v>
      </c>
      <c r="M534" s="2" t="s">
        <v>1223</v>
      </c>
      <c r="N534" s="2" t="s">
        <v>1231</v>
      </c>
      <c r="O534" s="2" t="s">
        <v>13</v>
      </c>
      <c r="P534" s="3">
        <v>43058</v>
      </c>
      <c r="Q534" s="4">
        <v>417209</v>
      </c>
      <c r="R534">
        <v>743</v>
      </c>
      <c r="S534" t="str">
        <f>IF(Linked[[#This Row],[Credit Score]]&lt;=579,"Poor",IF(Linked[[#This Row],[Credit Score]]&lt;=669,"Fair",IF(Linked[[#This Row],[Credit Score]]&lt;=739,"Good",IF(Linked[[#This Row],[Credit Score]]&lt;=799,"Very Good",IF(Linked[[#This Row],[Credit Score]]&gt;=800,"Excellent")))))</f>
        <v>Very Good</v>
      </c>
      <c r="T534" s="4">
        <v>0</v>
      </c>
      <c r="U534" s="2"/>
      <c r="V534" s="2"/>
    </row>
    <row r="535" spans="1:22" x14ac:dyDescent="0.25">
      <c r="A535" s="2" t="s">
        <v>367</v>
      </c>
      <c r="B535" s="2" t="s">
        <v>872</v>
      </c>
      <c r="C535" s="2" t="s">
        <v>1949</v>
      </c>
      <c r="D535" s="2" t="s">
        <v>1219</v>
      </c>
      <c r="E535">
        <v>54</v>
      </c>
      <c r="F535" s="2" t="s">
        <v>1228</v>
      </c>
      <c r="G535" s="2" t="s">
        <v>1243</v>
      </c>
      <c r="H535" s="2" t="s">
        <v>1259</v>
      </c>
      <c r="I535" s="1">
        <v>45127</v>
      </c>
      <c r="J535">
        <v>2023</v>
      </c>
      <c r="K535" s="2" t="s">
        <v>1950</v>
      </c>
      <c r="L535" s="4">
        <v>177702</v>
      </c>
      <c r="M535" s="2" t="s">
        <v>1223</v>
      </c>
      <c r="N535" s="2" t="s">
        <v>1224</v>
      </c>
      <c r="O535" s="2" t="s">
        <v>10</v>
      </c>
      <c r="P535" s="3">
        <v>43353</v>
      </c>
      <c r="Q535" s="4">
        <v>175458</v>
      </c>
      <c r="R535">
        <v>597</v>
      </c>
      <c r="S535" t="str">
        <f>IF(Linked[[#This Row],[Credit Score]]&lt;=579,"Poor",IF(Linked[[#This Row],[Credit Score]]&lt;=669,"Fair",IF(Linked[[#This Row],[Credit Score]]&lt;=739,"Good",IF(Linked[[#This Row],[Credit Score]]&lt;=799,"Very Good",IF(Linked[[#This Row],[Credit Score]]&gt;=800,"Excellent")))))</f>
        <v>Fair</v>
      </c>
      <c r="T535" s="4">
        <v>0</v>
      </c>
      <c r="U535" s="2"/>
      <c r="V535" s="2"/>
    </row>
    <row r="536" spans="1:22" x14ac:dyDescent="0.25">
      <c r="A536" s="2" t="s">
        <v>874</v>
      </c>
      <c r="B536" s="2" t="s">
        <v>873</v>
      </c>
      <c r="C536" s="2" t="s">
        <v>1689</v>
      </c>
      <c r="D536" s="2" t="s">
        <v>1219</v>
      </c>
      <c r="E536">
        <v>19</v>
      </c>
      <c r="F536" s="2" t="s">
        <v>1242</v>
      </c>
      <c r="G536" s="2" t="s">
        <v>1229</v>
      </c>
      <c r="H536" s="2" t="s">
        <v>1230</v>
      </c>
      <c r="I536" s="1">
        <v>43918</v>
      </c>
      <c r="J536">
        <v>2020</v>
      </c>
      <c r="K536" s="2" t="s">
        <v>1690</v>
      </c>
      <c r="L536" s="4">
        <v>190286</v>
      </c>
      <c r="M536" s="2" t="s">
        <v>1223</v>
      </c>
      <c r="N536" s="2" t="s">
        <v>1231</v>
      </c>
      <c r="O536" s="2" t="s">
        <v>13</v>
      </c>
      <c r="P536" s="3">
        <v>42428</v>
      </c>
      <c r="Q536" s="4">
        <v>254466</v>
      </c>
      <c r="R536">
        <v>660</v>
      </c>
      <c r="S536" t="str">
        <f>IF(Linked[[#This Row],[Credit Score]]&lt;=579,"Poor",IF(Linked[[#This Row],[Credit Score]]&lt;=669,"Fair",IF(Linked[[#This Row],[Credit Score]]&lt;=739,"Good",IF(Linked[[#This Row],[Credit Score]]&lt;=799,"Very Good",IF(Linked[[#This Row],[Credit Score]]&gt;=800,"Excellent")))))</f>
        <v>Fair</v>
      </c>
      <c r="T536" s="4">
        <v>0</v>
      </c>
      <c r="U536" s="2"/>
      <c r="V536" s="2"/>
    </row>
    <row r="537" spans="1:22" x14ac:dyDescent="0.25">
      <c r="A537" s="2" t="s">
        <v>624</v>
      </c>
      <c r="B537" s="2" t="s">
        <v>875</v>
      </c>
      <c r="C537" s="2" t="s">
        <v>1382</v>
      </c>
      <c r="D537" s="2" t="s">
        <v>1219</v>
      </c>
      <c r="E537">
        <v>42</v>
      </c>
      <c r="F537" s="2" t="s">
        <v>1220</v>
      </c>
      <c r="G537" s="2" t="s">
        <v>1221</v>
      </c>
      <c r="H537" s="2" t="s">
        <v>1253</v>
      </c>
      <c r="I537" s="1">
        <v>45042</v>
      </c>
      <c r="J537">
        <v>2023</v>
      </c>
      <c r="K537" s="2" t="s">
        <v>1383</v>
      </c>
      <c r="L537" s="4">
        <v>45931</v>
      </c>
      <c r="M537" s="2" t="s">
        <v>1250</v>
      </c>
      <c r="N537" s="2" t="s">
        <v>1224</v>
      </c>
      <c r="O537" s="2" t="s">
        <v>13</v>
      </c>
      <c r="P537" s="3">
        <v>42353</v>
      </c>
      <c r="Q537" s="4">
        <v>439503</v>
      </c>
      <c r="R537">
        <v>673</v>
      </c>
      <c r="S537" t="str">
        <f>IF(Linked[[#This Row],[Credit Score]]&lt;=579,"Poor",IF(Linked[[#This Row],[Credit Score]]&lt;=669,"Fair",IF(Linked[[#This Row],[Credit Score]]&lt;=739,"Good",IF(Linked[[#This Row],[Credit Score]]&lt;=799,"Very Good",IF(Linked[[#This Row],[Credit Score]]&gt;=800,"Excellent")))))</f>
        <v>Good</v>
      </c>
      <c r="T537" s="4">
        <v>0</v>
      </c>
      <c r="U537" s="2"/>
      <c r="V537" s="2"/>
    </row>
    <row r="538" spans="1:22" x14ac:dyDescent="0.25">
      <c r="A538" s="2" t="s">
        <v>877</v>
      </c>
      <c r="B538" s="2" t="s">
        <v>876</v>
      </c>
      <c r="C538" s="2" t="s">
        <v>1403</v>
      </c>
      <c r="D538" s="2" t="s">
        <v>1219</v>
      </c>
      <c r="E538">
        <v>54</v>
      </c>
      <c r="F538" s="2" t="s">
        <v>1228</v>
      </c>
      <c r="G538" s="2" t="s">
        <v>1221</v>
      </c>
      <c r="H538" s="2" t="s">
        <v>1253</v>
      </c>
      <c r="I538" s="1">
        <v>43929</v>
      </c>
      <c r="J538">
        <v>2020</v>
      </c>
      <c r="K538" s="2" t="s">
        <v>1404</v>
      </c>
      <c r="L538" s="4">
        <v>125595</v>
      </c>
      <c r="M538" s="2" t="s">
        <v>1245</v>
      </c>
      <c r="N538" s="2" t="s">
        <v>1231</v>
      </c>
      <c r="O538" s="2" t="s">
        <v>25</v>
      </c>
      <c r="P538" s="3">
        <v>44198</v>
      </c>
      <c r="Q538" s="4">
        <v>86724</v>
      </c>
      <c r="R538">
        <v>602</v>
      </c>
      <c r="S538" t="str">
        <f>IF(Linked[[#This Row],[Credit Score]]&lt;=579,"Poor",IF(Linked[[#This Row],[Credit Score]]&lt;=669,"Fair",IF(Linked[[#This Row],[Credit Score]]&lt;=739,"Good",IF(Linked[[#This Row],[Credit Score]]&lt;=799,"Very Good",IF(Linked[[#This Row],[Credit Score]]&gt;=800,"Excellent")))))</f>
        <v>Fair</v>
      </c>
      <c r="T538" s="4">
        <v>0</v>
      </c>
      <c r="U538" s="2" t="s">
        <v>39</v>
      </c>
      <c r="V538" s="2"/>
    </row>
    <row r="539" spans="1:22" x14ac:dyDescent="0.25">
      <c r="A539" s="2" t="s">
        <v>69</v>
      </c>
      <c r="B539" s="2" t="s">
        <v>878</v>
      </c>
      <c r="C539" s="2" t="s">
        <v>1788</v>
      </c>
      <c r="D539" s="2" t="s">
        <v>1227</v>
      </c>
      <c r="E539">
        <v>29</v>
      </c>
      <c r="F539" s="2" t="s">
        <v>1220</v>
      </c>
      <c r="G539" s="2" t="s">
        <v>1221</v>
      </c>
      <c r="H539" s="2" t="s">
        <v>1235</v>
      </c>
      <c r="I539" s="1">
        <v>45422</v>
      </c>
      <c r="J539">
        <v>2024</v>
      </c>
      <c r="K539" s="2" t="s">
        <v>1643</v>
      </c>
      <c r="L539" s="4">
        <v>124101</v>
      </c>
      <c r="M539" s="2" t="s">
        <v>1245</v>
      </c>
      <c r="N539" s="2" t="s">
        <v>1231</v>
      </c>
      <c r="O539" s="2" t="s">
        <v>10</v>
      </c>
      <c r="P539" s="3">
        <v>45888</v>
      </c>
      <c r="Q539" s="4">
        <v>229204</v>
      </c>
      <c r="R539">
        <v>720</v>
      </c>
      <c r="S539" t="str">
        <f>IF(Linked[[#This Row],[Credit Score]]&lt;=579,"Poor",IF(Linked[[#This Row],[Credit Score]]&lt;=669,"Fair",IF(Linked[[#This Row],[Credit Score]]&lt;=739,"Good",IF(Linked[[#This Row],[Credit Score]]&lt;=799,"Very Good",IF(Linked[[#This Row],[Credit Score]]&gt;=800,"Excellent")))))</f>
        <v>Good</v>
      </c>
      <c r="T539" s="4">
        <v>0</v>
      </c>
      <c r="U539" s="2"/>
      <c r="V539" s="2"/>
    </row>
    <row r="540" spans="1:22" x14ac:dyDescent="0.25">
      <c r="A540" s="2" t="s">
        <v>106</v>
      </c>
      <c r="B540" s="2" t="s">
        <v>879</v>
      </c>
      <c r="C540" s="2" t="s">
        <v>1512</v>
      </c>
      <c r="D540" s="2" t="s">
        <v>1219</v>
      </c>
      <c r="E540">
        <v>56</v>
      </c>
      <c r="F540" s="2" t="s">
        <v>1228</v>
      </c>
      <c r="G540" s="2" t="s">
        <v>1243</v>
      </c>
      <c r="H540" s="2" t="s">
        <v>1235</v>
      </c>
      <c r="I540" s="1">
        <v>44752</v>
      </c>
      <c r="J540">
        <v>2022</v>
      </c>
      <c r="K540" s="2" t="s">
        <v>1338</v>
      </c>
      <c r="L540" s="4">
        <v>173962</v>
      </c>
      <c r="M540" s="2" t="s">
        <v>1223</v>
      </c>
      <c r="N540" s="2" t="s">
        <v>1224</v>
      </c>
      <c r="O540" s="2" t="s">
        <v>13</v>
      </c>
      <c r="P540" s="3">
        <v>42409</v>
      </c>
      <c r="Q540" s="4">
        <v>486524</v>
      </c>
      <c r="R540">
        <v>545</v>
      </c>
      <c r="S540" t="str">
        <f>IF(Linked[[#This Row],[Credit Score]]&lt;=579,"Poor",IF(Linked[[#This Row],[Credit Score]]&lt;=669,"Fair",IF(Linked[[#This Row],[Credit Score]]&lt;=739,"Good",IF(Linked[[#This Row],[Credit Score]]&lt;=799,"Very Good",IF(Linked[[#This Row],[Credit Score]]&gt;=800,"Excellent")))))</f>
        <v>Poor</v>
      </c>
      <c r="T540" s="4">
        <v>0</v>
      </c>
      <c r="U540" s="2"/>
      <c r="V540" s="2"/>
    </row>
    <row r="541" spans="1:22" x14ac:dyDescent="0.25">
      <c r="A541" s="2" t="s">
        <v>619</v>
      </c>
      <c r="B541" s="2" t="s">
        <v>880</v>
      </c>
      <c r="C541" s="2" t="s">
        <v>2051</v>
      </c>
      <c r="D541" s="2" t="s">
        <v>1219</v>
      </c>
      <c r="E541">
        <v>61</v>
      </c>
      <c r="F541" s="2" t="s">
        <v>1263</v>
      </c>
      <c r="G541" s="2" t="s">
        <v>1229</v>
      </c>
      <c r="H541" s="2" t="s">
        <v>1253</v>
      </c>
      <c r="I541" s="1">
        <v>44798</v>
      </c>
      <c r="J541">
        <v>2022</v>
      </c>
      <c r="K541" s="2" t="s">
        <v>2052</v>
      </c>
      <c r="L541" s="4">
        <v>45963</v>
      </c>
      <c r="M541" s="2" t="s">
        <v>1250</v>
      </c>
      <c r="N541" s="2" t="s">
        <v>1224</v>
      </c>
      <c r="O541" s="2" t="s">
        <v>25</v>
      </c>
      <c r="P541" s="3">
        <v>43728</v>
      </c>
      <c r="Q541" s="4">
        <v>96393</v>
      </c>
      <c r="R541">
        <v>536</v>
      </c>
      <c r="S541" t="str">
        <f>IF(Linked[[#This Row],[Credit Score]]&lt;=579,"Poor",IF(Linked[[#This Row],[Credit Score]]&lt;=669,"Fair",IF(Linked[[#This Row],[Credit Score]]&lt;=739,"Good",IF(Linked[[#This Row],[Credit Score]]&lt;=799,"Very Good",IF(Linked[[#This Row],[Credit Score]]&gt;=800,"Excellent")))))</f>
        <v>Poor</v>
      </c>
      <c r="T541" s="4">
        <v>0</v>
      </c>
      <c r="U541" s="2"/>
      <c r="V541" s="2"/>
    </row>
    <row r="542" spans="1:22" x14ac:dyDescent="0.25">
      <c r="A542" s="2" t="s">
        <v>882</v>
      </c>
      <c r="B542" s="2" t="s">
        <v>881</v>
      </c>
      <c r="C542" s="2" t="s">
        <v>1504</v>
      </c>
      <c r="D542" s="2" t="s">
        <v>1227</v>
      </c>
      <c r="E542">
        <v>70</v>
      </c>
      <c r="F542" s="2" t="s">
        <v>1263</v>
      </c>
      <c r="G542" s="2" t="s">
        <v>1221</v>
      </c>
      <c r="H542" s="2" t="s">
        <v>1239</v>
      </c>
      <c r="I542" s="1">
        <v>45094</v>
      </c>
      <c r="J542">
        <v>2023</v>
      </c>
      <c r="K542" s="2" t="s">
        <v>1505</v>
      </c>
      <c r="L542" s="4">
        <v>98249</v>
      </c>
      <c r="M542" s="2" t="s">
        <v>1245</v>
      </c>
      <c r="N542" s="2" t="s">
        <v>1231</v>
      </c>
      <c r="O542" s="2" t="s">
        <v>13</v>
      </c>
      <c r="P542" s="3">
        <v>42837</v>
      </c>
      <c r="Q542" s="4">
        <v>389458</v>
      </c>
      <c r="R542">
        <v>833</v>
      </c>
      <c r="S542" t="str">
        <f>IF(Linked[[#This Row],[Credit Score]]&lt;=579,"Poor",IF(Linked[[#This Row],[Credit Score]]&lt;=669,"Fair",IF(Linked[[#This Row],[Credit Score]]&lt;=739,"Good",IF(Linked[[#This Row],[Credit Score]]&lt;=799,"Very Good",IF(Linked[[#This Row],[Credit Score]]&gt;=800,"Excellent")))))</f>
        <v>Excellent</v>
      </c>
      <c r="T542" s="4">
        <v>0</v>
      </c>
      <c r="U542" s="2"/>
      <c r="V542" s="2"/>
    </row>
    <row r="543" spans="1:22" x14ac:dyDescent="0.25">
      <c r="A543" s="2" t="s">
        <v>610</v>
      </c>
      <c r="B543" s="2" t="s">
        <v>883</v>
      </c>
      <c r="C543" s="2" t="s">
        <v>1837</v>
      </c>
      <c r="D543" s="2" t="s">
        <v>1219</v>
      </c>
      <c r="E543">
        <v>24</v>
      </c>
      <c r="F543" s="2" t="s">
        <v>1242</v>
      </c>
      <c r="G543" s="2" t="s">
        <v>1249</v>
      </c>
      <c r="H543" s="2" t="s">
        <v>1235</v>
      </c>
      <c r="I543" s="1">
        <v>43775</v>
      </c>
      <c r="J543">
        <v>2019</v>
      </c>
      <c r="K543" s="2" t="s">
        <v>1838</v>
      </c>
      <c r="L543" s="4">
        <v>50087</v>
      </c>
      <c r="M543" s="2" t="s">
        <v>1250</v>
      </c>
      <c r="N543" s="2" t="s">
        <v>1231</v>
      </c>
      <c r="O543" s="2" t="s">
        <v>25</v>
      </c>
      <c r="P543" s="3">
        <v>42445</v>
      </c>
      <c r="Q543" s="4">
        <v>76312</v>
      </c>
      <c r="R543">
        <v>484</v>
      </c>
      <c r="S543" t="str">
        <f>IF(Linked[[#This Row],[Credit Score]]&lt;=579,"Poor",IF(Linked[[#This Row],[Credit Score]]&lt;=669,"Fair",IF(Linked[[#This Row],[Credit Score]]&lt;=739,"Good",IF(Linked[[#This Row],[Credit Score]]&lt;=799,"Very Good",IF(Linked[[#This Row],[Credit Score]]&gt;=800,"Excellent")))))</f>
        <v>Poor</v>
      </c>
      <c r="T543" s="4">
        <v>0</v>
      </c>
      <c r="U543" s="2"/>
      <c r="V543" s="2"/>
    </row>
    <row r="544" spans="1:22" x14ac:dyDescent="0.25">
      <c r="A544" s="2" t="s">
        <v>690</v>
      </c>
      <c r="B544" s="2" t="s">
        <v>884</v>
      </c>
      <c r="C544" s="2" t="s">
        <v>2164</v>
      </c>
      <c r="D544" s="2" t="s">
        <v>1219</v>
      </c>
      <c r="E544">
        <v>26</v>
      </c>
      <c r="F544" s="2" t="s">
        <v>1242</v>
      </c>
      <c r="G544" s="2" t="s">
        <v>1243</v>
      </c>
      <c r="H544" s="2" t="s">
        <v>1230</v>
      </c>
      <c r="I544" s="1">
        <v>45133</v>
      </c>
      <c r="J544">
        <v>2023</v>
      </c>
      <c r="K544" s="2" t="s">
        <v>2165</v>
      </c>
      <c r="L544" s="4">
        <v>106475</v>
      </c>
      <c r="M544" s="2" t="s">
        <v>1245</v>
      </c>
      <c r="N544" s="2" t="s">
        <v>1224</v>
      </c>
      <c r="O544" s="2" t="s">
        <v>25</v>
      </c>
      <c r="P544" s="3">
        <v>45644</v>
      </c>
      <c r="Q544" s="4">
        <v>491587</v>
      </c>
      <c r="R544">
        <v>767</v>
      </c>
      <c r="S544" t="str">
        <f>IF(Linked[[#This Row],[Credit Score]]&lt;=579,"Poor",IF(Linked[[#This Row],[Credit Score]]&lt;=669,"Fair",IF(Linked[[#This Row],[Credit Score]]&lt;=739,"Good",IF(Linked[[#This Row],[Credit Score]]&lt;=799,"Very Good",IF(Linked[[#This Row],[Credit Score]]&gt;=800,"Excellent")))))</f>
        <v>Very Good</v>
      </c>
      <c r="T544" s="4">
        <v>0</v>
      </c>
      <c r="U544" s="2"/>
      <c r="V544" s="2"/>
    </row>
    <row r="545" spans="1:22" x14ac:dyDescent="0.25">
      <c r="A545" s="2" t="s">
        <v>120</v>
      </c>
      <c r="B545" s="2" t="s">
        <v>885</v>
      </c>
      <c r="C545" s="2" t="s">
        <v>2309</v>
      </c>
      <c r="D545" s="2" t="s">
        <v>1227</v>
      </c>
      <c r="E545">
        <v>63</v>
      </c>
      <c r="F545" s="2" t="s">
        <v>1263</v>
      </c>
      <c r="G545" s="2" t="s">
        <v>1249</v>
      </c>
      <c r="H545" s="2" t="s">
        <v>1244</v>
      </c>
      <c r="I545" s="1">
        <v>45488</v>
      </c>
      <c r="J545">
        <v>2024</v>
      </c>
      <c r="K545" s="2" t="s">
        <v>2310</v>
      </c>
      <c r="L545" s="4">
        <v>21969</v>
      </c>
      <c r="M545" s="2" t="s">
        <v>1250</v>
      </c>
      <c r="N545" s="2" t="s">
        <v>1231</v>
      </c>
      <c r="O545" s="2" t="s">
        <v>13</v>
      </c>
      <c r="P545" s="3">
        <v>44346</v>
      </c>
      <c r="Q545" s="4">
        <v>337468</v>
      </c>
      <c r="R545">
        <v>662</v>
      </c>
      <c r="S545" t="str">
        <f>IF(Linked[[#This Row],[Credit Score]]&lt;=579,"Poor",IF(Linked[[#This Row],[Credit Score]]&lt;=669,"Fair",IF(Linked[[#This Row],[Credit Score]]&lt;=739,"Good",IF(Linked[[#This Row],[Credit Score]]&lt;=799,"Very Good",IF(Linked[[#This Row],[Credit Score]]&gt;=800,"Excellent")))))</f>
        <v>Fair</v>
      </c>
      <c r="T545" s="4">
        <v>0</v>
      </c>
      <c r="U545" s="2" t="s">
        <v>59</v>
      </c>
      <c r="V545" s="2"/>
    </row>
    <row r="546" spans="1:22" x14ac:dyDescent="0.25">
      <c r="A546" s="2" t="s">
        <v>887</v>
      </c>
      <c r="B546" s="2" t="s">
        <v>886</v>
      </c>
      <c r="C546" s="2" t="s">
        <v>2101</v>
      </c>
      <c r="D546" s="2" t="s">
        <v>1227</v>
      </c>
      <c r="E546">
        <v>18</v>
      </c>
      <c r="F546" s="2" t="s">
        <v>1242</v>
      </c>
      <c r="G546" s="2" t="s">
        <v>1229</v>
      </c>
      <c r="H546" s="2" t="s">
        <v>1235</v>
      </c>
      <c r="I546" s="1">
        <v>45160</v>
      </c>
      <c r="J546">
        <v>2023</v>
      </c>
      <c r="K546" s="2" t="s">
        <v>2102</v>
      </c>
      <c r="L546" s="4">
        <v>62229</v>
      </c>
      <c r="M546" s="2" t="s">
        <v>1250</v>
      </c>
      <c r="N546" s="2" t="s">
        <v>1231</v>
      </c>
      <c r="O546" s="2" t="s">
        <v>25</v>
      </c>
      <c r="P546" s="3">
        <v>43893</v>
      </c>
      <c r="Q546" s="4">
        <v>71196</v>
      </c>
      <c r="R546">
        <v>582</v>
      </c>
      <c r="S546" t="str">
        <f>IF(Linked[[#This Row],[Credit Score]]&lt;=579,"Poor",IF(Linked[[#This Row],[Credit Score]]&lt;=669,"Fair",IF(Linked[[#This Row],[Credit Score]]&lt;=739,"Good",IF(Linked[[#This Row],[Credit Score]]&lt;=799,"Very Good",IF(Linked[[#This Row],[Credit Score]]&gt;=800,"Excellent")))))</f>
        <v>Fair</v>
      </c>
      <c r="T546" s="4">
        <v>0</v>
      </c>
      <c r="U546" s="2"/>
      <c r="V546" s="2"/>
    </row>
    <row r="547" spans="1:22" x14ac:dyDescent="0.25">
      <c r="A547" s="2" t="s">
        <v>251</v>
      </c>
      <c r="B547" s="2" t="s">
        <v>888</v>
      </c>
      <c r="C547" s="2" t="s">
        <v>1502</v>
      </c>
      <c r="D547" s="2" t="s">
        <v>1219</v>
      </c>
      <c r="E547">
        <v>62</v>
      </c>
      <c r="F547" s="2" t="s">
        <v>1263</v>
      </c>
      <c r="G547" s="2" t="s">
        <v>1229</v>
      </c>
      <c r="H547" s="2" t="s">
        <v>1239</v>
      </c>
      <c r="I547" s="1">
        <v>43555</v>
      </c>
      <c r="J547">
        <v>2019</v>
      </c>
      <c r="K547" s="2" t="s">
        <v>1503</v>
      </c>
      <c r="L547" s="4">
        <v>67638</v>
      </c>
      <c r="M547" s="2" t="s">
        <v>1250</v>
      </c>
      <c r="N547" s="2" t="s">
        <v>1224</v>
      </c>
      <c r="O547" s="2" t="s">
        <v>10</v>
      </c>
      <c r="P547" s="3">
        <v>45656</v>
      </c>
      <c r="Q547" s="4">
        <v>70014</v>
      </c>
      <c r="R547">
        <v>635</v>
      </c>
      <c r="S547" t="str">
        <f>IF(Linked[[#This Row],[Credit Score]]&lt;=579,"Poor",IF(Linked[[#This Row],[Credit Score]]&lt;=669,"Fair",IF(Linked[[#This Row],[Credit Score]]&lt;=739,"Good",IF(Linked[[#This Row],[Credit Score]]&lt;=799,"Very Good",IF(Linked[[#This Row],[Credit Score]]&gt;=800,"Excellent")))))</f>
        <v>Fair</v>
      </c>
      <c r="T547" s="4">
        <v>0</v>
      </c>
      <c r="U547" s="2" t="s">
        <v>18</v>
      </c>
      <c r="V547" s="2"/>
    </row>
    <row r="548" spans="1:22" x14ac:dyDescent="0.25">
      <c r="A548" s="2" t="s">
        <v>890</v>
      </c>
      <c r="B548" s="2" t="s">
        <v>889</v>
      </c>
      <c r="C548" s="2" t="s">
        <v>2149</v>
      </c>
      <c r="D548" s="2" t="s">
        <v>1227</v>
      </c>
      <c r="E548">
        <v>67</v>
      </c>
      <c r="F548" s="2" t="s">
        <v>1263</v>
      </c>
      <c r="G548" s="2" t="s">
        <v>1229</v>
      </c>
      <c r="H548" s="2" t="s">
        <v>1222</v>
      </c>
      <c r="I548" s="1">
        <v>44523</v>
      </c>
      <c r="J548">
        <v>2021</v>
      </c>
      <c r="K548" s="2" t="s">
        <v>2150</v>
      </c>
      <c r="L548" s="4">
        <v>121459</v>
      </c>
      <c r="M548" s="2" t="s">
        <v>1245</v>
      </c>
      <c r="N548" s="2" t="s">
        <v>1231</v>
      </c>
      <c r="O548" s="2" t="s">
        <v>10</v>
      </c>
      <c r="P548" s="3">
        <v>42982</v>
      </c>
      <c r="Q548" s="4">
        <v>401426</v>
      </c>
      <c r="R548">
        <v>461</v>
      </c>
      <c r="S548" t="str">
        <f>IF(Linked[[#This Row],[Credit Score]]&lt;=579,"Poor",IF(Linked[[#This Row],[Credit Score]]&lt;=669,"Fair",IF(Linked[[#This Row],[Credit Score]]&lt;=739,"Good",IF(Linked[[#This Row],[Credit Score]]&lt;=799,"Very Good",IF(Linked[[#This Row],[Credit Score]]&gt;=800,"Excellent")))))</f>
        <v>Poor</v>
      </c>
      <c r="T548" s="4">
        <v>0</v>
      </c>
      <c r="U548" s="2"/>
      <c r="V548" s="2"/>
    </row>
    <row r="549" spans="1:22" x14ac:dyDescent="0.25">
      <c r="A549" s="2" t="s">
        <v>796</v>
      </c>
      <c r="B549" s="2" t="s">
        <v>891</v>
      </c>
      <c r="C549" s="2" t="s">
        <v>2175</v>
      </c>
      <c r="D549" s="2" t="s">
        <v>1227</v>
      </c>
      <c r="E549">
        <v>65</v>
      </c>
      <c r="F549" s="2" t="s">
        <v>1263</v>
      </c>
      <c r="G549" s="2" t="s">
        <v>1249</v>
      </c>
      <c r="H549" s="2" t="s">
        <v>1222</v>
      </c>
      <c r="I549" s="1">
        <v>45281</v>
      </c>
      <c r="J549">
        <v>2023</v>
      </c>
      <c r="K549" s="2" t="s">
        <v>2176</v>
      </c>
      <c r="L549" s="4">
        <v>53397</v>
      </c>
      <c r="M549" s="2" t="s">
        <v>1250</v>
      </c>
      <c r="N549" s="2" t="s">
        <v>1231</v>
      </c>
      <c r="O549" s="2" t="s">
        <v>13</v>
      </c>
      <c r="P549" s="3">
        <v>44218</v>
      </c>
      <c r="Q549" s="4">
        <v>141994</v>
      </c>
      <c r="R549">
        <v>459</v>
      </c>
      <c r="S549" t="str">
        <f>IF(Linked[[#This Row],[Credit Score]]&lt;=579,"Poor",IF(Linked[[#This Row],[Credit Score]]&lt;=669,"Fair",IF(Linked[[#This Row],[Credit Score]]&lt;=739,"Good",IF(Linked[[#This Row],[Credit Score]]&lt;=799,"Very Good",IF(Linked[[#This Row],[Credit Score]]&gt;=800,"Excellent")))))</f>
        <v>Poor</v>
      </c>
      <c r="T549" s="4">
        <v>0</v>
      </c>
      <c r="U549" s="2"/>
      <c r="V549" s="2"/>
    </row>
    <row r="550" spans="1:22" x14ac:dyDescent="0.25">
      <c r="A550" s="2" t="s">
        <v>893</v>
      </c>
      <c r="B550" s="2" t="s">
        <v>892</v>
      </c>
      <c r="C550" s="2" t="s">
        <v>1927</v>
      </c>
      <c r="D550" s="2" t="s">
        <v>1219</v>
      </c>
      <c r="E550">
        <v>63</v>
      </c>
      <c r="F550" s="2" t="s">
        <v>1263</v>
      </c>
      <c r="G550" s="2" t="s">
        <v>1249</v>
      </c>
      <c r="H550" s="2" t="s">
        <v>1244</v>
      </c>
      <c r="I550" s="1">
        <v>44650</v>
      </c>
      <c r="J550">
        <v>2022</v>
      </c>
      <c r="K550" s="2" t="s">
        <v>1928</v>
      </c>
      <c r="L550" s="4">
        <v>84881</v>
      </c>
      <c r="M550" s="2" t="s">
        <v>1245</v>
      </c>
      <c r="N550" s="2" t="s">
        <v>1236</v>
      </c>
      <c r="O550" s="2" t="s">
        <v>13</v>
      </c>
      <c r="P550" s="3">
        <v>45320</v>
      </c>
      <c r="Q550" s="4">
        <v>429505</v>
      </c>
      <c r="R550">
        <v>773</v>
      </c>
      <c r="S550" t="str">
        <f>IF(Linked[[#This Row],[Credit Score]]&lt;=579,"Poor",IF(Linked[[#This Row],[Credit Score]]&lt;=669,"Fair",IF(Linked[[#This Row],[Credit Score]]&lt;=739,"Good",IF(Linked[[#This Row],[Credit Score]]&lt;=799,"Very Good",IF(Linked[[#This Row],[Credit Score]]&gt;=800,"Excellent")))))</f>
        <v>Very Good</v>
      </c>
      <c r="T550" s="4">
        <v>0</v>
      </c>
      <c r="U550" s="2"/>
      <c r="V550" s="2"/>
    </row>
    <row r="551" spans="1:22" x14ac:dyDescent="0.25">
      <c r="A551" s="2" t="s">
        <v>547</v>
      </c>
      <c r="B551" s="2" t="s">
        <v>894</v>
      </c>
      <c r="C551" s="2" t="s">
        <v>1596</v>
      </c>
      <c r="D551" s="2" t="s">
        <v>1227</v>
      </c>
      <c r="E551">
        <v>69</v>
      </c>
      <c r="F551" s="2" t="s">
        <v>1263</v>
      </c>
      <c r="G551" s="2" t="s">
        <v>1229</v>
      </c>
      <c r="H551" s="2" t="s">
        <v>1259</v>
      </c>
      <c r="I551" s="1">
        <v>44257</v>
      </c>
      <c r="J551">
        <v>2021</v>
      </c>
      <c r="K551" s="2" t="s">
        <v>1597</v>
      </c>
      <c r="L551" s="4">
        <v>134682</v>
      </c>
      <c r="M551" s="2" t="s">
        <v>1245</v>
      </c>
      <c r="N551" s="2" t="s">
        <v>1224</v>
      </c>
      <c r="O551" s="2" t="s">
        <v>32</v>
      </c>
      <c r="P551" s="3">
        <v>44228</v>
      </c>
      <c r="Q551" s="4">
        <v>33340</v>
      </c>
      <c r="R551">
        <v>621</v>
      </c>
      <c r="S551" t="str">
        <f>IF(Linked[[#This Row],[Credit Score]]&lt;=579,"Poor",IF(Linked[[#This Row],[Credit Score]]&lt;=669,"Fair",IF(Linked[[#This Row],[Credit Score]]&lt;=739,"Good",IF(Linked[[#This Row],[Credit Score]]&lt;=799,"Very Good",IF(Linked[[#This Row],[Credit Score]]&gt;=800,"Excellent")))))</f>
        <v>Fair</v>
      </c>
      <c r="T551" s="4">
        <v>0</v>
      </c>
      <c r="U551" s="2"/>
      <c r="V551" s="2"/>
    </row>
    <row r="552" spans="1:22" x14ac:dyDescent="0.25">
      <c r="A552" s="2" t="s">
        <v>437</v>
      </c>
      <c r="B552" s="2" t="s">
        <v>895</v>
      </c>
      <c r="C552" s="2" t="s">
        <v>2151</v>
      </c>
      <c r="D552" s="2" t="s">
        <v>1219</v>
      </c>
      <c r="E552">
        <v>45</v>
      </c>
      <c r="F552" s="2" t="s">
        <v>1228</v>
      </c>
      <c r="G552" s="2" t="s">
        <v>1249</v>
      </c>
      <c r="H552" s="2" t="s">
        <v>1222</v>
      </c>
      <c r="I552" s="1">
        <v>44111</v>
      </c>
      <c r="J552">
        <v>2020</v>
      </c>
      <c r="K552" s="2" t="s">
        <v>2152</v>
      </c>
      <c r="L552" s="4">
        <v>121520</v>
      </c>
      <c r="M552" s="2" t="s">
        <v>1245</v>
      </c>
      <c r="N552" s="2" t="s">
        <v>1231</v>
      </c>
      <c r="O552" s="2" t="s">
        <v>13</v>
      </c>
      <c r="P552" s="3">
        <v>44768</v>
      </c>
      <c r="Q552" s="4">
        <v>301994</v>
      </c>
      <c r="R552">
        <v>311</v>
      </c>
      <c r="S552" t="str">
        <f>IF(Linked[[#This Row],[Credit Score]]&lt;=579,"Poor",IF(Linked[[#This Row],[Credit Score]]&lt;=669,"Fair",IF(Linked[[#This Row],[Credit Score]]&lt;=739,"Good",IF(Linked[[#This Row],[Credit Score]]&lt;=799,"Very Good",IF(Linked[[#This Row],[Credit Score]]&gt;=800,"Excellent")))))</f>
        <v>Poor</v>
      </c>
      <c r="T552" s="4">
        <v>445977</v>
      </c>
      <c r="U552" s="2"/>
      <c r="V552" s="2"/>
    </row>
    <row r="553" spans="1:22" x14ac:dyDescent="0.25">
      <c r="A553" s="2" t="s">
        <v>897</v>
      </c>
      <c r="B553" s="2" t="s">
        <v>896</v>
      </c>
      <c r="C553" s="2" t="s">
        <v>2237</v>
      </c>
      <c r="D553" s="2" t="s">
        <v>1227</v>
      </c>
      <c r="E553">
        <v>38</v>
      </c>
      <c r="F553" s="2" t="s">
        <v>1220</v>
      </c>
      <c r="G553" s="2" t="s">
        <v>1221</v>
      </c>
      <c r="H553" s="2" t="s">
        <v>1239</v>
      </c>
      <c r="I553" s="1">
        <v>45801</v>
      </c>
      <c r="J553">
        <v>2025</v>
      </c>
      <c r="K553" s="2" t="s">
        <v>2238</v>
      </c>
      <c r="L553" s="4">
        <v>198686</v>
      </c>
      <c r="M553" s="2" t="s">
        <v>1223</v>
      </c>
      <c r="N553" s="2" t="s">
        <v>1231</v>
      </c>
      <c r="O553" s="2" t="s">
        <v>10</v>
      </c>
      <c r="P553" s="3">
        <v>45761</v>
      </c>
      <c r="Q553" s="4">
        <v>450200</v>
      </c>
      <c r="R553">
        <v>723</v>
      </c>
      <c r="S553" t="str">
        <f>IF(Linked[[#This Row],[Credit Score]]&lt;=579,"Poor",IF(Linked[[#This Row],[Credit Score]]&lt;=669,"Fair",IF(Linked[[#This Row],[Credit Score]]&lt;=739,"Good",IF(Linked[[#This Row],[Credit Score]]&lt;=799,"Very Good",IF(Linked[[#This Row],[Credit Score]]&gt;=800,"Excellent")))))</f>
        <v>Good</v>
      </c>
      <c r="T553" s="4">
        <v>0</v>
      </c>
      <c r="U553" s="2" t="s">
        <v>39</v>
      </c>
      <c r="V553" s="2"/>
    </row>
    <row r="554" spans="1:22" x14ac:dyDescent="0.25">
      <c r="A554" s="2" t="s">
        <v>706</v>
      </c>
      <c r="B554" s="2" t="s">
        <v>898</v>
      </c>
      <c r="C554" s="2" t="s">
        <v>1860</v>
      </c>
      <c r="D554" s="2" t="s">
        <v>1219</v>
      </c>
      <c r="E554">
        <v>29</v>
      </c>
      <c r="F554" s="2" t="s">
        <v>1220</v>
      </c>
      <c r="G554" s="2" t="s">
        <v>1243</v>
      </c>
      <c r="H554" s="2" t="s">
        <v>1253</v>
      </c>
      <c r="I554" s="1">
        <v>43856</v>
      </c>
      <c r="J554">
        <v>2020</v>
      </c>
      <c r="K554" s="2" t="s">
        <v>1861</v>
      </c>
      <c r="L554" s="4">
        <v>94441</v>
      </c>
      <c r="M554" s="2" t="s">
        <v>1245</v>
      </c>
      <c r="N554" s="2" t="s">
        <v>1224</v>
      </c>
      <c r="O554" s="2" t="s">
        <v>10</v>
      </c>
      <c r="P554" s="3">
        <v>45828</v>
      </c>
      <c r="Q554" s="4">
        <v>496915</v>
      </c>
      <c r="R554">
        <v>372</v>
      </c>
      <c r="S554" t="str">
        <f>IF(Linked[[#This Row],[Credit Score]]&lt;=579,"Poor",IF(Linked[[#This Row],[Credit Score]]&lt;=669,"Fair",IF(Linked[[#This Row],[Credit Score]]&lt;=739,"Good",IF(Linked[[#This Row],[Credit Score]]&lt;=799,"Very Good",IF(Linked[[#This Row],[Credit Score]]&gt;=800,"Excellent")))))</f>
        <v>Poor</v>
      </c>
      <c r="T554" s="4">
        <v>0</v>
      </c>
      <c r="U554" s="2" t="s">
        <v>59</v>
      </c>
      <c r="V554" s="2"/>
    </row>
    <row r="555" spans="1:22" x14ac:dyDescent="0.25">
      <c r="A555" s="2" t="s">
        <v>672</v>
      </c>
      <c r="B555" s="2" t="s">
        <v>899</v>
      </c>
      <c r="C555" s="2" t="s">
        <v>1816</v>
      </c>
      <c r="D555" s="2" t="s">
        <v>1219</v>
      </c>
      <c r="E555">
        <v>39</v>
      </c>
      <c r="F555" s="2" t="s">
        <v>1220</v>
      </c>
      <c r="G555" s="2" t="s">
        <v>1221</v>
      </c>
      <c r="H555" s="2" t="s">
        <v>1244</v>
      </c>
      <c r="I555" s="1">
        <v>44102</v>
      </c>
      <c r="J555">
        <v>2020</v>
      </c>
      <c r="K555" s="2" t="s">
        <v>1817</v>
      </c>
      <c r="L555" s="4">
        <v>103309</v>
      </c>
      <c r="M555" s="2" t="s">
        <v>1245</v>
      </c>
      <c r="N555" s="2" t="s">
        <v>1224</v>
      </c>
      <c r="O555" s="2" t="s">
        <v>10</v>
      </c>
      <c r="P555" s="3">
        <v>44193</v>
      </c>
      <c r="Q555" s="4">
        <v>113711</v>
      </c>
      <c r="R555">
        <v>500</v>
      </c>
      <c r="S555" t="str">
        <f>IF(Linked[[#This Row],[Credit Score]]&lt;=579,"Poor",IF(Linked[[#This Row],[Credit Score]]&lt;=669,"Fair",IF(Linked[[#This Row],[Credit Score]]&lt;=739,"Good",IF(Linked[[#This Row],[Credit Score]]&lt;=799,"Very Good",IF(Linked[[#This Row],[Credit Score]]&gt;=800,"Excellent")))))</f>
        <v>Poor</v>
      </c>
      <c r="T555" s="4">
        <v>0</v>
      </c>
      <c r="U555" s="2"/>
      <c r="V555" s="2"/>
    </row>
    <row r="556" spans="1:22" x14ac:dyDescent="0.25">
      <c r="A556" s="2" t="s">
        <v>166</v>
      </c>
      <c r="B556" s="2" t="s">
        <v>900</v>
      </c>
      <c r="C556" s="2" t="s">
        <v>1933</v>
      </c>
      <c r="D556" s="2" t="s">
        <v>1227</v>
      </c>
      <c r="E556">
        <v>59</v>
      </c>
      <c r="F556" s="2" t="s">
        <v>1228</v>
      </c>
      <c r="G556" s="2" t="s">
        <v>1243</v>
      </c>
      <c r="H556" s="2" t="s">
        <v>1259</v>
      </c>
      <c r="I556" s="1">
        <v>45185</v>
      </c>
      <c r="J556">
        <v>2023</v>
      </c>
      <c r="K556" s="2" t="s">
        <v>1934</v>
      </c>
      <c r="L556" s="4">
        <v>177361</v>
      </c>
      <c r="M556" s="2" t="s">
        <v>1223</v>
      </c>
      <c r="N556" s="2" t="s">
        <v>1224</v>
      </c>
      <c r="O556" s="2" t="s">
        <v>13</v>
      </c>
      <c r="P556" s="3">
        <v>43528</v>
      </c>
      <c r="Q556" s="4">
        <v>215250</v>
      </c>
      <c r="R556">
        <v>821</v>
      </c>
      <c r="S556" t="str">
        <f>IF(Linked[[#This Row],[Credit Score]]&lt;=579,"Poor",IF(Linked[[#This Row],[Credit Score]]&lt;=669,"Fair",IF(Linked[[#This Row],[Credit Score]]&lt;=739,"Good",IF(Linked[[#This Row],[Credit Score]]&lt;=799,"Very Good",IF(Linked[[#This Row],[Credit Score]]&gt;=800,"Excellent")))))</f>
        <v>Excellent</v>
      </c>
      <c r="T556" s="4">
        <v>0</v>
      </c>
      <c r="U556" s="2" t="s">
        <v>59</v>
      </c>
      <c r="V556" s="2"/>
    </row>
    <row r="557" spans="1:22" x14ac:dyDescent="0.25">
      <c r="A557" s="2" t="s">
        <v>84</v>
      </c>
      <c r="B557" s="2" t="s">
        <v>901</v>
      </c>
      <c r="C557" s="2" t="s">
        <v>1590</v>
      </c>
      <c r="D557" s="2" t="s">
        <v>1219</v>
      </c>
      <c r="E557">
        <v>22</v>
      </c>
      <c r="F557" s="2" t="s">
        <v>1242</v>
      </c>
      <c r="G557" s="2" t="s">
        <v>1229</v>
      </c>
      <c r="H557" s="2" t="s">
        <v>1222</v>
      </c>
      <c r="I557" s="1">
        <v>44252</v>
      </c>
      <c r="J557">
        <v>2021</v>
      </c>
      <c r="K557" s="2" t="s">
        <v>1591</v>
      </c>
      <c r="L557" s="4">
        <v>93609</v>
      </c>
      <c r="M557" s="2" t="s">
        <v>1245</v>
      </c>
      <c r="N557" s="2" t="s">
        <v>1224</v>
      </c>
      <c r="O557" s="2" t="s">
        <v>13</v>
      </c>
      <c r="P557" s="3">
        <v>42366</v>
      </c>
      <c r="Q557" s="4">
        <v>11094</v>
      </c>
      <c r="R557">
        <v>804</v>
      </c>
      <c r="S557" t="str">
        <f>IF(Linked[[#This Row],[Credit Score]]&lt;=579,"Poor",IF(Linked[[#This Row],[Credit Score]]&lt;=669,"Fair",IF(Linked[[#This Row],[Credit Score]]&lt;=739,"Good",IF(Linked[[#This Row],[Credit Score]]&lt;=799,"Very Good",IF(Linked[[#This Row],[Credit Score]]&gt;=800,"Excellent")))))</f>
        <v>Excellent</v>
      </c>
      <c r="T557" s="4">
        <v>0</v>
      </c>
      <c r="U557" s="2" t="s">
        <v>59</v>
      </c>
      <c r="V557" s="2"/>
    </row>
    <row r="558" spans="1:22" x14ac:dyDescent="0.25">
      <c r="A558" s="2" t="s">
        <v>322</v>
      </c>
      <c r="B558" s="2" t="s">
        <v>902</v>
      </c>
      <c r="C558" s="2" t="s">
        <v>2053</v>
      </c>
      <c r="D558" s="2" t="s">
        <v>1227</v>
      </c>
      <c r="E558">
        <v>62</v>
      </c>
      <c r="F558" s="2" t="s">
        <v>1263</v>
      </c>
      <c r="G558" s="2" t="s">
        <v>1221</v>
      </c>
      <c r="H558" s="2" t="s">
        <v>1259</v>
      </c>
      <c r="I558" s="1">
        <v>42284</v>
      </c>
      <c r="J558">
        <v>2015</v>
      </c>
      <c r="K558" s="2" t="s">
        <v>2054</v>
      </c>
      <c r="L558" s="4">
        <v>121757</v>
      </c>
      <c r="M558" s="2" t="s">
        <v>1245</v>
      </c>
      <c r="N558" s="2" t="s">
        <v>1224</v>
      </c>
      <c r="O558" s="2" t="s">
        <v>25</v>
      </c>
      <c r="P558" s="3">
        <v>44517</v>
      </c>
      <c r="Q558" s="4">
        <v>350103</v>
      </c>
      <c r="R558">
        <v>338</v>
      </c>
      <c r="S558" t="str">
        <f>IF(Linked[[#This Row],[Credit Score]]&lt;=579,"Poor",IF(Linked[[#This Row],[Credit Score]]&lt;=669,"Fair",IF(Linked[[#This Row],[Credit Score]]&lt;=739,"Good",IF(Linked[[#This Row],[Credit Score]]&lt;=799,"Very Good",IF(Linked[[#This Row],[Credit Score]]&gt;=800,"Excellent")))))</f>
        <v>Poor</v>
      </c>
      <c r="T558" s="4">
        <v>281601</v>
      </c>
      <c r="U558" s="2"/>
      <c r="V558" s="2"/>
    </row>
    <row r="559" spans="1:22" x14ac:dyDescent="0.25">
      <c r="A559" s="2" t="s">
        <v>904</v>
      </c>
      <c r="B559" s="2" t="s">
        <v>903</v>
      </c>
      <c r="C559" s="2" t="s">
        <v>1911</v>
      </c>
      <c r="D559" s="2" t="s">
        <v>1227</v>
      </c>
      <c r="E559">
        <v>35</v>
      </c>
      <c r="F559" s="2" t="s">
        <v>1220</v>
      </c>
      <c r="G559" s="2" t="s">
        <v>1221</v>
      </c>
      <c r="H559" s="2" t="s">
        <v>1239</v>
      </c>
      <c r="I559" s="1">
        <v>42239</v>
      </c>
      <c r="J559">
        <v>2015</v>
      </c>
      <c r="K559" s="2" t="s">
        <v>1440</v>
      </c>
      <c r="L559" s="4">
        <v>71047</v>
      </c>
      <c r="M559" s="2" t="s">
        <v>1250</v>
      </c>
      <c r="N559" s="2" t="s">
        <v>1224</v>
      </c>
      <c r="O559" s="2" t="s">
        <v>13</v>
      </c>
      <c r="P559" s="3">
        <v>44132</v>
      </c>
      <c r="Q559" s="4">
        <v>426634</v>
      </c>
      <c r="R559">
        <v>359</v>
      </c>
      <c r="S559" t="str">
        <f>IF(Linked[[#This Row],[Credit Score]]&lt;=579,"Poor",IF(Linked[[#This Row],[Credit Score]]&lt;=669,"Fair",IF(Linked[[#This Row],[Credit Score]]&lt;=739,"Good",IF(Linked[[#This Row],[Credit Score]]&lt;=799,"Very Good",IF(Linked[[#This Row],[Credit Score]]&gt;=800,"Excellent")))))</f>
        <v>Poor</v>
      </c>
      <c r="T559" s="4">
        <v>0</v>
      </c>
      <c r="U559" s="2"/>
      <c r="V559" s="2"/>
    </row>
    <row r="560" spans="1:22" x14ac:dyDescent="0.25">
      <c r="A560" s="2" t="s">
        <v>525</v>
      </c>
      <c r="B560" s="2" t="s">
        <v>905</v>
      </c>
      <c r="C560" s="2" t="s">
        <v>1437</v>
      </c>
      <c r="D560" s="2" t="s">
        <v>1227</v>
      </c>
      <c r="E560">
        <v>72</v>
      </c>
      <c r="F560" s="2" t="s">
        <v>1263</v>
      </c>
      <c r="G560" s="2" t="s">
        <v>1249</v>
      </c>
      <c r="H560" s="2" t="s">
        <v>1222</v>
      </c>
      <c r="I560" s="1">
        <v>44205</v>
      </c>
      <c r="J560">
        <v>2021</v>
      </c>
      <c r="K560" s="2" t="s">
        <v>1438</v>
      </c>
      <c r="L560" s="4">
        <v>145991</v>
      </c>
      <c r="M560" s="2" t="s">
        <v>1223</v>
      </c>
      <c r="N560" s="2" t="s">
        <v>1224</v>
      </c>
      <c r="O560" s="2" t="s">
        <v>13</v>
      </c>
      <c r="P560" s="3">
        <v>42926</v>
      </c>
      <c r="Q560" s="4">
        <v>267885</v>
      </c>
      <c r="R560">
        <v>620</v>
      </c>
      <c r="S560" t="str">
        <f>IF(Linked[[#This Row],[Credit Score]]&lt;=579,"Poor",IF(Linked[[#This Row],[Credit Score]]&lt;=669,"Fair",IF(Linked[[#This Row],[Credit Score]]&lt;=739,"Good",IF(Linked[[#This Row],[Credit Score]]&lt;=799,"Very Good",IF(Linked[[#This Row],[Credit Score]]&gt;=800,"Excellent")))))</f>
        <v>Fair</v>
      </c>
      <c r="T560" s="4">
        <v>108619</v>
      </c>
      <c r="U560" s="2"/>
      <c r="V560" s="2"/>
    </row>
    <row r="561" spans="1:22" x14ac:dyDescent="0.25">
      <c r="A561" s="2" t="s">
        <v>326</v>
      </c>
      <c r="B561" s="2" t="s">
        <v>906</v>
      </c>
      <c r="C561" s="2" t="s">
        <v>1549</v>
      </c>
      <c r="D561" s="2" t="s">
        <v>1219</v>
      </c>
      <c r="E561">
        <v>66</v>
      </c>
      <c r="F561" s="2" t="s">
        <v>1263</v>
      </c>
      <c r="G561" s="2" t="s">
        <v>1221</v>
      </c>
      <c r="H561" s="2" t="s">
        <v>1259</v>
      </c>
      <c r="I561" s="1">
        <v>45560</v>
      </c>
      <c r="J561">
        <v>2024</v>
      </c>
      <c r="K561" s="2" t="s">
        <v>1550</v>
      </c>
      <c r="L561" s="4">
        <v>83852</v>
      </c>
      <c r="M561" s="2" t="s">
        <v>1245</v>
      </c>
      <c r="N561" s="2" t="s">
        <v>1224</v>
      </c>
      <c r="O561" s="2" t="s">
        <v>13</v>
      </c>
      <c r="P561" s="3">
        <v>45370</v>
      </c>
      <c r="Q561" s="4">
        <v>111585</v>
      </c>
      <c r="R561">
        <v>734</v>
      </c>
      <c r="S561" t="str">
        <f>IF(Linked[[#This Row],[Credit Score]]&lt;=579,"Poor",IF(Linked[[#This Row],[Credit Score]]&lt;=669,"Fair",IF(Linked[[#This Row],[Credit Score]]&lt;=739,"Good",IF(Linked[[#This Row],[Credit Score]]&lt;=799,"Very Good",IF(Linked[[#This Row],[Credit Score]]&gt;=800,"Excellent")))))</f>
        <v>Good</v>
      </c>
      <c r="T561" s="4">
        <v>0</v>
      </c>
      <c r="U561" s="2"/>
      <c r="V561" s="2"/>
    </row>
    <row r="562" spans="1:22" x14ac:dyDescent="0.25">
      <c r="A562" s="2" t="s">
        <v>306</v>
      </c>
      <c r="B562" s="2" t="s">
        <v>907</v>
      </c>
      <c r="C562" s="2" t="s">
        <v>1683</v>
      </c>
      <c r="D562" s="2" t="s">
        <v>1219</v>
      </c>
      <c r="E562">
        <v>29</v>
      </c>
      <c r="F562" s="2" t="s">
        <v>1220</v>
      </c>
      <c r="G562" s="2" t="s">
        <v>1229</v>
      </c>
      <c r="H562" s="2" t="s">
        <v>1253</v>
      </c>
      <c r="I562" s="1">
        <v>45525</v>
      </c>
      <c r="J562">
        <v>2024</v>
      </c>
      <c r="K562" s="2" t="s">
        <v>1684</v>
      </c>
      <c r="L562" s="4">
        <v>117883</v>
      </c>
      <c r="M562" s="2" t="s">
        <v>1245</v>
      </c>
      <c r="N562" s="2" t="s">
        <v>1224</v>
      </c>
      <c r="O562" s="2" t="s">
        <v>10</v>
      </c>
      <c r="P562" s="3">
        <v>43431</v>
      </c>
      <c r="Q562" s="4">
        <v>465590</v>
      </c>
      <c r="R562">
        <v>707</v>
      </c>
      <c r="S562" t="str">
        <f>IF(Linked[[#This Row],[Credit Score]]&lt;=579,"Poor",IF(Linked[[#This Row],[Credit Score]]&lt;=669,"Fair",IF(Linked[[#This Row],[Credit Score]]&lt;=739,"Good",IF(Linked[[#This Row],[Credit Score]]&lt;=799,"Very Good",IF(Linked[[#This Row],[Credit Score]]&gt;=800,"Excellent")))))</f>
        <v>Good</v>
      </c>
      <c r="T562" s="4">
        <v>0</v>
      </c>
      <c r="U562" s="2"/>
      <c r="V562" s="2"/>
    </row>
    <row r="563" spans="1:22" x14ac:dyDescent="0.25">
      <c r="A563" s="2" t="s">
        <v>909</v>
      </c>
      <c r="B563" s="2" t="s">
        <v>908</v>
      </c>
      <c r="C563" s="2" t="s">
        <v>1912</v>
      </c>
      <c r="D563" s="2" t="s">
        <v>1227</v>
      </c>
      <c r="E563">
        <v>64</v>
      </c>
      <c r="F563" s="2" t="s">
        <v>1263</v>
      </c>
      <c r="G563" s="2" t="s">
        <v>1243</v>
      </c>
      <c r="H563" s="2" t="s">
        <v>1239</v>
      </c>
      <c r="I563" s="1">
        <v>42506</v>
      </c>
      <c r="J563">
        <v>2016</v>
      </c>
      <c r="K563" s="2" t="s">
        <v>1913</v>
      </c>
      <c r="L563" s="4">
        <v>91626</v>
      </c>
      <c r="M563" s="2" t="s">
        <v>1245</v>
      </c>
      <c r="N563" s="2" t="s">
        <v>1224</v>
      </c>
      <c r="O563" s="2" t="s">
        <v>25</v>
      </c>
      <c r="P563" s="3">
        <v>45681</v>
      </c>
      <c r="Q563" s="4">
        <v>384708</v>
      </c>
      <c r="R563">
        <v>685</v>
      </c>
      <c r="S563" t="str">
        <f>IF(Linked[[#This Row],[Credit Score]]&lt;=579,"Poor",IF(Linked[[#This Row],[Credit Score]]&lt;=669,"Fair",IF(Linked[[#This Row],[Credit Score]]&lt;=739,"Good",IF(Linked[[#This Row],[Credit Score]]&lt;=799,"Very Good",IF(Linked[[#This Row],[Credit Score]]&gt;=800,"Excellent")))))</f>
        <v>Good</v>
      </c>
      <c r="T563" s="4">
        <v>0</v>
      </c>
      <c r="U563" s="2"/>
      <c r="V563" s="2"/>
    </row>
    <row r="564" spans="1:22" x14ac:dyDescent="0.25">
      <c r="A564" s="2" t="s">
        <v>516</v>
      </c>
      <c r="B564" s="2" t="s">
        <v>910</v>
      </c>
      <c r="C564" s="2" t="s">
        <v>1734</v>
      </c>
      <c r="D564" s="2" t="s">
        <v>1219</v>
      </c>
      <c r="E564">
        <v>46</v>
      </c>
      <c r="F564" s="2" t="s">
        <v>1228</v>
      </c>
      <c r="G564" s="2" t="s">
        <v>1229</v>
      </c>
      <c r="H564" s="2" t="s">
        <v>1244</v>
      </c>
      <c r="I564" s="1">
        <v>42873</v>
      </c>
      <c r="J564">
        <v>2017</v>
      </c>
      <c r="K564" s="2" t="s">
        <v>1735</v>
      </c>
      <c r="L564" s="4">
        <v>190413</v>
      </c>
      <c r="M564" s="2" t="s">
        <v>1223</v>
      </c>
      <c r="N564" s="2" t="s">
        <v>1236</v>
      </c>
      <c r="O564" s="2" t="s">
        <v>13</v>
      </c>
      <c r="P564" s="3">
        <v>44192</v>
      </c>
      <c r="Q564" s="4">
        <v>68798</v>
      </c>
      <c r="R564">
        <v>377</v>
      </c>
      <c r="S564" t="str">
        <f>IF(Linked[[#This Row],[Credit Score]]&lt;=579,"Poor",IF(Linked[[#This Row],[Credit Score]]&lt;=669,"Fair",IF(Linked[[#This Row],[Credit Score]]&lt;=739,"Good",IF(Linked[[#This Row],[Credit Score]]&lt;=799,"Very Good",IF(Linked[[#This Row],[Credit Score]]&gt;=800,"Excellent")))))</f>
        <v>Poor</v>
      </c>
      <c r="T564" s="4">
        <v>0</v>
      </c>
      <c r="U564" s="2"/>
      <c r="V564" s="2"/>
    </row>
    <row r="565" spans="1:22" x14ac:dyDescent="0.25">
      <c r="A565" s="2" t="s">
        <v>487</v>
      </c>
      <c r="B565" s="2" t="s">
        <v>911</v>
      </c>
      <c r="C565" s="2" t="s">
        <v>2285</v>
      </c>
      <c r="D565" s="2" t="s">
        <v>1219</v>
      </c>
      <c r="E565">
        <v>40</v>
      </c>
      <c r="F565" s="2" t="s">
        <v>1220</v>
      </c>
      <c r="G565" s="2" t="s">
        <v>1243</v>
      </c>
      <c r="H565" s="2" t="s">
        <v>1239</v>
      </c>
      <c r="I565" s="1">
        <v>45104</v>
      </c>
      <c r="J565">
        <v>2023</v>
      </c>
      <c r="K565" s="2" t="s">
        <v>2286</v>
      </c>
      <c r="L565" s="4">
        <v>157710</v>
      </c>
      <c r="M565" s="2" t="s">
        <v>1223</v>
      </c>
      <c r="N565" s="2" t="s">
        <v>1224</v>
      </c>
      <c r="O565" s="2" t="s">
        <v>13</v>
      </c>
      <c r="P565" s="3">
        <v>43116</v>
      </c>
      <c r="Q565" s="4">
        <v>378170</v>
      </c>
      <c r="R565">
        <v>493</v>
      </c>
      <c r="S565" t="str">
        <f>IF(Linked[[#This Row],[Credit Score]]&lt;=579,"Poor",IF(Linked[[#This Row],[Credit Score]]&lt;=669,"Fair",IF(Linked[[#This Row],[Credit Score]]&lt;=739,"Good",IF(Linked[[#This Row],[Credit Score]]&lt;=799,"Very Good",IF(Linked[[#This Row],[Credit Score]]&gt;=800,"Excellent")))))</f>
        <v>Poor</v>
      </c>
      <c r="T565" s="4">
        <v>404346</v>
      </c>
      <c r="U565" s="2"/>
      <c r="V565" s="2"/>
    </row>
    <row r="566" spans="1:22" x14ac:dyDescent="0.25">
      <c r="A566" s="2" t="s">
        <v>828</v>
      </c>
      <c r="B566" s="2" t="s">
        <v>912</v>
      </c>
      <c r="C566" s="2" t="s">
        <v>2188</v>
      </c>
      <c r="D566" s="2" t="s">
        <v>1219</v>
      </c>
      <c r="E566">
        <v>35</v>
      </c>
      <c r="F566" s="2" t="s">
        <v>1220</v>
      </c>
      <c r="G566" s="2" t="s">
        <v>1221</v>
      </c>
      <c r="H566" s="2" t="s">
        <v>1259</v>
      </c>
      <c r="I566" s="1">
        <v>43285</v>
      </c>
      <c r="J566">
        <v>2018</v>
      </c>
      <c r="K566" s="2" t="s">
        <v>2189</v>
      </c>
      <c r="L566" s="4">
        <v>39816</v>
      </c>
      <c r="M566" s="2" t="s">
        <v>1250</v>
      </c>
      <c r="N566" s="2" t="s">
        <v>1231</v>
      </c>
      <c r="O566" s="2" t="s">
        <v>13</v>
      </c>
      <c r="P566" s="3">
        <v>43174</v>
      </c>
      <c r="Q566" s="4">
        <v>201604</v>
      </c>
      <c r="R566">
        <v>584</v>
      </c>
      <c r="S566" t="str">
        <f>IF(Linked[[#This Row],[Credit Score]]&lt;=579,"Poor",IF(Linked[[#This Row],[Credit Score]]&lt;=669,"Fair",IF(Linked[[#This Row],[Credit Score]]&lt;=739,"Good",IF(Linked[[#This Row],[Credit Score]]&lt;=799,"Very Good",IF(Linked[[#This Row],[Credit Score]]&gt;=800,"Excellent")))))</f>
        <v>Fair</v>
      </c>
      <c r="T566" s="4">
        <v>0</v>
      </c>
      <c r="U566" s="2"/>
      <c r="V566" s="2"/>
    </row>
    <row r="567" spans="1:22" x14ac:dyDescent="0.25">
      <c r="A567" s="2" t="s">
        <v>847</v>
      </c>
      <c r="B567" s="2" t="s">
        <v>913</v>
      </c>
      <c r="C567" s="2" t="s">
        <v>1963</v>
      </c>
      <c r="D567" s="2" t="s">
        <v>1219</v>
      </c>
      <c r="E567">
        <v>39</v>
      </c>
      <c r="F567" s="2" t="s">
        <v>1220</v>
      </c>
      <c r="G567" s="2" t="s">
        <v>1221</v>
      </c>
      <c r="H567" s="2" t="s">
        <v>1244</v>
      </c>
      <c r="I567" s="1">
        <v>43494</v>
      </c>
      <c r="J567">
        <v>2019</v>
      </c>
      <c r="K567" s="2" t="s">
        <v>1964</v>
      </c>
      <c r="L567" s="4">
        <v>118818</v>
      </c>
      <c r="M567" s="2" t="s">
        <v>1245</v>
      </c>
      <c r="N567" s="2" t="s">
        <v>1231</v>
      </c>
      <c r="O567" s="2" t="s">
        <v>25</v>
      </c>
      <c r="P567" s="3">
        <v>44298</v>
      </c>
      <c r="Q567" s="4">
        <v>110130</v>
      </c>
      <c r="R567">
        <v>826</v>
      </c>
      <c r="S567" t="str">
        <f>IF(Linked[[#This Row],[Credit Score]]&lt;=579,"Poor",IF(Linked[[#This Row],[Credit Score]]&lt;=669,"Fair",IF(Linked[[#This Row],[Credit Score]]&lt;=739,"Good",IF(Linked[[#This Row],[Credit Score]]&lt;=799,"Very Good",IF(Linked[[#This Row],[Credit Score]]&gt;=800,"Excellent")))))</f>
        <v>Excellent</v>
      </c>
      <c r="T567" s="4">
        <v>0</v>
      </c>
      <c r="U567" s="2"/>
      <c r="V567" s="2"/>
    </row>
    <row r="568" spans="1:22" x14ac:dyDescent="0.25">
      <c r="A568" s="2" t="s">
        <v>915</v>
      </c>
      <c r="B568" s="2" t="s">
        <v>914</v>
      </c>
      <c r="C568" s="2" t="s">
        <v>1723</v>
      </c>
      <c r="D568" s="2" t="s">
        <v>1219</v>
      </c>
      <c r="E568">
        <v>21</v>
      </c>
      <c r="F568" s="2" t="s">
        <v>1242</v>
      </c>
      <c r="G568" s="2" t="s">
        <v>1229</v>
      </c>
      <c r="H568" s="2" t="s">
        <v>1239</v>
      </c>
      <c r="I568" s="1">
        <v>45495</v>
      </c>
      <c r="J568">
        <v>2024</v>
      </c>
      <c r="K568" s="2" t="s">
        <v>1724</v>
      </c>
      <c r="L568" s="4">
        <v>189230</v>
      </c>
      <c r="M568" s="2" t="s">
        <v>1223</v>
      </c>
      <c r="N568" s="2" t="s">
        <v>1224</v>
      </c>
      <c r="O568" s="2" t="s">
        <v>10</v>
      </c>
      <c r="P568" s="3">
        <v>43130</v>
      </c>
      <c r="Q568" s="4">
        <v>284308</v>
      </c>
      <c r="R568">
        <v>823</v>
      </c>
      <c r="S568" t="str">
        <f>IF(Linked[[#This Row],[Credit Score]]&lt;=579,"Poor",IF(Linked[[#This Row],[Credit Score]]&lt;=669,"Fair",IF(Linked[[#This Row],[Credit Score]]&lt;=739,"Good",IF(Linked[[#This Row],[Credit Score]]&lt;=799,"Very Good",IF(Linked[[#This Row],[Credit Score]]&gt;=800,"Excellent")))))</f>
        <v>Excellent</v>
      </c>
      <c r="T568" s="4">
        <v>0</v>
      </c>
      <c r="U568" s="2"/>
      <c r="V568" s="2"/>
    </row>
    <row r="569" spans="1:22" x14ac:dyDescent="0.25">
      <c r="A569" s="2" t="s">
        <v>727</v>
      </c>
      <c r="B569" s="2" t="s">
        <v>916</v>
      </c>
      <c r="C569" s="2" t="s">
        <v>1333</v>
      </c>
      <c r="D569" s="2" t="s">
        <v>1219</v>
      </c>
      <c r="E569">
        <v>30</v>
      </c>
      <c r="F569" s="2" t="s">
        <v>1220</v>
      </c>
      <c r="G569" s="2" t="s">
        <v>1249</v>
      </c>
      <c r="H569" s="2" t="s">
        <v>1259</v>
      </c>
      <c r="I569" s="1">
        <v>42853</v>
      </c>
      <c r="J569">
        <v>2017</v>
      </c>
      <c r="K569" s="2" t="s">
        <v>1334</v>
      </c>
      <c r="L569" s="4">
        <v>176497</v>
      </c>
      <c r="M569" s="2" t="s">
        <v>1223</v>
      </c>
      <c r="N569" s="2" t="s">
        <v>1231</v>
      </c>
      <c r="O569" s="2" t="s">
        <v>10</v>
      </c>
      <c r="P569" s="3">
        <v>42498</v>
      </c>
      <c r="Q569" s="4">
        <v>166667</v>
      </c>
      <c r="R569">
        <v>455</v>
      </c>
      <c r="S569" t="str">
        <f>IF(Linked[[#This Row],[Credit Score]]&lt;=579,"Poor",IF(Linked[[#This Row],[Credit Score]]&lt;=669,"Fair",IF(Linked[[#This Row],[Credit Score]]&lt;=739,"Good",IF(Linked[[#This Row],[Credit Score]]&lt;=799,"Very Good",IF(Linked[[#This Row],[Credit Score]]&gt;=800,"Excellent")))))</f>
        <v>Poor</v>
      </c>
      <c r="T569" s="4">
        <v>0</v>
      </c>
      <c r="U569" s="2" t="s">
        <v>18</v>
      </c>
      <c r="V569" s="2"/>
    </row>
    <row r="570" spans="1:22" x14ac:dyDescent="0.25">
      <c r="A570" s="2" t="s">
        <v>287</v>
      </c>
      <c r="B570" s="2" t="s">
        <v>917</v>
      </c>
      <c r="C570" s="2" t="s">
        <v>1668</v>
      </c>
      <c r="D570" s="2" t="s">
        <v>1227</v>
      </c>
      <c r="E570">
        <v>50</v>
      </c>
      <c r="F570" s="2" t="s">
        <v>1228</v>
      </c>
      <c r="G570" s="2" t="s">
        <v>1229</v>
      </c>
      <c r="H570" s="2" t="s">
        <v>1239</v>
      </c>
      <c r="I570" s="1">
        <v>43612</v>
      </c>
      <c r="J570">
        <v>2019</v>
      </c>
      <c r="K570" s="2" t="s">
        <v>1669</v>
      </c>
      <c r="L570" s="4">
        <v>43411</v>
      </c>
      <c r="M570" s="2" t="s">
        <v>1250</v>
      </c>
      <c r="N570" s="2" t="s">
        <v>1231</v>
      </c>
      <c r="O570" s="2" t="s">
        <v>25</v>
      </c>
      <c r="P570" s="3">
        <v>43073</v>
      </c>
      <c r="Q570" s="4">
        <v>30257</v>
      </c>
      <c r="R570">
        <v>639</v>
      </c>
      <c r="S570" t="str">
        <f>IF(Linked[[#This Row],[Credit Score]]&lt;=579,"Poor",IF(Linked[[#This Row],[Credit Score]]&lt;=669,"Fair",IF(Linked[[#This Row],[Credit Score]]&lt;=739,"Good",IF(Linked[[#This Row],[Credit Score]]&lt;=799,"Very Good",IF(Linked[[#This Row],[Credit Score]]&gt;=800,"Excellent")))))</f>
        <v>Fair</v>
      </c>
      <c r="T570" s="4">
        <v>0</v>
      </c>
      <c r="U570" s="2" t="s">
        <v>59</v>
      </c>
      <c r="V570" s="2"/>
    </row>
    <row r="571" spans="1:22" x14ac:dyDescent="0.25">
      <c r="A571" s="2" t="s">
        <v>464</v>
      </c>
      <c r="B571" s="2" t="s">
        <v>918</v>
      </c>
      <c r="C571" s="2" t="s">
        <v>1392</v>
      </c>
      <c r="D571" s="2" t="s">
        <v>1219</v>
      </c>
      <c r="E571">
        <v>59</v>
      </c>
      <c r="F571" s="2" t="s">
        <v>1228</v>
      </c>
      <c r="G571" s="2" t="s">
        <v>1229</v>
      </c>
      <c r="H571" s="2" t="s">
        <v>1259</v>
      </c>
      <c r="I571" s="1">
        <v>43069</v>
      </c>
      <c r="J571">
        <v>2017</v>
      </c>
      <c r="K571" s="2" t="s">
        <v>1393</v>
      </c>
      <c r="L571" s="4">
        <v>62520</v>
      </c>
      <c r="M571" s="2" t="s">
        <v>1250</v>
      </c>
      <c r="N571" s="2" t="s">
        <v>1224</v>
      </c>
      <c r="O571" s="2" t="s">
        <v>10</v>
      </c>
      <c r="P571" s="3">
        <v>45781</v>
      </c>
      <c r="Q571" s="4">
        <v>407427</v>
      </c>
      <c r="R571">
        <v>424</v>
      </c>
      <c r="S571" t="str">
        <f>IF(Linked[[#This Row],[Credit Score]]&lt;=579,"Poor",IF(Linked[[#This Row],[Credit Score]]&lt;=669,"Fair",IF(Linked[[#This Row],[Credit Score]]&lt;=739,"Good",IF(Linked[[#This Row],[Credit Score]]&lt;=799,"Very Good",IF(Linked[[#This Row],[Credit Score]]&gt;=800,"Excellent")))))</f>
        <v>Poor</v>
      </c>
      <c r="T571" s="4">
        <v>0</v>
      </c>
      <c r="U571" s="2" t="s">
        <v>18</v>
      </c>
      <c r="V571" s="2"/>
    </row>
    <row r="572" spans="1:22" x14ac:dyDescent="0.25">
      <c r="A572" s="2" t="s">
        <v>71</v>
      </c>
      <c r="B572" s="2" t="s">
        <v>919</v>
      </c>
      <c r="C572" s="2" t="s">
        <v>2258</v>
      </c>
      <c r="D572" s="2" t="s">
        <v>1227</v>
      </c>
      <c r="E572">
        <v>18</v>
      </c>
      <c r="F572" s="2" t="s">
        <v>1242</v>
      </c>
      <c r="G572" s="2" t="s">
        <v>1243</v>
      </c>
      <c r="H572" s="2" t="s">
        <v>1244</v>
      </c>
      <c r="I572" s="1">
        <v>43488</v>
      </c>
      <c r="J572">
        <v>2019</v>
      </c>
      <c r="K572" s="2" t="s">
        <v>2259</v>
      </c>
      <c r="L572" s="4">
        <v>53997</v>
      </c>
      <c r="M572" s="2" t="s">
        <v>1250</v>
      </c>
      <c r="N572" s="2" t="s">
        <v>1224</v>
      </c>
      <c r="O572" s="2" t="s">
        <v>25</v>
      </c>
      <c r="P572" s="3">
        <v>42491</v>
      </c>
      <c r="Q572" s="4">
        <v>358133</v>
      </c>
      <c r="R572">
        <v>579</v>
      </c>
      <c r="S572" t="str">
        <f>IF(Linked[[#This Row],[Credit Score]]&lt;=579,"Poor",IF(Linked[[#This Row],[Credit Score]]&lt;=669,"Fair",IF(Linked[[#This Row],[Credit Score]]&lt;=739,"Good",IF(Linked[[#This Row],[Credit Score]]&lt;=799,"Very Good",IF(Linked[[#This Row],[Credit Score]]&gt;=800,"Excellent")))))</f>
        <v>Poor</v>
      </c>
      <c r="T572" s="4">
        <v>0</v>
      </c>
      <c r="U572" s="2"/>
      <c r="V572" s="2"/>
    </row>
    <row r="573" spans="1:22" x14ac:dyDescent="0.25">
      <c r="A573" s="2" t="s">
        <v>921</v>
      </c>
      <c r="B573" s="2" t="s">
        <v>920</v>
      </c>
      <c r="C573" s="2" t="s">
        <v>1814</v>
      </c>
      <c r="D573" s="2" t="s">
        <v>1219</v>
      </c>
      <c r="E573">
        <v>42</v>
      </c>
      <c r="F573" s="2" t="s">
        <v>1220</v>
      </c>
      <c r="G573" s="2" t="s">
        <v>1229</v>
      </c>
      <c r="H573" s="2" t="s">
        <v>1253</v>
      </c>
      <c r="I573" s="1">
        <v>42297</v>
      </c>
      <c r="J573">
        <v>2015</v>
      </c>
      <c r="K573" s="2" t="s">
        <v>1815</v>
      </c>
      <c r="L573" s="4">
        <v>180081</v>
      </c>
      <c r="M573" s="2" t="s">
        <v>1223</v>
      </c>
      <c r="N573" s="2" t="s">
        <v>1224</v>
      </c>
      <c r="O573" s="2" t="s">
        <v>25</v>
      </c>
      <c r="P573" s="3">
        <v>43733</v>
      </c>
      <c r="Q573" s="4">
        <v>398448</v>
      </c>
      <c r="R573">
        <v>427</v>
      </c>
      <c r="S573" t="str">
        <f>IF(Linked[[#This Row],[Credit Score]]&lt;=579,"Poor",IF(Linked[[#This Row],[Credit Score]]&lt;=669,"Fair",IF(Linked[[#This Row],[Credit Score]]&lt;=739,"Good",IF(Linked[[#This Row],[Credit Score]]&lt;=799,"Very Good",IF(Linked[[#This Row],[Credit Score]]&gt;=800,"Excellent")))))</f>
        <v>Poor</v>
      </c>
      <c r="T573" s="4">
        <v>0</v>
      </c>
      <c r="U573" s="2"/>
      <c r="V573" s="2"/>
    </row>
    <row r="574" spans="1:22" x14ac:dyDescent="0.25">
      <c r="A574" s="2" t="s">
        <v>410</v>
      </c>
      <c r="B574" s="2" t="s">
        <v>922</v>
      </c>
      <c r="C574" s="2" t="s">
        <v>1226</v>
      </c>
      <c r="D574" s="2" t="s">
        <v>1227</v>
      </c>
      <c r="E574">
        <v>49</v>
      </c>
      <c r="F574" s="2" t="s">
        <v>1228</v>
      </c>
      <c r="G574" s="2" t="s">
        <v>1229</v>
      </c>
      <c r="H574" s="2" t="s">
        <v>1230</v>
      </c>
      <c r="I574" s="1">
        <v>44331</v>
      </c>
      <c r="J574">
        <v>2021</v>
      </c>
      <c r="K574" s="2" t="s">
        <v>1232</v>
      </c>
      <c r="L574" s="4">
        <v>186472</v>
      </c>
      <c r="M574" s="2" t="s">
        <v>1223</v>
      </c>
      <c r="N574" s="2" t="s">
        <v>1231</v>
      </c>
      <c r="O574" s="2" t="s">
        <v>13</v>
      </c>
      <c r="P574" s="3">
        <v>45164</v>
      </c>
      <c r="Q574" s="4">
        <v>460969</v>
      </c>
      <c r="R574">
        <v>613</v>
      </c>
      <c r="S574" t="str">
        <f>IF(Linked[[#This Row],[Credit Score]]&lt;=579,"Poor",IF(Linked[[#This Row],[Credit Score]]&lt;=669,"Fair",IF(Linked[[#This Row],[Credit Score]]&lt;=739,"Good",IF(Linked[[#This Row],[Credit Score]]&lt;=799,"Very Good",IF(Linked[[#This Row],[Credit Score]]&gt;=800,"Excellent")))))</f>
        <v>Fair</v>
      </c>
      <c r="T574" s="4">
        <v>0</v>
      </c>
      <c r="U574" s="2"/>
      <c r="V574" s="2"/>
    </row>
    <row r="575" spans="1:22" x14ac:dyDescent="0.25">
      <c r="A575" s="2" t="s">
        <v>924</v>
      </c>
      <c r="B575" s="2" t="s">
        <v>923</v>
      </c>
      <c r="C575" s="2" t="s">
        <v>2021</v>
      </c>
      <c r="D575" s="2" t="s">
        <v>1227</v>
      </c>
      <c r="E575">
        <v>58</v>
      </c>
      <c r="F575" s="2" t="s">
        <v>1228</v>
      </c>
      <c r="G575" s="2" t="s">
        <v>1229</v>
      </c>
      <c r="H575" s="2" t="s">
        <v>1244</v>
      </c>
      <c r="I575" s="1">
        <v>45392</v>
      </c>
      <c r="J575">
        <v>2024</v>
      </c>
      <c r="K575" s="2" t="s">
        <v>2022</v>
      </c>
      <c r="L575" s="4">
        <v>188484</v>
      </c>
      <c r="M575" s="2" t="s">
        <v>1223</v>
      </c>
      <c r="N575" s="2" t="s">
        <v>1224</v>
      </c>
      <c r="O575" s="2" t="s">
        <v>13</v>
      </c>
      <c r="P575" s="3">
        <v>43082</v>
      </c>
      <c r="Q575" s="4">
        <v>52691</v>
      </c>
      <c r="R575">
        <v>631</v>
      </c>
      <c r="S575" t="str">
        <f>IF(Linked[[#This Row],[Credit Score]]&lt;=579,"Poor",IF(Linked[[#This Row],[Credit Score]]&lt;=669,"Fair",IF(Linked[[#This Row],[Credit Score]]&lt;=739,"Good",IF(Linked[[#This Row],[Credit Score]]&lt;=799,"Very Good",IF(Linked[[#This Row],[Credit Score]]&gt;=800,"Excellent")))))</f>
        <v>Fair</v>
      </c>
      <c r="T575" s="4">
        <v>0</v>
      </c>
      <c r="U575" s="2"/>
      <c r="V575" s="2"/>
    </row>
    <row r="576" spans="1:22" x14ac:dyDescent="0.25">
      <c r="A576" s="2" t="s">
        <v>427</v>
      </c>
      <c r="B576" s="2" t="s">
        <v>925</v>
      </c>
      <c r="C576" s="2" t="s">
        <v>1513</v>
      </c>
      <c r="D576" s="2" t="s">
        <v>1219</v>
      </c>
      <c r="E576">
        <v>22</v>
      </c>
      <c r="F576" s="2" t="s">
        <v>1242</v>
      </c>
      <c r="G576" s="2" t="s">
        <v>1249</v>
      </c>
      <c r="H576" s="2" t="s">
        <v>1253</v>
      </c>
      <c r="I576" s="1">
        <v>42754</v>
      </c>
      <c r="J576">
        <v>2017</v>
      </c>
      <c r="K576" s="2" t="s">
        <v>1514</v>
      </c>
      <c r="L576" s="4">
        <v>187581</v>
      </c>
      <c r="M576" s="2" t="s">
        <v>1223</v>
      </c>
      <c r="N576" s="2" t="s">
        <v>1231</v>
      </c>
      <c r="O576" s="2" t="s">
        <v>13</v>
      </c>
      <c r="P576" s="3">
        <v>43462</v>
      </c>
      <c r="Q576" s="4">
        <v>482981</v>
      </c>
      <c r="R576">
        <v>449</v>
      </c>
      <c r="S576" t="str">
        <f>IF(Linked[[#This Row],[Credit Score]]&lt;=579,"Poor",IF(Linked[[#This Row],[Credit Score]]&lt;=669,"Fair",IF(Linked[[#This Row],[Credit Score]]&lt;=739,"Good",IF(Linked[[#This Row],[Credit Score]]&lt;=799,"Very Good",IF(Linked[[#This Row],[Credit Score]]&gt;=800,"Excellent")))))</f>
        <v>Poor</v>
      </c>
      <c r="T576" s="4">
        <v>345281</v>
      </c>
      <c r="U576" s="2"/>
      <c r="V576" s="2"/>
    </row>
    <row r="577" spans="1:22" x14ac:dyDescent="0.25">
      <c r="A577" s="2" t="s">
        <v>863</v>
      </c>
      <c r="B577" s="2" t="s">
        <v>926</v>
      </c>
      <c r="C577" s="2" t="s">
        <v>1481</v>
      </c>
      <c r="D577" s="2" t="s">
        <v>1219</v>
      </c>
      <c r="E577">
        <v>70</v>
      </c>
      <c r="F577" s="2" t="s">
        <v>1263</v>
      </c>
      <c r="G577" s="2" t="s">
        <v>1229</v>
      </c>
      <c r="H577" s="2" t="s">
        <v>1239</v>
      </c>
      <c r="I577" s="1">
        <v>43256</v>
      </c>
      <c r="J577">
        <v>2018</v>
      </c>
      <c r="K577" s="2" t="s">
        <v>1482</v>
      </c>
      <c r="L577" s="4">
        <v>106206</v>
      </c>
      <c r="M577" s="2" t="s">
        <v>1245</v>
      </c>
      <c r="N577" s="2" t="s">
        <v>1224</v>
      </c>
      <c r="O577" s="2" t="s">
        <v>13</v>
      </c>
      <c r="P577" s="3">
        <v>43189</v>
      </c>
      <c r="Q577" s="4">
        <v>79768</v>
      </c>
      <c r="R577">
        <v>753</v>
      </c>
      <c r="S577" t="str">
        <f>IF(Linked[[#This Row],[Credit Score]]&lt;=579,"Poor",IF(Linked[[#This Row],[Credit Score]]&lt;=669,"Fair",IF(Linked[[#This Row],[Credit Score]]&lt;=739,"Good",IF(Linked[[#This Row],[Credit Score]]&lt;=799,"Very Good",IF(Linked[[#This Row],[Credit Score]]&gt;=800,"Excellent")))))</f>
        <v>Very Good</v>
      </c>
      <c r="T577" s="4">
        <v>0</v>
      </c>
      <c r="U577" s="2" t="s">
        <v>39</v>
      </c>
      <c r="V577" s="2"/>
    </row>
    <row r="578" spans="1:22" x14ac:dyDescent="0.25">
      <c r="A578" s="2" t="s">
        <v>369</v>
      </c>
      <c r="B578" s="2" t="s">
        <v>927</v>
      </c>
      <c r="C578" s="2" t="s">
        <v>1430</v>
      </c>
      <c r="D578" s="2" t="s">
        <v>1219</v>
      </c>
      <c r="E578">
        <v>47</v>
      </c>
      <c r="F578" s="2" t="s">
        <v>1228</v>
      </c>
      <c r="G578" s="2" t="s">
        <v>1221</v>
      </c>
      <c r="H578" s="2" t="s">
        <v>1253</v>
      </c>
      <c r="I578" s="1">
        <v>44285</v>
      </c>
      <c r="J578">
        <v>2021</v>
      </c>
      <c r="K578" s="2" t="s">
        <v>1431</v>
      </c>
      <c r="L578" s="4">
        <v>105956</v>
      </c>
      <c r="M578" s="2" t="s">
        <v>1245</v>
      </c>
      <c r="N578" s="2" t="s">
        <v>1224</v>
      </c>
      <c r="O578" s="2" t="s">
        <v>32</v>
      </c>
      <c r="P578" s="3">
        <v>42386</v>
      </c>
      <c r="Q578" s="4">
        <v>418829</v>
      </c>
      <c r="R578">
        <v>335</v>
      </c>
      <c r="S578" t="str">
        <f>IF(Linked[[#This Row],[Credit Score]]&lt;=579,"Poor",IF(Linked[[#This Row],[Credit Score]]&lt;=669,"Fair",IF(Linked[[#This Row],[Credit Score]]&lt;=739,"Good",IF(Linked[[#This Row],[Credit Score]]&lt;=799,"Very Good",IF(Linked[[#This Row],[Credit Score]]&gt;=800,"Excellent")))))</f>
        <v>Poor</v>
      </c>
      <c r="T578" s="4">
        <v>0</v>
      </c>
      <c r="U578" s="2"/>
      <c r="V578" s="2"/>
    </row>
    <row r="579" spans="1:22" x14ac:dyDescent="0.25">
      <c r="A579" s="2" t="s">
        <v>357</v>
      </c>
      <c r="B579" s="2" t="s">
        <v>928</v>
      </c>
      <c r="C579" s="2" t="s">
        <v>2153</v>
      </c>
      <c r="D579" s="2" t="s">
        <v>1227</v>
      </c>
      <c r="E579">
        <v>54</v>
      </c>
      <c r="F579" s="2" t="s">
        <v>1228</v>
      </c>
      <c r="G579" s="2" t="s">
        <v>1229</v>
      </c>
      <c r="H579" s="2" t="s">
        <v>1235</v>
      </c>
      <c r="I579" s="1">
        <v>42917</v>
      </c>
      <c r="J579">
        <v>2017</v>
      </c>
      <c r="K579" s="2" t="s">
        <v>1409</v>
      </c>
      <c r="L579" s="4">
        <v>145818</v>
      </c>
      <c r="M579" s="2" t="s">
        <v>1223</v>
      </c>
      <c r="N579" s="2" t="s">
        <v>1224</v>
      </c>
      <c r="O579" s="2" t="s">
        <v>10</v>
      </c>
      <c r="P579" s="3">
        <v>45188</v>
      </c>
      <c r="Q579" s="4">
        <v>14026</v>
      </c>
      <c r="R579">
        <v>719</v>
      </c>
      <c r="S579" t="str">
        <f>IF(Linked[[#This Row],[Credit Score]]&lt;=579,"Poor",IF(Linked[[#This Row],[Credit Score]]&lt;=669,"Fair",IF(Linked[[#This Row],[Credit Score]]&lt;=739,"Good",IF(Linked[[#This Row],[Credit Score]]&lt;=799,"Very Good",IF(Linked[[#This Row],[Credit Score]]&gt;=800,"Excellent")))))</f>
        <v>Good</v>
      </c>
      <c r="T579" s="4">
        <v>0</v>
      </c>
      <c r="U579" s="2"/>
      <c r="V579" s="2"/>
    </row>
    <row r="580" spans="1:22" x14ac:dyDescent="0.25">
      <c r="A580" s="2" t="s">
        <v>251</v>
      </c>
      <c r="B580" s="2" t="s">
        <v>929</v>
      </c>
      <c r="C580" s="2" t="s">
        <v>1502</v>
      </c>
      <c r="D580" s="2" t="s">
        <v>1219</v>
      </c>
      <c r="E580">
        <v>62</v>
      </c>
      <c r="F580" s="2" t="s">
        <v>1263</v>
      </c>
      <c r="G580" s="2" t="s">
        <v>1229</v>
      </c>
      <c r="H580" s="2" t="s">
        <v>1239</v>
      </c>
      <c r="I580" s="1">
        <v>43555</v>
      </c>
      <c r="J580">
        <v>2019</v>
      </c>
      <c r="K580" s="2" t="s">
        <v>1503</v>
      </c>
      <c r="L580" s="4">
        <v>67638</v>
      </c>
      <c r="M580" s="2" t="s">
        <v>1250</v>
      </c>
      <c r="N580" s="2" t="s">
        <v>1224</v>
      </c>
      <c r="O580" s="2" t="s">
        <v>13</v>
      </c>
      <c r="P580" s="3">
        <v>45089</v>
      </c>
      <c r="Q580" s="4">
        <v>446751</v>
      </c>
      <c r="R580">
        <v>321</v>
      </c>
      <c r="S580" t="str">
        <f>IF(Linked[[#This Row],[Credit Score]]&lt;=579,"Poor",IF(Linked[[#This Row],[Credit Score]]&lt;=669,"Fair",IF(Linked[[#This Row],[Credit Score]]&lt;=739,"Good",IF(Linked[[#This Row],[Credit Score]]&lt;=799,"Very Good",IF(Linked[[#This Row],[Credit Score]]&gt;=800,"Excellent")))))</f>
        <v>Poor</v>
      </c>
      <c r="T580" s="4">
        <v>0</v>
      </c>
      <c r="U580" s="2"/>
      <c r="V580" s="2"/>
    </row>
    <row r="581" spans="1:22" x14ac:dyDescent="0.25">
      <c r="A581" s="2" t="s">
        <v>297</v>
      </c>
      <c r="B581" s="2" t="s">
        <v>930</v>
      </c>
      <c r="C581" s="2" t="s">
        <v>1517</v>
      </c>
      <c r="D581" s="2" t="s">
        <v>1227</v>
      </c>
      <c r="E581">
        <v>46</v>
      </c>
      <c r="F581" s="2" t="s">
        <v>1228</v>
      </c>
      <c r="G581" s="2" t="s">
        <v>1249</v>
      </c>
      <c r="H581" s="2" t="s">
        <v>1222</v>
      </c>
      <c r="I581" s="1">
        <v>42374</v>
      </c>
      <c r="J581">
        <v>2016</v>
      </c>
      <c r="K581" s="2" t="s">
        <v>1518</v>
      </c>
      <c r="L581" s="4">
        <v>112241</v>
      </c>
      <c r="M581" s="2" t="s">
        <v>1245</v>
      </c>
      <c r="N581" s="2" t="s">
        <v>1231</v>
      </c>
      <c r="O581" s="2" t="s">
        <v>25</v>
      </c>
      <c r="P581" s="3">
        <v>45335</v>
      </c>
      <c r="Q581" s="4">
        <v>225162</v>
      </c>
      <c r="R581">
        <v>505</v>
      </c>
      <c r="S581" t="str">
        <f>IF(Linked[[#This Row],[Credit Score]]&lt;=579,"Poor",IF(Linked[[#This Row],[Credit Score]]&lt;=669,"Fair",IF(Linked[[#This Row],[Credit Score]]&lt;=739,"Good",IF(Linked[[#This Row],[Credit Score]]&lt;=799,"Very Good",IF(Linked[[#This Row],[Credit Score]]&gt;=800,"Excellent")))))</f>
        <v>Poor</v>
      </c>
      <c r="T581" s="4">
        <v>0</v>
      </c>
      <c r="U581" s="2"/>
      <c r="V581" s="2"/>
    </row>
    <row r="582" spans="1:22" x14ac:dyDescent="0.25">
      <c r="A582" s="2" t="s">
        <v>932</v>
      </c>
      <c r="B582" s="2" t="s">
        <v>931</v>
      </c>
      <c r="C582" s="2" t="s">
        <v>1796</v>
      </c>
      <c r="D582" s="2" t="s">
        <v>1219</v>
      </c>
      <c r="E582">
        <v>40</v>
      </c>
      <c r="F582" s="2" t="s">
        <v>1220</v>
      </c>
      <c r="G582" s="2" t="s">
        <v>1243</v>
      </c>
      <c r="H582" s="2" t="s">
        <v>1235</v>
      </c>
      <c r="I582" s="1">
        <v>42673</v>
      </c>
      <c r="J582">
        <v>2016</v>
      </c>
      <c r="K582" s="2" t="s">
        <v>1797</v>
      </c>
      <c r="L582" s="4">
        <v>25109</v>
      </c>
      <c r="M582" s="2" t="s">
        <v>1250</v>
      </c>
      <c r="N582" s="2" t="s">
        <v>1224</v>
      </c>
      <c r="O582" s="2" t="s">
        <v>10</v>
      </c>
      <c r="P582" s="3">
        <v>45364</v>
      </c>
      <c r="Q582" s="4">
        <v>293052</v>
      </c>
      <c r="R582">
        <v>655</v>
      </c>
      <c r="S582" t="str">
        <f>IF(Linked[[#This Row],[Credit Score]]&lt;=579,"Poor",IF(Linked[[#This Row],[Credit Score]]&lt;=669,"Fair",IF(Linked[[#This Row],[Credit Score]]&lt;=739,"Good",IF(Linked[[#This Row],[Credit Score]]&lt;=799,"Very Good",IF(Linked[[#This Row],[Credit Score]]&gt;=800,"Excellent")))))</f>
        <v>Fair</v>
      </c>
      <c r="T582" s="4">
        <v>0</v>
      </c>
      <c r="U582" s="2" t="s">
        <v>18</v>
      </c>
      <c r="V582" s="2"/>
    </row>
    <row r="583" spans="1:22" x14ac:dyDescent="0.25">
      <c r="A583" s="2" t="s">
        <v>55</v>
      </c>
      <c r="B583" s="2" t="s">
        <v>933</v>
      </c>
      <c r="C583" s="2" t="s">
        <v>1638</v>
      </c>
      <c r="D583" s="2" t="s">
        <v>1227</v>
      </c>
      <c r="E583">
        <v>37</v>
      </c>
      <c r="F583" s="2" t="s">
        <v>1220</v>
      </c>
      <c r="G583" s="2" t="s">
        <v>1229</v>
      </c>
      <c r="H583" s="2" t="s">
        <v>1244</v>
      </c>
      <c r="I583" s="1">
        <v>43202</v>
      </c>
      <c r="J583">
        <v>2018</v>
      </c>
      <c r="K583" s="2" t="s">
        <v>1639</v>
      </c>
      <c r="L583" s="4">
        <v>49241</v>
      </c>
      <c r="M583" s="2" t="s">
        <v>1250</v>
      </c>
      <c r="N583" s="2" t="s">
        <v>1224</v>
      </c>
      <c r="O583" s="2" t="s">
        <v>13</v>
      </c>
      <c r="P583" s="3">
        <v>43379</v>
      </c>
      <c r="Q583" s="4">
        <v>445329</v>
      </c>
      <c r="R583">
        <v>739</v>
      </c>
      <c r="S583" t="str">
        <f>IF(Linked[[#This Row],[Credit Score]]&lt;=579,"Poor",IF(Linked[[#This Row],[Credit Score]]&lt;=669,"Fair",IF(Linked[[#This Row],[Credit Score]]&lt;=739,"Good",IF(Linked[[#This Row],[Credit Score]]&lt;=799,"Very Good",IF(Linked[[#This Row],[Credit Score]]&gt;=800,"Excellent")))))</f>
        <v>Good</v>
      </c>
      <c r="T583" s="4">
        <v>419021</v>
      </c>
      <c r="U583" s="2" t="s">
        <v>39</v>
      </c>
      <c r="V583" s="2"/>
    </row>
    <row r="584" spans="1:22" x14ac:dyDescent="0.25">
      <c r="A584" s="2" t="s">
        <v>621</v>
      </c>
      <c r="B584" s="2" t="s">
        <v>934</v>
      </c>
      <c r="C584" s="2" t="s">
        <v>1278</v>
      </c>
      <c r="D584" s="2" t="s">
        <v>1219</v>
      </c>
      <c r="E584">
        <v>49</v>
      </c>
      <c r="F584" s="2" t="s">
        <v>1228</v>
      </c>
      <c r="G584" s="2" t="s">
        <v>1249</v>
      </c>
      <c r="H584" s="2" t="s">
        <v>1239</v>
      </c>
      <c r="I584" s="1">
        <v>43643</v>
      </c>
      <c r="J584">
        <v>2019</v>
      </c>
      <c r="K584" s="2" t="s">
        <v>1279</v>
      </c>
      <c r="L584" s="4">
        <v>54636</v>
      </c>
      <c r="M584" s="2" t="s">
        <v>1250</v>
      </c>
      <c r="N584" s="2" t="s">
        <v>1224</v>
      </c>
      <c r="O584" s="2" t="s">
        <v>13</v>
      </c>
      <c r="P584" s="3">
        <v>44650</v>
      </c>
      <c r="Q584" s="4">
        <v>19610</v>
      </c>
      <c r="R584">
        <v>395</v>
      </c>
      <c r="S584" t="str">
        <f>IF(Linked[[#This Row],[Credit Score]]&lt;=579,"Poor",IF(Linked[[#This Row],[Credit Score]]&lt;=669,"Fair",IF(Linked[[#This Row],[Credit Score]]&lt;=739,"Good",IF(Linked[[#This Row],[Credit Score]]&lt;=799,"Very Good",IF(Linked[[#This Row],[Credit Score]]&gt;=800,"Excellent")))))</f>
        <v>Poor</v>
      </c>
      <c r="T584" s="4">
        <v>0</v>
      </c>
      <c r="U584" s="2" t="s">
        <v>18</v>
      </c>
      <c r="V584" s="2"/>
    </row>
    <row r="585" spans="1:22" x14ac:dyDescent="0.25">
      <c r="A585" s="2" t="s">
        <v>670</v>
      </c>
      <c r="B585" s="2" t="s">
        <v>935</v>
      </c>
      <c r="C585" s="2" t="s">
        <v>2260</v>
      </c>
      <c r="D585" s="2" t="s">
        <v>1219</v>
      </c>
      <c r="E585">
        <v>38</v>
      </c>
      <c r="F585" s="2" t="s">
        <v>1220</v>
      </c>
      <c r="G585" s="2" t="s">
        <v>1221</v>
      </c>
      <c r="H585" s="2" t="s">
        <v>1239</v>
      </c>
      <c r="I585" s="1">
        <v>42325</v>
      </c>
      <c r="J585">
        <v>2015</v>
      </c>
      <c r="K585" s="2" t="s">
        <v>2261</v>
      </c>
      <c r="L585" s="4">
        <v>176683</v>
      </c>
      <c r="M585" s="2" t="s">
        <v>1223</v>
      </c>
      <c r="N585" s="2" t="s">
        <v>1224</v>
      </c>
      <c r="O585" s="2" t="s">
        <v>10</v>
      </c>
      <c r="P585" s="3">
        <v>45193</v>
      </c>
      <c r="Q585" s="4">
        <v>177718</v>
      </c>
      <c r="R585">
        <v>463</v>
      </c>
      <c r="S585" t="str">
        <f>IF(Linked[[#This Row],[Credit Score]]&lt;=579,"Poor",IF(Linked[[#This Row],[Credit Score]]&lt;=669,"Fair",IF(Linked[[#This Row],[Credit Score]]&lt;=739,"Good",IF(Linked[[#This Row],[Credit Score]]&lt;=799,"Very Good",IF(Linked[[#This Row],[Credit Score]]&gt;=800,"Excellent")))))</f>
        <v>Poor</v>
      </c>
      <c r="T585" s="4">
        <v>0</v>
      </c>
      <c r="U585" s="2"/>
      <c r="V585" s="2"/>
    </row>
    <row r="586" spans="1:22" x14ac:dyDescent="0.25">
      <c r="A586" s="2" t="s">
        <v>937</v>
      </c>
      <c r="B586" s="2" t="s">
        <v>936</v>
      </c>
      <c r="C586" s="2" t="s">
        <v>1380</v>
      </c>
      <c r="D586" s="2" t="s">
        <v>1219</v>
      </c>
      <c r="E586">
        <v>68</v>
      </c>
      <c r="F586" s="2" t="s">
        <v>1263</v>
      </c>
      <c r="G586" s="2" t="s">
        <v>1249</v>
      </c>
      <c r="H586" s="2" t="s">
        <v>1230</v>
      </c>
      <c r="I586" s="1">
        <v>45597</v>
      </c>
      <c r="J586">
        <v>2024</v>
      </c>
      <c r="K586" s="2" t="s">
        <v>1381</v>
      </c>
      <c r="L586" s="4">
        <v>108801</v>
      </c>
      <c r="M586" s="2" t="s">
        <v>1245</v>
      </c>
      <c r="N586" s="2" t="s">
        <v>1231</v>
      </c>
      <c r="O586" s="2" t="s">
        <v>25</v>
      </c>
      <c r="P586" s="3">
        <v>43362</v>
      </c>
      <c r="Q586" s="4">
        <v>498357</v>
      </c>
      <c r="R586">
        <v>447</v>
      </c>
      <c r="S586" t="str">
        <f>IF(Linked[[#This Row],[Credit Score]]&lt;=579,"Poor",IF(Linked[[#This Row],[Credit Score]]&lt;=669,"Fair",IF(Linked[[#This Row],[Credit Score]]&lt;=739,"Good",IF(Linked[[#This Row],[Credit Score]]&lt;=799,"Very Good",IF(Linked[[#This Row],[Credit Score]]&gt;=800,"Excellent")))))</f>
        <v>Poor</v>
      </c>
      <c r="T586" s="4">
        <v>0</v>
      </c>
      <c r="U586" s="2"/>
      <c r="V586" s="2"/>
    </row>
    <row r="587" spans="1:22" x14ac:dyDescent="0.25">
      <c r="A587" s="2" t="s">
        <v>497</v>
      </c>
      <c r="B587" s="2" t="s">
        <v>938</v>
      </c>
      <c r="C587" s="2" t="s">
        <v>2038</v>
      </c>
      <c r="D587" s="2" t="s">
        <v>1219</v>
      </c>
      <c r="E587">
        <v>42</v>
      </c>
      <c r="F587" s="2" t="s">
        <v>1220</v>
      </c>
      <c r="G587" s="2" t="s">
        <v>1243</v>
      </c>
      <c r="H587" s="2" t="s">
        <v>1253</v>
      </c>
      <c r="I587" s="1">
        <v>44954</v>
      </c>
      <c r="J587">
        <v>2023</v>
      </c>
      <c r="K587" s="2" t="s">
        <v>2017</v>
      </c>
      <c r="L587" s="4">
        <v>181099</v>
      </c>
      <c r="M587" s="2" t="s">
        <v>1223</v>
      </c>
      <c r="N587" s="2" t="s">
        <v>1231</v>
      </c>
      <c r="O587" s="2" t="s">
        <v>13</v>
      </c>
      <c r="P587" s="3">
        <v>44293</v>
      </c>
      <c r="Q587" s="4">
        <v>325329</v>
      </c>
      <c r="R587">
        <v>829</v>
      </c>
      <c r="S587" t="str">
        <f>IF(Linked[[#This Row],[Credit Score]]&lt;=579,"Poor",IF(Linked[[#This Row],[Credit Score]]&lt;=669,"Fair",IF(Linked[[#This Row],[Credit Score]]&lt;=739,"Good",IF(Linked[[#This Row],[Credit Score]]&lt;=799,"Very Good",IF(Linked[[#This Row],[Credit Score]]&gt;=800,"Excellent")))))</f>
        <v>Excellent</v>
      </c>
      <c r="T587" s="4">
        <v>0</v>
      </c>
      <c r="U587" s="2"/>
      <c r="V587" s="2"/>
    </row>
    <row r="588" spans="1:22" x14ac:dyDescent="0.25">
      <c r="A588" s="2" t="s">
        <v>47</v>
      </c>
      <c r="B588" s="2" t="s">
        <v>939</v>
      </c>
      <c r="C588" s="2" t="s">
        <v>2166</v>
      </c>
      <c r="D588" s="2" t="s">
        <v>1227</v>
      </c>
      <c r="E588">
        <v>50</v>
      </c>
      <c r="F588" s="2" t="s">
        <v>1228</v>
      </c>
      <c r="G588" s="2" t="s">
        <v>1229</v>
      </c>
      <c r="H588" s="2" t="s">
        <v>1230</v>
      </c>
      <c r="I588" s="1">
        <v>42887</v>
      </c>
      <c r="J588">
        <v>2017</v>
      </c>
      <c r="K588" s="2" t="s">
        <v>2167</v>
      </c>
      <c r="L588" s="4">
        <v>81367</v>
      </c>
      <c r="M588" s="2" t="s">
        <v>1245</v>
      </c>
      <c r="N588" s="2" t="s">
        <v>1231</v>
      </c>
      <c r="O588" s="2" t="s">
        <v>13</v>
      </c>
      <c r="P588" s="3">
        <v>45182</v>
      </c>
      <c r="Q588" s="4">
        <v>334711</v>
      </c>
      <c r="R588">
        <v>593</v>
      </c>
      <c r="S588" t="str">
        <f>IF(Linked[[#This Row],[Credit Score]]&lt;=579,"Poor",IF(Linked[[#This Row],[Credit Score]]&lt;=669,"Fair",IF(Linked[[#This Row],[Credit Score]]&lt;=739,"Good",IF(Linked[[#This Row],[Credit Score]]&lt;=799,"Very Good",IF(Linked[[#This Row],[Credit Score]]&gt;=800,"Excellent")))))</f>
        <v>Fair</v>
      </c>
      <c r="T588" s="4">
        <v>0</v>
      </c>
      <c r="U588" s="2"/>
      <c r="V588" s="2"/>
    </row>
    <row r="589" spans="1:22" x14ac:dyDescent="0.25">
      <c r="A589" s="2" t="s">
        <v>629</v>
      </c>
      <c r="B589" s="2" t="s">
        <v>940</v>
      </c>
      <c r="C589" s="2" t="s">
        <v>1584</v>
      </c>
      <c r="D589" s="2" t="s">
        <v>1227</v>
      </c>
      <c r="E589">
        <v>40</v>
      </c>
      <c r="F589" s="2" t="s">
        <v>1220</v>
      </c>
      <c r="G589" s="2" t="s">
        <v>1221</v>
      </c>
      <c r="H589" s="2" t="s">
        <v>1253</v>
      </c>
      <c r="I589" s="1">
        <v>45774</v>
      </c>
      <c r="J589">
        <v>2025</v>
      </c>
      <c r="K589" s="2" t="s">
        <v>1585</v>
      </c>
      <c r="L589" s="4">
        <v>158563</v>
      </c>
      <c r="M589" s="2" t="s">
        <v>1223</v>
      </c>
      <c r="N589" s="2" t="s">
        <v>1224</v>
      </c>
      <c r="O589" s="2" t="s">
        <v>10</v>
      </c>
      <c r="P589" s="3">
        <v>43813</v>
      </c>
      <c r="Q589" s="4">
        <v>178646</v>
      </c>
      <c r="R589">
        <v>494</v>
      </c>
      <c r="S589" t="str">
        <f>IF(Linked[[#This Row],[Credit Score]]&lt;=579,"Poor",IF(Linked[[#This Row],[Credit Score]]&lt;=669,"Fair",IF(Linked[[#This Row],[Credit Score]]&lt;=739,"Good",IF(Linked[[#This Row],[Credit Score]]&lt;=799,"Very Good",IF(Linked[[#This Row],[Credit Score]]&gt;=800,"Excellent")))))</f>
        <v>Poor</v>
      </c>
      <c r="T589" s="4">
        <v>0</v>
      </c>
      <c r="U589" s="2"/>
      <c r="V589" s="2"/>
    </row>
    <row r="590" spans="1:22" x14ac:dyDescent="0.25">
      <c r="A590" s="2" t="s">
        <v>539</v>
      </c>
      <c r="B590" s="2" t="s">
        <v>941</v>
      </c>
      <c r="C590" s="2" t="s">
        <v>1822</v>
      </c>
      <c r="D590" s="2" t="s">
        <v>1227</v>
      </c>
      <c r="E590">
        <v>66</v>
      </c>
      <c r="F590" s="2" t="s">
        <v>1263</v>
      </c>
      <c r="G590" s="2" t="s">
        <v>1229</v>
      </c>
      <c r="H590" s="2" t="s">
        <v>1239</v>
      </c>
      <c r="I590" s="1">
        <v>43819</v>
      </c>
      <c r="J590">
        <v>2019</v>
      </c>
      <c r="K590" s="2" t="s">
        <v>1823</v>
      </c>
      <c r="L590" s="4">
        <v>177215</v>
      </c>
      <c r="M590" s="2" t="s">
        <v>1223</v>
      </c>
      <c r="N590" s="2" t="s">
        <v>1224</v>
      </c>
      <c r="O590" s="2" t="s">
        <v>13</v>
      </c>
      <c r="P590" s="3">
        <v>43297</v>
      </c>
      <c r="Q590" s="4">
        <v>222123</v>
      </c>
      <c r="R590">
        <v>779</v>
      </c>
      <c r="S590" t="str">
        <f>IF(Linked[[#This Row],[Credit Score]]&lt;=579,"Poor",IF(Linked[[#This Row],[Credit Score]]&lt;=669,"Fair",IF(Linked[[#This Row],[Credit Score]]&lt;=739,"Good",IF(Linked[[#This Row],[Credit Score]]&lt;=799,"Very Good",IF(Linked[[#This Row],[Credit Score]]&gt;=800,"Excellent")))))</f>
        <v>Very Good</v>
      </c>
      <c r="T590" s="4">
        <v>482397</v>
      </c>
      <c r="U590" s="2"/>
      <c r="V590" s="2"/>
    </row>
    <row r="591" spans="1:22" x14ac:dyDescent="0.25">
      <c r="A591" s="2" t="s">
        <v>154</v>
      </c>
      <c r="B591" s="2" t="s">
        <v>942</v>
      </c>
      <c r="C591" s="2" t="s">
        <v>1321</v>
      </c>
      <c r="D591" s="2" t="s">
        <v>1227</v>
      </c>
      <c r="E591">
        <v>72</v>
      </c>
      <c r="F591" s="2" t="s">
        <v>1263</v>
      </c>
      <c r="G591" s="2" t="s">
        <v>1229</v>
      </c>
      <c r="H591" s="2" t="s">
        <v>1239</v>
      </c>
      <c r="I591" s="1">
        <v>42533</v>
      </c>
      <c r="J591">
        <v>2016</v>
      </c>
      <c r="K591" s="2" t="s">
        <v>1322</v>
      </c>
      <c r="L591" s="4">
        <v>96898</v>
      </c>
      <c r="M591" s="2" t="s">
        <v>1245</v>
      </c>
      <c r="N591" s="2" t="s">
        <v>1231</v>
      </c>
      <c r="O591" s="2" t="s">
        <v>10</v>
      </c>
      <c r="P591" s="3">
        <v>45826</v>
      </c>
      <c r="Q591" s="4">
        <v>495236</v>
      </c>
      <c r="R591">
        <v>422</v>
      </c>
      <c r="S591" t="str">
        <f>IF(Linked[[#This Row],[Credit Score]]&lt;=579,"Poor",IF(Linked[[#This Row],[Credit Score]]&lt;=669,"Fair",IF(Linked[[#This Row],[Credit Score]]&lt;=739,"Good",IF(Linked[[#This Row],[Credit Score]]&lt;=799,"Very Good",IF(Linked[[#This Row],[Credit Score]]&gt;=800,"Excellent")))))</f>
        <v>Poor</v>
      </c>
      <c r="T591" s="4">
        <v>94941</v>
      </c>
      <c r="U591" s="2" t="s">
        <v>18</v>
      </c>
      <c r="V591" s="2"/>
    </row>
    <row r="592" spans="1:22" x14ac:dyDescent="0.25">
      <c r="A592" s="2" t="s">
        <v>537</v>
      </c>
      <c r="B592" s="2" t="s">
        <v>943</v>
      </c>
      <c r="C592" s="2" t="s">
        <v>1820</v>
      </c>
      <c r="D592" s="2" t="s">
        <v>1227</v>
      </c>
      <c r="E592">
        <v>36</v>
      </c>
      <c r="F592" s="2" t="s">
        <v>1220</v>
      </c>
      <c r="G592" s="2" t="s">
        <v>1229</v>
      </c>
      <c r="H592" s="2" t="s">
        <v>1253</v>
      </c>
      <c r="I592" s="1">
        <v>44437</v>
      </c>
      <c r="J592">
        <v>2021</v>
      </c>
      <c r="K592" s="2" t="s">
        <v>1821</v>
      </c>
      <c r="L592" s="4">
        <v>126661</v>
      </c>
      <c r="M592" s="2" t="s">
        <v>1245</v>
      </c>
      <c r="N592" s="2" t="s">
        <v>1224</v>
      </c>
      <c r="O592" s="2" t="s">
        <v>10</v>
      </c>
      <c r="P592" s="3">
        <v>45890</v>
      </c>
      <c r="Q592" s="4">
        <v>298326</v>
      </c>
      <c r="R592">
        <v>699</v>
      </c>
      <c r="S592" t="str">
        <f>IF(Linked[[#This Row],[Credit Score]]&lt;=579,"Poor",IF(Linked[[#This Row],[Credit Score]]&lt;=669,"Fair",IF(Linked[[#This Row],[Credit Score]]&lt;=739,"Good",IF(Linked[[#This Row],[Credit Score]]&lt;=799,"Very Good",IF(Linked[[#This Row],[Credit Score]]&gt;=800,"Excellent")))))</f>
        <v>Good</v>
      </c>
      <c r="T592" s="4">
        <v>0</v>
      </c>
      <c r="U592" s="2"/>
      <c r="V592" s="2"/>
    </row>
    <row r="593" spans="1:22" x14ac:dyDescent="0.25">
      <c r="A593" s="2" t="s">
        <v>945</v>
      </c>
      <c r="B593" s="2" t="s">
        <v>944</v>
      </c>
      <c r="C593" s="2" t="s">
        <v>1384</v>
      </c>
      <c r="D593" s="2" t="s">
        <v>1219</v>
      </c>
      <c r="E593">
        <v>39</v>
      </c>
      <c r="F593" s="2" t="s">
        <v>1220</v>
      </c>
      <c r="G593" s="2" t="s">
        <v>1243</v>
      </c>
      <c r="H593" s="2" t="s">
        <v>1235</v>
      </c>
      <c r="I593" s="1">
        <v>44997</v>
      </c>
      <c r="J593">
        <v>2023</v>
      </c>
      <c r="K593" s="2" t="s">
        <v>1385</v>
      </c>
      <c r="L593" s="4">
        <v>114377</v>
      </c>
      <c r="M593" s="2" t="s">
        <v>1245</v>
      </c>
      <c r="N593" s="2" t="s">
        <v>1224</v>
      </c>
      <c r="O593" s="2" t="s">
        <v>13</v>
      </c>
      <c r="P593" s="3">
        <v>45025</v>
      </c>
      <c r="Q593" s="4">
        <v>378280</v>
      </c>
      <c r="R593">
        <v>751</v>
      </c>
      <c r="S593" t="str">
        <f>IF(Linked[[#This Row],[Credit Score]]&lt;=579,"Poor",IF(Linked[[#This Row],[Credit Score]]&lt;=669,"Fair",IF(Linked[[#This Row],[Credit Score]]&lt;=739,"Good",IF(Linked[[#This Row],[Credit Score]]&lt;=799,"Very Good",IF(Linked[[#This Row],[Credit Score]]&gt;=800,"Excellent")))))</f>
        <v>Very Good</v>
      </c>
      <c r="T593" s="4">
        <v>0</v>
      </c>
      <c r="U593" s="2"/>
      <c r="V593" s="2"/>
    </row>
    <row r="594" spans="1:22" x14ac:dyDescent="0.25">
      <c r="A594" s="2" t="s">
        <v>399</v>
      </c>
      <c r="B594" s="2" t="s">
        <v>946</v>
      </c>
      <c r="C594" s="2" t="s">
        <v>2296</v>
      </c>
      <c r="D594" s="2" t="s">
        <v>1227</v>
      </c>
      <c r="E594">
        <v>27</v>
      </c>
      <c r="F594" s="2" t="s">
        <v>1242</v>
      </c>
      <c r="G594" s="2" t="s">
        <v>1249</v>
      </c>
      <c r="H594" s="2" t="s">
        <v>1239</v>
      </c>
      <c r="I594" s="1">
        <v>44267</v>
      </c>
      <c r="J594">
        <v>2021</v>
      </c>
      <c r="K594" s="2" t="s">
        <v>2297</v>
      </c>
      <c r="L594" s="4">
        <v>32115</v>
      </c>
      <c r="M594" s="2" t="s">
        <v>1250</v>
      </c>
      <c r="N594" s="2" t="s">
        <v>1224</v>
      </c>
      <c r="O594" s="2" t="s">
        <v>32</v>
      </c>
      <c r="P594" s="3">
        <v>45819</v>
      </c>
      <c r="Q594" s="4">
        <v>393786</v>
      </c>
      <c r="R594">
        <v>403</v>
      </c>
      <c r="S594" t="str">
        <f>IF(Linked[[#This Row],[Credit Score]]&lt;=579,"Poor",IF(Linked[[#This Row],[Credit Score]]&lt;=669,"Fair",IF(Linked[[#This Row],[Credit Score]]&lt;=739,"Good",IF(Linked[[#This Row],[Credit Score]]&lt;=799,"Very Good",IF(Linked[[#This Row],[Credit Score]]&gt;=800,"Excellent")))))</f>
        <v>Poor</v>
      </c>
      <c r="T594" s="4">
        <v>0</v>
      </c>
      <c r="U594" s="2" t="s">
        <v>39</v>
      </c>
      <c r="V594" s="2"/>
    </row>
    <row r="595" spans="1:22" x14ac:dyDescent="0.25">
      <c r="A595" s="2" t="s">
        <v>126</v>
      </c>
      <c r="B595" s="2" t="s">
        <v>947</v>
      </c>
      <c r="C595" s="2" t="s">
        <v>1352</v>
      </c>
      <c r="D595" s="2" t="s">
        <v>1227</v>
      </c>
      <c r="E595">
        <v>33</v>
      </c>
      <c r="F595" s="2" t="s">
        <v>1220</v>
      </c>
      <c r="G595" s="2" t="s">
        <v>1249</v>
      </c>
      <c r="H595" s="2" t="s">
        <v>1259</v>
      </c>
      <c r="I595" s="1">
        <v>44992</v>
      </c>
      <c r="J595">
        <v>2023</v>
      </c>
      <c r="K595" s="2" t="s">
        <v>1353</v>
      </c>
      <c r="L595" s="4">
        <v>53660</v>
      </c>
      <c r="M595" s="2" t="s">
        <v>1250</v>
      </c>
      <c r="N595" s="2" t="s">
        <v>1231</v>
      </c>
      <c r="O595" s="2" t="s">
        <v>10</v>
      </c>
      <c r="P595" s="3">
        <v>42287</v>
      </c>
      <c r="Q595" s="4">
        <v>491006</v>
      </c>
      <c r="R595">
        <v>761</v>
      </c>
      <c r="S595" t="str">
        <f>IF(Linked[[#This Row],[Credit Score]]&lt;=579,"Poor",IF(Linked[[#This Row],[Credit Score]]&lt;=669,"Fair",IF(Linked[[#This Row],[Credit Score]]&lt;=739,"Good",IF(Linked[[#This Row],[Credit Score]]&lt;=799,"Very Good",IF(Linked[[#This Row],[Credit Score]]&gt;=800,"Excellent")))))</f>
        <v>Very Good</v>
      </c>
      <c r="T595" s="4">
        <v>349572</v>
      </c>
      <c r="U595" s="2"/>
      <c r="V595" s="2"/>
    </row>
    <row r="596" spans="1:22" x14ac:dyDescent="0.25">
      <c r="A596" s="2" t="s">
        <v>720</v>
      </c>
      <c r="B596" s="2" t="s">
        <v>948</v>
      </c>
      <c r="C596" s="2" t="s">
        <v>2244</v>
      </c>
      <c r="D596" s="2" t="s">
        <v>1219</v>
      </c>
      <c r="E596">
        <v>44</v>
      </c>
      <c r="F596" s="2" t="s">
        <v>1220</v>
      </c>
      <c r="G596" s="2" t="s">
        <v>1229</v>
      </c>
      <c r="H596" s="2" t="s">
        <v>1259</v>
      </c>
      <c r="I596" s="1">
        <v>42954</v>
      </c>
      <c r="J596">
        <v>2017</v>
      </c>
      <c r="K596" s="2" t="s">
        <v>2245</v>
      </c>
      <c r="L596" s="4">
        <v>190102</v>
      </c>
      <c r="M596" s="2" t="s">
        <v>1223</v>
      </c>
      <c r="N596" s="2" t="s">
        <v>1236</v>
      </c>
      <c r="O596" s="2" t="s">
        <v>13</v>
      </c>
      <c r="P596" s="3">
        <v>43882</v>
      </c>
      <c r="Q596" s="4">
        <v>19288</v>
      </c>
      <c r="R596">
        <v>695</v>
      </c>
      <c r="S596" t="str">
        <f>IF(Linked[[#This Row],[Credit Score]]&lt;=579,"Poor",IF(Linked[[#This Row],[Credit Score]]&lt;=669,"Fair",IF(Linked[[#This Row],[Credit Score]]&lt;=739,"Good",IF(Linked[[#This Row],[Credit Score]]&lt;=799,"Very Good",IF(Linked[[#This Row],[Credit Score]]&gt;=800,"Excellent")))))</f>
        <v>Good</v>
      </c>
      <c r="T596" s="4">
        <v>0</v>
      </c>
      <c r="U596" s="2"/>
      <c r="V596" s="2"/>
    </row>
    <row r="597" spans="1:22" x14ac:dyDescent="0.25">
      <c r="A597" s="2" t="s">
        <v>932</v>
      </c>
      <c r="B597" s="2" t="s">
        <v>949</v>
      </c>
      <c r="C597" s="2" t="s">
        <v>1796</v>
      </c>
      <c r="D597" s="2" t="s">
        <v>1219</v>
      </c>
      <c r="E597">
        <v>40</v>
      </c>
      <c r="F597" s="2" t="s">
        <v>1220</v>
      </c>
      <c r="G597" s="2" t="s">
        <v>1243</v>
      </c>
      <c r="H597" s="2" t="s">
        <v>1235</v>
      </c>
      <c r="I597" s="1">
        <v>42673</v>
      </c>
      <c r="J597">
        <v>2016</v>
      </c>
      <c r="K597" s="2" t="s">
        <v>1797</v>
      </c>
      <c r="L597" s="4">
        <v>25109</v>
      </c>
      <c r="M597" s="2" t="s">
        <v>1250</v>
      </c>
      <c r="N597" s="2" t="s">
        <v>1224</v>
      </c>
      <c r="O597" s="2" t="s">
        <v>10</v>
      </c>
      <c r="P597" s="3">
        <v>43738</v>
      </c>
      <c r="Q597" s="4">
        <v>340968</v>
      </c>
      <c r="R597">
        <v>636</v>
      </c>
      <c r="S597" t="str">
        <f>IF(Linked[[#This Row],[Credit Score]]&lt;=579,"Poor",IF(Linked[[#This Row],[Credit Score]]&lt;=669,"Fair",IF(Linked[[#This Row],[Credit Score]]&lt;=739,"Good",IF(Linked[[#This Row],[Credit Score]]&lt;=799,"Very Good",IF(Linked[[#This Row],[Credit Score]]&gt;=800,"Excellent")))))</f>
        <v>Fair</v>
      </c>
      <c r="T597" s="4">
        <v>0</v>
      </c>
      <c r="U597" s="2"/>
      <c r="V597" s="2"/>
    </row>
    <row r="598" spans="1:22" x14ac:dyDescent="0.25">
      <c r="A598" s="2" t="s">
        <v>951</v>
      </c>
      <c r="B598" s="2" t="s">
        <v>950</v>
      </c>
      <c r="C598" s="2" t="s">
        <v>1564</v>
      </c>
      <c r="D598" s="2" t="s">
        <v>1219</v>
      </c>
      <c r="E598">
        <v>43</v>
      </c>
      <c r="F598" s="2" t="s">
        <v>1220</v>
      </c>
      <c r="G598" s="2" t="s">
        <v>1243</v>
      </c>
      <c r="H598" s="2" t="s">
        <v>1235</v>
      </c>
      <c r="I598" s="1">
        <v>44893</v>
      </c>
      <c r="J598">
        <v>2022</v>
      </c>
      <c r="K598" s="2" t="s">
        <v>1565</v>
      </c>
      <c r="L598" s="4">
        <v>81246</v>
      </c>
      <c r="M598" s="2" t="s">
        <v>1245</v>
      </c>
      <c r="N598" s="2" t="s">
        <v>1231</v>
      </c>
      <c r="O598" s="2" t="s">
        <v>25</v>
      </c>
      <c r="P598" s="3">
        <v>44714</v>
      </c>
      <c r="Q598" s="4">
        <v>423093</v>
      </c>
      <c r="R598">
        <v>441</v>
      </c>
      <c r="S598" t="str">
        <f>IF(Linked[[#This Row],[Credit Score]]&lt;=579,"Poor",IF(Linked[[#This Row],[Credit Score]]&lt;=669,"Fair",IF(Linked[[#This Row],[Credit Score]]&lt;=739,"Good",IF(Linked[[#This Row],[Credit Score]]&lt;=799,"Very Good",IF(Linked[[#This Row],[Credit Score]]&gt;=800,"Excellent")))))</f>
        <v>Poor</v>
      </c>
      <c r="T598" s="4">
        <v>0</v>
      </c>
      <c r="U598" s="2"/>
      <c r="V598" s="2"/>
    </row>
    <row r="599" spans="1:22" x14ac:dyDescent="0.25">
      <c r="A599" s="2" t="s">
        <v>118</v>
      </c>
      <c r="B599" s="2" t="s">
        <v>952</v>
      </c>
      <c r="C599" s="2" t="s">
        <v>1945</v>
      </c>
      <c r="D599" s="2" t="s">
        <v>1227</v>
      </c>
      <c r="E599">
        <v>22</v>
      </c>
      <c r="F599" s="2" t="s">
        <v>1242</v>
      </c>
      <c r="G599" s="2" t="s">
        <v>1249</v>
      </c>
      <c r="H599" s="2" t="s">
        <v>1235</v>
      </c>
      <c r="I599" s="1">
        <v>44640</v>
      </c>
      <c r="J599">
        <v>2022</v>
      </c>
      <c r="K599" s="2" t="s">
        <v>1946</v>
      </c>
      <c r="L599" s="4">
        <v>44826</v>
      </c>
      <c r="M599" s="2" t="s">
        <v>1250</v>
      </c>
      <c r="N599" s="2" t="s">
        <v>1224</v>
      </c>
      <c r="O599" s="2" t="s">
        <v>25</v>
      </c>
      <c r="P599" s="3">
        <v>42632</v>
      </c>
      <c r="Q599" s="4">
        <v>84425</v>
      </c>
      <c r="R599">
        <v>616</v>
      </c>
      <c r="S599" t="str">
        <f>IF(Linked[[#This Row],[Credit Score]]&lt;=579,"Poor",IF(Linked[[#This Row],[Credit Score]]&lt;=669,"Fair",IF(Linked[[#This Row],[Credit Score]]&lt;=739,"Good",IF(Linked[[#This Row],[Credit Score]]&lt;=799,"Very Good",IF(Linked[[#This Row],[Credit Score]]&gt;=800,"Excellent")))))</f>
        <v>Fair</v>
      </c>
      <c r="T599" s="4">
        <v>0</v>
      </c>
      <c r="U599" s="2"/>
      <c r="V599" s="2"/>
    </row>
    <row r="600" spans="1:22" x14ac:dyDescent="0.25">
      <c r="A600" s="2" t="s">
        <v>954</v>
      </c>
      <c r="B600" s="2" t="s">
        <v>953</v>
      </c>
      <c r="C600" s="2" t="s">
        <v>1902</v>
      </c>
      <c r="D600" s="2" t="s">
        <v>1227</v>
      </c>
      <c r="E600">
        <v>40</v>
      </c>
      <c r="F600" s="2" t="s">
        <v>1220</v>
      </c>
      <c r="G600" s="2" t="s">
        <v>1229</v>
      </c>
      <c r="H600" s="2" t="s">
        <v>1239</v>
      </c>
      <c r="I600" s="1">
        <v>43251</v>
      </c>
      <c r="J600">
        <v>2018</v>
      </c>
      <c r="K600" s="2" t="s">
        <v>1903</v>
      </c>
      <c r="L600" s="4">
        <v>88577</v>
      </c>
      <c r="M600" s="2" t="s">
        <v>1245</v>
      </c>
      <c r="N600" s="2" t="s">
        <v>1231</v>
      </c>
      <c r="O600" s="2" t="s">
        <v>13</v>
      </c>
      <c r="P600" s="3">
        <v>44983</v>
      </c>
      <c r="Q600" s="4">
        <v>917</v>
      </c>
      <c r="R600">
        <v>826</v>
      </c>
      <c r="S600" t="str">
        <f>IF(Linked[[#This Row],[Credit Score]]&lt;=579,"Poor",IF(Linked[[#This Row],[Credit Score]]&lt;=669,"Fair",IF(Linked[[#This Row],[Credit Score]]&lt;=739,"Good",IF(Linked[[#This Row],[Credit Score]]&lt;=799,"Very Good",IF(Linked[[#This Row],[Credit Score]]&gt;=800,"Excellent")))))</f>
        <v>Excellent</v>
      </c>
      <c r="T600" s="4">
        <v>33481</v>
      </c>
      <c r="U600" s="2"/>
      <c r="V600" s="2"/>
    </row>
    <row r="601" spans="1:22" x14ac:dyDescent="0.25">
      <c r="A601" s="2" t="s">
        <v>956</v>
      </c>
      <c r="B601" s="2" t="s">
        <v>955</v>
      </c>
      <c r="C601" s="2" t="s">
        <v>1839</v>
      </c>
      <c r="D601" s="2" t="s">
        <v>1227</v>
      </c>
      <c r="E601">
        <v>45</v>
      </c>
      <c r="F601" s="2" t="s">
        <v>1228</v>
      </c>
      <c r="G601" s="2" t="s">
        <v>1249</v>
      </c>
      <c r="H601" s="2" t="s">
        <v>1244</v>
      </c>
      <c r="I601" s="1">
        <v>44122</v>
      </c>
      <c r="J601">
        <v>2020</v>
      </c>
      <c r="K601" s="2" t="s">
        <v>1840</v>
      </c>
      <c r="L601" s="4">
        <v>184053</v>
      </c>
      <c r="M601" s="2" t="s">
        <v>1223</v>
      </c>
      <c r="N601" s="2" t="s">
        <v>1224</v>
      </c>
      <c r="O601" s="2" t="s">
        <v>32</v>
      </c>
      <c r="P601" s="3">
        <v>42304</v>
      </c>
      <c r="Q601" s="4">
        <v>337746</v>
      </c>
      <c r="R601">
        <v>700</v>
      </c>
      <c r="S601" t="str">
        <f>IF(Linked[[#This Row],[Credit Score]]&lt;=579,"Poor",IF(Linked[[#This Row],[Credit Score]]&lt;=669,"Fair",IF(Linked[[#This Row],[Credit Score]]&lt;=739,"Good",IF(Linked[[#This Row],[Credit Score]]&lt;=799,"Very Good",IF(Linked[[#This Row],[Credit Score]]&gt;=800,"Excellent")))))</f>
        <v>Good</v>
      </c>
      <c r="T601" s="4">
        <v>0</v>
      </c>
      <c r="U601" s="2" t="s">
        <v>39</v>
      </c>
      <c r="V601" s="2"/>
    </row>
    <row r="602" spans="1:22" x14ac:dyDescent="0.25">
      <c r="A602" s="2" t="s">
        <v>958</v>
      </c>
      <c r="B602" s="2" t="s">
        <v>957</v>
      </c>
      <c r="C602" s="2" t="s">
        <v>2011</v>
      </c>
      <c r="D602" s="2" t="s">
        <v>1227</v>
      </c>
      <c r="E602">
        <v>45</v>
      </c>
      <c r="F602" s="2" t="s">
        <v>1228</v>
      </c>
      <c r="G602" s="2" t="s">
        <v>1249</v>
      </c>
      <c r="H602" s="2" t="s">
        <v>1230</v>
      </c>
      <c r="I602" s="1">
        <v>44190</v>
      </c>
      <c r="J602">
        <v>2020</v>
      </c>
      <c r="K602" s="2" t="s">
        <v>2012</v>
      </c>
      <c r="L602" s="4">
        <v>40049</v>
      </c>
      <c r="M602" s="2" t="s">
        <v>1250</v>
      </c>
      <c r="N602" s="2" t="s">
        <v>1224</v>
      </c>
      <c r="O602" s="2" t="s">
        <v>10</v>
      </c>
      <c r="P602" s="3">
        <v>42632</v>
      </c>
      <c r="Q602" s="4">
        <v>488256</v>
      </c>
      <c r="R602">
        <v>609</v>
      </c>
      <c r="S602" t="str">
        <f>IF(Linked[[#This Row],[Credit Score]]&lt;=579,"Poor",IF(Linked[[#This Row],[Credit Score]]&lt;=669,"Fair",IF(Linked[[#This Row],[Credit Score]]&lt;=739,"Good",IF(Linked[[#This Row],[Credit Score]]&lt;=799,"Very Good",IF(Linked[[#This Row],[Credit Score]]&gt;=800,"Excellent")))))</f>
        <v>Fair</v>
      </c>
      <c r="T602" s="4">
        <v>0</v>
      </c>
      <c r="U602" s="2" t="s">
        <v>18</v>
      </c>
      <c r="V602" s="2"/>
    </row>
    <row r="603" spans="1:22" x14ac:dyDescent="0.25">
      <c r="A603" s="2" t="s">
        <v>960</v>
      </c>
      <c r="B603" s="2" t="s">
        <v>959</v>
      </c>
      <c r="C603" s="2" t="s">
        <v>2205</v>
      </c>
      <c r="D603" s="2" t="s">
        <v>1227</v>
      </c>
      <c r="E603">
        <v>47</v>
      </c>
      <c r="F603" s="2" t="s">
        <v>1228</v>
      </c>
      <c r="G603" s="2" t="s">
        <v>1243</v>
      </c>
      <c r="H603" s="2" t="s">
        <v>1253</v>
      </c>
      <c r="I603" s="1">
        <v>42580</v>
      </c>
      <c r="J603">
        <v>2016</v>
      </c>
      <c r="K603" s="2" t="s">
        <v>2206</v>
      </c>
      <c r="L603" s="4">
        <v>55946</v>
      </c>
      <c r="M603" s="2" t="s">
        <v>1250</v>
      </c>
      <c r="N603" s="2" t="s">
        <v>1231</v>
      </c>
      <c r="O603" s="2" t="s">
        <v>13</v>
      </c>
      <c r="P603" s="3">
        <v>44254</v>
      </c>
      <c r="Q603" s="4">
        <v>326719</v>
      </c>
      <c r="R603">
        <v>794</v>
      </c>
      <c r="S603" t="str">
        <f>IF(Linked[[#This Row],[Credit Score]]&lt;=579,"Poor",IF(Linked[[#This Row],[Credit Score]]&lt;=669,"Fair",IF(Linked[[#This Row],[Credit Score]]&lt;=739,"Good",IF(Linked[[#This Row],[Credit Score]]&lt;=799,"Very Good",IF(Linked[[#This Row],[Credit Score]]&gt;=800,"Excellent")))))</f>
        <v>Very Good</v>
      </c>
      <c r="T603" s="4">
        <v>0</v>
      </c>
      <c r="U603" s="2" t="s">
        <v>18</v>
      </c>
      <c r="V603" s="2"/>
    </row>
    <row r="604" spans="1:22" x14ac:dyDescent="0.25">
      <c r="A604" s="2" t="s">
        <v>962</v>
      </c>
      <c r="B604" s="2" t="s">
        <v>961</v>
      </c>
      <c r="C604" s="2" t="s">
        <v>1615</v>
      </c>
      <c r="D604" s="2" t="s">
        <v>1219</v>
      </c>
      <c r="E604">
        <v>62</v>
      </c>
      <c r="F604" s="2" t="s">
        <v>1263</v>
      </c>
      <c r="G604" s="2" t="s">
        <v>1229</v>
      </c>
      <c r="H604" s="2" t="s">
        <v>1253</v>
      </c>
      <c r="I604" s="1">
        <v>43988</v>
      </c>
      <c r="J604">
        <v>2020</v>
      </c>
      <c r="K604" s="2" t="s">
        <v>1616</v>
      </c>
      <c r="L604" s="4">
        <v>107266</v>
      </c>
      <c r="M604" s="2" t="s">
        <v>1245</v>
      </c>
      <c r="N604" s="2" t="s">
        <v>1224</v>
      </c>
      <c r="O604" s="2" t="s">
        <v>13</v>
      </c>
      <c r="P604" s="3">
        <v>45244</v>
      </c>
      <c r="Q604" s="4">
        <v>334662</v>
      </c>
      <c r="R604">
        <v>408</v>
      </c>
      <c r="S604" t="str">
        <f>IF(Linked[[#This Row],[Credit Score]]&lt;=579,"Poor",IF(Linked[[#This Row],[Credit Score]]&lt;=669,"Fair",IF(Linked[[#This Row],[Credit Score]]&lt;=739,"Good",IF(Linked[[#This Row],[Credit Score]]&lt;=799,"Very Good",IF(Linked[[#This Row],[Credit Score]]&gt;=800,"Excellent")))))</f>
        <v>Poor</v>
      </c>
      <c r="T604" s="4">
        <v>0</v>
      </c>
      <c r="U604" s="2" t="s">
        <v>39</v>
      </c>
      <c r="V604" s="2"/>
    </row>
    <row r="605" spans="1:22" x14ac:dyDescent="0.25">
      <c r="A605" s="2" t="s">
        <v>291</v>
      </c>
      <c r="B605" s="2" t="s">
        <v>963</v>
      </c>
      <c r="C605" s="2" t="s">
        <v>2140</v>
      </c>
      <c r="D605" s="2" t="s">
        <v>1219</v>
      </c>
      <c r="E605">
        <v>25</v>
      </c>
      <c r="F605" s="2" t="s">
        <v>1242</v>
      </c>
      <c r="G605" s="2" t="s">
        <v>1221</v>
      </c>
      <c r="H605" s="2" t="s">
        <v>1235</v>
      </c>
      <c r="I605" s="1">
        <v>45595</v>
      </c>
      <c r="J605">
        <v>2024</v>
      </c>
      <c r="K605" s="2" t="s">
        <v>2141</v>
      </c>
      <c r="L605" s="4">
        <v>186205</v>
      </c>
      <c r="M605" s="2" t="s">
        <v>1223</v>
      </c>
      <c r="N605" s="2" t="s">
        <v>1236</v>
      </c>
      <c r="O605" s="2" t="s">
        <v>13</v>
      </c>
      <c r="P605" s="3">
        <v>42644</v>
      </c>
      <c r="Q605" s="4">
        <v>253187</v>
      </c>
      <c r="R605">
        <v>671</v>
      </c>
      <c r="S605" t="str">
        <f>IF(Linked[[#This Row],[Credit Score]]&lt;=579,"Poor",IF(Linked[[#This Row],[Credit Score]]&lt;=669,"Fair",IF(Linked[[#This Row],[Credit Score]]&lt;=739,"Good",IF(Linked[[#This Row],[Credit Score]]&lt;=799,"Very Good",IF(Linked[[#This Row],[Credit Score]]&gt;=800,"Excellent")))))</f>
        <v>Good</v>
      </c>
      <c r="T605" s="4">
        <v>0</v>
      </c>
      <c r="U605" s="2"/>
      <c r="V605" s="2"/>
    </row>
    <row r="606" spans="1:22" x14ac:dyDescent="0.25">
      <c r="A606" s="2" t="s">
        <v>769</v>
      </c>
      <c r="B606" s="2" t="s">
        <v>964</v>
      </c>
      <c r="C606" s="2" t="s">
        <v>1679</v>
      </c>
      <c r="D606" s="2" t="s">
        <v>1219</v>
      </c>
      <c r="E606">
        <v>46</v>
      </c>
      <c r="F606" s="2" t="s">
        <v>1228</v>
      </c>
      <c r="G606" s="2" t="s">
        <v>1243</v>
      </c>
      <c r="H606" s="2" t="s">
        <v>1235</v>
      </c>
      <c r="I606" s="1">
        <v>42971</v>
      </c>
      <c r="J606">
        <v>2017</v>
      </c>
      <c r="K606" s="2" t="s">
        <v>1680</v>
      </c>
      <c r="L606" s="4">
        <v>72930</v>
      </c>
      <c r="M606" s="2" t="s">
        <v>1250</v>
      </c>
      <c r="N606" s="2" t="s">
        <v>1236</v>
      </c>
      <c r="O606" s="2" t="s">
        <v>25</v>
      </c>
      <c r="P606" s="3">
        <v>43673</v>
      </c>
      <c r="Q606" s="4">
        <v>39104</v>
      </c>
      <c r="R606">
        <v>505</v>
      </c>
      <c r="S606" t="str">
        <f>IF(Linked[[#This Row],[Credit Score]]&lt;=579,"Poor",IF(Linked[[#This Row],[Credit Score]]&lt;=669,"Fair",IF(Linked[[#This Row],[Credit Score]]&lt;=739,"Good",IF(Linked[[#This Row],[Credit Score]]&lt;=799,"Very Good",IF(Linked[[#This Row],[Credit Score]]&gt;=800,"Excellent")))))</f>
        <v>Poor</v>
      </c>
      <c r="T606" s="4">
        <v>108475</v>
      </c>
      <c r="U606" s="2"/>
      <c r="V606" s="2"/>
    </row>
    <row r="607" spans="1:22" x14ac:dyDescent="0.25">
      <c r="A607" s="2" t="s">
        <v>355</v>
      </c>
      <c r="B607" s="2" t="s">
        <v>965</v>
      </c>
      <c r="C607" s="2" t="s">
        <v>2192</v>
      </c>
      <c r="D607" s="2" t="s">
        <v>1227</v>
      </c>
      <c r="E607">
        <v>22</v>
      </c>
      <c r="F607" s="2" t="s">
        <v>1242</v>
      </c>
      <c r="G607" s="2" t="s">
        <v>1221</v>
      </c>
      <c r="H607" s="2" t="s">
        <v>1230</v>
      </c>
      <c r="I607" s="1">
        <v>44666</v>
      </c>
      <c r="J607">
        <v>2022</v>
      </c>
      <c r="K607" s="2" t="s">
        <v>2193</v>
      </c>
      <c r="L607" s="4">
        <v>157348</v>
      </c>
      <c r="M607" s="2" t="s">
        <v>1223</v>
      </c>
      <c r="N607" s="2" t="s">
        <v>1231</v>
      </c>
      <c r="O607" s="2" t="s">
        <v>13</v>
      </c>
      <c r="P607" s="3">
        <v>45818</v>
      </c>
      <c r="Q607" s="4">
        <v>149134</v>
      </c>
      <c r="R607">
        <v>342</v>
      </c>
      <c r="S607" t="str">
        <f>IF(Linked[[#This Row],[Credit Score]]&lt;=579,"Poor",IF(Linked[[#This Row],[Credit Score]]&lt;=669,"Fair",IF(Linked[[#This Row],[Credit Score]]&lt;=739,"Good",IF(Linked[[#This Row],[Credit Score]]&lt;=799,"Very Good",IF(Linked[[#This Row],[Credit Score]]&gt;=800,"Excellent")))))</f>
        <v>Poor</v>
      </c>
      <c r="T607" s="4">
        <v>0</v>
      </c>
      <c r="U607" s="2" t="s">
        <v>59</v>
      </c>
      <c r="V607" s="2"/>
    </row>
    <row r="608" spans="1:22" x14ac:dyDescent="0.25">
      <c r="A608" s="2" t="s">
        <v>557</v>
      </c>
      <c r="B608" s="2" t="s">
        <v>966</v>
      </c>
      <c r="C608" s="2" t="s">
        <v>2092</v>
      </c>
      <c r="D608" s="2" t="s">
        <v>1227</v>
      </c>
      <c r="E608">
        <v>58</v>
      </c>
      <c r="F608" s="2" t="s">
        <v>1228</v>
      </c>
      <c r="G608" s="2" t="s">
        <v>1249</v>
      </c>
      <c r="H608" s="2" t="s">
        <v>1235</v>
      </c>
      <c r="I608" s="1">
        <v>44545</v>
      </c>
      <c r="J608">
        <v>2021</v>
      </c>
      <c r="K608" s="2" t="s">
        <v>2093</v>
      </c>
      <c r="L608" s="4">
        <v>196422</v>
      </c>
      <c r="M608" s="2" t="s">
        <v>1223</v>
      </c>
      <c r="N608" s="2" t="s">
        <v>1236</v>
      </c>
      <c r="O608" s="2" t="s">
        <v>13</v>
      </c>
      <c r="P608" s="3">
        <v>43551</v>
      </c>
      <c r="Q608" s="4">
        <v>279143</v>
      </c>
      <c r="R608">
        <v>544</v>
      </c>
      <c r="S608" t="str">
        <f>IF(Linked[[#This Row],[Credit Score]]&lt;=579,"Poor",IF(Linked[[#This Row],[Credit Score]]&lt;=669,"Fair",IF(Linked[[#This Row],[Credit Score]]&lt;=739,"Good",IF(Linked[[#This Row],[Credit Score]]&lt;=799,"Very Good",IF(Linked[[#This Row],[Credit Score]]&gt;=800,"Excellent")))))</f>
        <v>Poor</v>
      </c>
      <c r="T608" s="4">
        <v>0</v>
      </c>
      <c r="U608" s="2"/>
      <c r="V608" s="2"/>
    </row>
    <row r="609" spans="1:22" x14ac:dyDescent="0.25">
      <c r="A609" s="2" t="s">
        <v>968</v>
      </c>
      <c r="B609" s="2" t="s">
        <v>967</v>
      </c>
      <c r="C609" s="2" t="s">
        <v>1944</v>
      </c>
      <c r="D609" s="2" t="s">
        <v>1227</v>
      </c>
      <c r="E609">
        <v>19</v>
      </c>
      <c r="F609" s="2" t="s">
        <v>1242</v>
      </c>
      <c r="G609" s="2" t="s">
        <v>1221</v>
      </c>
      <c r="H609" s="2" t="s">
        <v>1253</v>
      </c>
      <c r="I609" s="1">
        <v>42817</v>
      </c>
      <c r="J609">
        <v>2017</v>
      </c>
      <c r="K609" s="2" t="s">
        <v>1541</v>
      </c>
      <c r="L609" s="4">
        <v>81550</v>
      </c>
      <c r="M609" s="2" t="s">
        <v>1245</v>
      </c>
      <c r="N609" s="2" t="s">
        <v>1231</v>
      </c>
      <c r="O609" s="2" t="s">
        <v>25</v>
      </c>
      <c r="P609" s="3">
        <v>44169</v>
      </c>
      <c r="Q609" s="4">
        <v>262091</v>
      </c>
      <c r="R609">
        <v>586</v>
      </c>
      <c r="S609" t="str">
        <f>IF(Linked[[#This Row],[Credit Score]]&lt;=579,"Poor",IF(Linked[[#This Row],[Credit Score]]&lt;=669,"Fair",IF(Linked[[#This Row],[Credit Score]]&lt;=739,"Good",IF(Linked[[#This Row],[Credit Score]]&lt;=799,"Very Good",IF(Linked[[#This Row],[Credit Score]]&gt;=800,"Excellent")))))</f>
        <v>Fair</v>
      </c>
      <c r="T609" s="4">
        <v>0</v>
      </c>
      <c r="U609" s="2" t="s">
        <v>59</v>
      </c>
      <c r="V609" s="2"/>
    </row>
    <row r="610" spans="1:22" x14ac:dyDescent="0.25">
      <c r="A610" s="2" t="s">
        <v>154</v>
      </c>
      <c r="B610" s="2" t="s">
        <v>969</v>
      </c>
      <c r="C610" s="2" t="s">
        <v>1321</v>
      </c>
      <c r="D610" s="2" t="s">
        <v>1227</v>
      </c>
      <c r="E610">
        <v>72</v>
      </c>
      <c r="F610" s="2" t="s">
        <v>1263</v>
      </c>
      <c r="G610" s="2" t="s">
        <v>1229</v>
      </c>
      <c r="H610" s="2" t="s">
        <v>1239</v>
      </c>
      <c r="I610" s="1">
        <v>42533</v>
      </c>
      <c r="J610">
        <v>2016</v>
      </c>
      <c r="K610" s="2" t="s">
        <v>1322</v>
      </c>
      <c r="L610" s="4">
        <v>96898</v>
      </c>
      <c r="M610" s="2" t="s">
        <v>1245</v>
      </c>
      <c r="N610" s="2" t="s">
        <v>1231</v>
      </c>
      <c r="O610" s="2" t="s">
        <v>13</v>
      </c>
      <c r="P610" s="3">
        <v>43586</v>
      </c>
      <c r="Q610" s="4">
        <v>455061</v>
      </c>
      <c r="R610">
        <v>654</v>
      </c>
      <c r="S610" t="str">
        <f>IF(Linked[[#This Row],[Credit Score]]&lt;=579,"Poor",IF(Linked[[#This Row],[Credit Score]]&lt;=669,"Fair",IF(Linked[[#This Row],[Credit Score]]&lt;=739,"Good",IF(Linked[[#This Row],[Credit Score]]&lt;=799,"Very Good",IF(Linked[[#This Row],[Credit Score]]&gt;=800,"Excellent")))))</f>
        <v>Fair</v>
      </c>
      <c r="T610" s="4">
        <v>0</v>
      </c>
      <c r="U610" s="2"/>
      <c r="V610" s="2"/>
    </row>
    <row r="611" spans="1:22" x14ac:dyDescent="0.25">
      <c r="A611" s="2" t="s">
        <v>897</v>
      </c>
      <c r="B611" s="2" t="s">
        <v>970</v>
      </c>
      <c r="C611" s="2" t="s">
        <v>2237</v>
      </c>
      <c r="D611" s="2" t="s">
        <v>1227</v>
      </c>
      <c r="E611">
        <v>38</v>
      </c>
      <c r="F611" s="2" t="s">
        <v>1220</v>
      </c>
      <c r="G611" s="2" t="s">
        <v>1221</v>
      </c>
      <c r="H611" s="2" t="s">
        <v>1239</v>
      </c>
      <c r="I611" s="1">
        <v>45801</v>
      </c>
      <c r="J611">
        <v>2025</v>
      </c>
      <c r="K611" s="2" t="s">
        <v>2238</v>
      </c>
      <c r="L611" s="4">
        <v>198686</v>
      </c>
      <c r="M611" s="2" t="s">
        <v>1223</v>
      </c>
      <c r="N611" s="2" t="s">
        <v>1231</v>
      </c>
      <c r="O611" s="2" t="s">
        <v>13</v>
      </c>
      <c r="P611" s="3">
        <v>45637</v>
      </c>
      <c r="Q611" s="4">
        <v>403157</v>
      </c>
      <c r="R611">
        <v>775</v>
      </c>
      <c r="S611" t="str">
        <f>IF(Linked[[#This Row],[Credit Score]]&lt;=579,"Poor",IF(Linked[[#This Row],[Credit Score]]&lt;=669,"Fair",IF(Linked[[#This Row],[Credit Score]]&lt;=739,"Good",IF(Linked[[#This Row],[Credit Score]]&lt;=799,"Very Good",IF(Linked[[#This Row],[Credit Score]]&gt;=800,"Excellent")))))</f>
        <v>Very Good</v>
      </c>
      <c r="T611" s="4">
        <v>0</v>
      </c>
      <c r="U611" s="2"/>
      <c r="V611" s="2"/>
    </row>
    <row r="612" spans="1:22" x14ac:dyDescent="0.25">
      <c r="A612" s="2" t="s">
        <v>972</v>
      </c>
      <c r="B612" s="2" t="s">
        <v>971</v>
      </c>
      <c r="C612" s="2" t="s">
        <v>2269</v>
      </c>
      <c r="D612" s="2" t="s">
        <v>1227</v>
      </c>
      <c r="E612">
        <v>34</v>
      </c>
      <c r="F612" s="2" t="s">
        <v>1220</v>
      </c>
      <c r="G612" s="2" t="s">
        <v>1229</v>
      </c>
      <c r="H612" s="2" t="s">
        <v>1253</v>
      </c>
      <c r="I612" s="1">
        <v>43553</v>
      </c>
      <c r="J612">
        <v>2019</v>
      </c>
      <c r="K612" s="2" t="s">
        <v>2270</v>
      </c>
      <c r="L612" s="4">
        <v>146945</v>
      </c>
      <c r="M612" s="2" t="s">
        <v>1223</v>
      </c>
      <c r="N612" s="2" t="s">
        <v>1224</v>
      </c>
      <c r="O612" s="2" t="s">
        <v>13</v>
      </c>
      <c r="P612" s="3">
        <v>44803</v>
      </c>
      <c r="Q612" s="4">
        <v>61169</v>
      </c>
      <c r="R612">
        <v>382</v>
      </c>
      <c r="S612" t="str">
        <f>IF(Linked[[#This Row],[Credit Score]]&lt;=579,"Poor",IF(Linked[[#This Row],[Credit Score]]&lt;=669,"Fair",IF(Linked[[#This Row],[Credit Score]]&lt;=739,"Good",IF(Linked[[#This Row],[Credit Score]]&lt;=799,"Very Good",IF(Linked[[#This Row],[Credit Score]]&gt;=800,"Excellent")))))</f>
        <v>Poor</v>
      </c>
      <c r="T612" s="4">
        <v>0</v>
      </c>
      <c r="U612" s="2"/>
      <c r="V612" s="2"/>
    </row>
    <row r="613" spans="1:22" x14ac:dyDescent="0.25">
      <c r="A613" s="2" t="s">
        <v>697</v>
      </c>
      <c r="B613" s="2" t="s">
        <v>973</v>
      </c>
      <c r="C613" s="2" t="s">
        <v>1711</v>
      </c>
      <c r="D613" s="2" t="s">
        <v>1219</v>
      </c>
      <c r="E613">
        <v>27</v>
      </c>
      <c r="F613" s="2" t="s">
        <v>1242</v>
      </c>
      <c r="G613" s="2" t="s">
        <v>1243</v>
      </c>
      <c r="H613" s="2" t="s">
        <v>1239</v>
      </c>
      <c r="I613" s="1">
        <v>42311</v>
      </c>
      <c r="J613">
        <v>2015</v>
      </c>
      <c r="K613" s="2" t="s">
        <v>1712</v>
      </c>
      <c r="L613" s="4">
        <v>153052</v>
      </c>
      <c r="M613" s="2" t="s">
        <v>1223</v>
      </c>
      <c r="N613" s="2" t="s">
        <v>1224</v>
      </c>
      <c r="O613" s="2" t="s">
        <v>13</v>
      </c>
      <c r="P613" s="3">
        <v>42796</v>
      </c>
      <c r="Q613" s="4">
        <v>154542</v>
      </c>
      <c r="R613">
        <v>409</v>
      </c>
      <c r="S613" t="str">
        <f>IF(Linked[[#This Row],[Credit Score]]&lt;=579,"Poor",IF(Linked[[#This Row],[Credit Score]]&lt;=669,"Fair",IF(Linked[[#This Row],[Credit Score]]&lt;=739,"Good",IF(Linked[[#This Row],[Credit Score]]&lt;=799,"Very Good",IF(Linked[[#This Row],[Credit Score]]&gt;=800,"Excellent")))))</f>
        <v>Poor</v>
      </c>
      <c r="T613" s="4">
        <v>0</v>
      </c>
      <c r="U613" s="2"/>
      <c r="V613" s="2"/>
    </row>
    <row r="614" spans="1:22" x14ac:dyDescent="0.25">
      <c r="A614" s="2" t="s">
        <v>975</v>
      </c>
      <c r="B614" s="2" t="s">
        <v>974</v>
      </c>
      <c r="C614" s="2" t="s">
        <v>2265</v>
      </c>
      <c r="D614" s="2" t="s">
        <v>1227</v>
      </c>
      <c r="E614">
        <v>23</v>
      </c>
      <c r="F614" s="2" t="s">
        <v>1242</v>
      </c>
      <c r="G614" s="2" t="s">
        <v>1229</v>
      </c>
      <c r="H614" s="2" t="s">
        <v>1230</v>
      </c>
      <c r="I614" s="1">
        <v>45476</v>
      </c>
      <c r="J614">
        <v>2024</v>
      </c>
      <c r="K614" s="2" t="s">
        <v>2266</v>
      </c>
      <c r="L614" s="4">
        <v>186129</v>
      </c>
      <c r="M614" s="2" t="s">
        <v>1223</v>
      </c>
      <c r="N614" s="2" t="s">
        <v>1224</v>
      </c>
      <c r="O614" s="2" t="s">
        <v>13</v>
      </c>
      <c r="P614" s="3">
        <v>45843</v>
      </c>
      <c r="Q614" s="4">
        <v>129744</v>
      </c>
      <c r="R614">
        <v>489</v>
      </c>
      <c r="S614" t="str">
        <f>IF(Linked[[#This Row],[Credit Score]]&lt;=579,"Poor",IF(Linked[[#This Row],[Credit Score]]&lt;=669,"Fair",IF(Linked[[#This Row],[Credit Score]]&lt;=739,"Good",IF(Linked[[#This Row],[Credit Score]]&lt;=799,"Very Good",IF(Linked[[#This Row],[Credit Score]]&gt;=800,"Excellent")))))</f>
        <v>Poor</v>
      </c>
      <c r="T614" s="4">
        <v>0</v>
      </c>
      <c r="U614" s="2"/>
      <c r="V614" s="2"/>
    </row>
    <row r="615" spans="1:22" x14ac:dyDescent="0.25">
      <c r="A615" s="2" t="s">
        <v>403</v>
      </c>
      <c r="B615" s="2" t="s">
        <v>976</v>
      </c>
      <c r="C615" s="2" t="s">
        <v>1386</v>
      </c>
      <c r="D615" s="2" t="s">
        <v>1219</v>
      </c>
      <c r="E615">
        <v>39</v>
      </c>
      <c r="F615" s="2" t="s">
        <v>1220</v>
      </c>
      <c r="G615" s="2" t="s">
        <v>1229</v>
      </c>
      <c r="H615" s="2" t="s">
        <v>1222</v>
      </c>
      <c r="I615" s="1">
        <v>44119</v>
      </c>
      <c r="J615">
        <v>2020</v>
      </c>
      <c r="K615" s="2" t="s">
        <v>1387</v>
      </c>
      <c r="L615" s="4">
        <v>49192</v>
      </c>
      <c r="M615" s="2" t="s">
        <v>1250</v>
      </c>
      <c r="N615" s="2" t="s">
        <v>1224</v>
      </c>
      <c r="O615" s="2" t="s">
        <v>10</v>
      </c>
      <c r="P615" s="3">
        <v>42346</v>
      </c>
      <c r="Q615" s="4">
        <v>372828</v>
      </c>
      <c r="R615">
        <v>550</v>
      </c>
      <c r="S615" t="str">
        <f>IF(Linked[[#This Row],[Credit Score]]&lt;=579,"Poor",IF(Linked[[#This Row],[Credit Score]]&lt;=669,"Fair",IF(Linked[[#This Row],[Credit Score]]&lt;=739,"Good",IF(Linked[[#This Row],[Credit Score]]&lt;=799,"Very Good",IF(Linked[[#This Row],[Credit Score]]&gt;=800,"Excellent")))))</f>
        <v>Poor</v>
      </c>
      <c r="T615" s="4">
        <v>0</v>
      </c>
      <c r="U615" s="2"/>
      <c r="V615" s="2"/>
    </row>
    <row r="616" spans="1:22" x14ac:dyDescent="0.25">
      <c r="A616" s="2" t="s">
        <v>542</v>
      </c>
      <c r="B616" s="2" t="s">
        <v>977</v>
      </c>
      <c r="C616" s="2" t="s">
        <v>1255</v>
      </c>
      <c r="D616" s="2" t="s">
        <v>1219</v>
      </c>
      <c r="E616">
        <v>59</v>
      </c>
      <c r="F616" s="2" t="s">
        <v>1228</v>
      </c>
      <c r="G616" s="2" t="s">
        <v>1221</v>
      </c>
      <c r="H616" s="2" t="s">
        <v>1253</v>
      </c>
      <c r="I616" s="1">
        <v>45448</v>
      </c>
      <c r="J616">
        <v>2024</v>
      </c>
      <c r="K616" s="2" t="s">
        <v>1256</v>
      </c>
      <c r="L616" s="4">
        <v>144988</v>
      </c>
      <c r="M616" s="2" t="s">
        <v>1223</v>
      </c>
      <c r="N616" s="2" t="s">
        <v>1224</v>
      </c>
      <c r="O616" s="2" t="s">
        <v>13</v>
      </c>
      <c r="P616" s="3">
        <v>43059</v>
      </c>
      <c r="Q616" s="4">
        <v>59821</v>
      </c>
      <c r="R616">
        <v>590</v>
      </c>
      <c r="S616" t="str">
        <f>IF(Linked[[#This Row],[Credit Score]]&lt;=579,"Poor",IF(Linked[[#This Row],[Credit Score]]&lt;=669,"Fair",IF(Linked[[#This Row],[Credit Score]]&lt;=739,"Good",IF(Linked[[#This Row],[Credit Score]]&lt;=799,"Very Good",IF(Linked[[#This Row],[Credit Score]]&gt;=800,"Excellent")))))</f>
        <v>Fair</v>
      </c>
      <c r="T616" s="4">
        <v>0</v>
      </c>
      <c r="U616" s="2"/>
      <c r="V616" s="2"/>
    </row>
    <row r="617" spans="1:22" x14ac:dyDescent="0.25">
      <c r="A617" s="2" t="s">
        <v>82</v>
      </c>
      <c r="B617" s="2" t="s">
        <v>978</v>
      </c>
      <c r="C617" s="2" t="s">
        <v>1896</v>
      </c>
      <c r="D617" s="2" t="s">
        <v>1219</v>
      </c>
      <c r="E617">
        <v>48</v>
      </c>
      <c r="F617" s="2" t="s">
        <v>1228</v>
      </c>
      <c r="G617" s="2" t="s">
        <v>1249</v>
      </c>
      <c r="H617" s="2" t="s">
        <v>1222</v>
      </c>
      <c r="I617" s="1">
        <v>45334</v>
      </c>
      <c r="J617">
        <v>2024</v>
      </c>
      <c r="K617" s="2" t="s">
        <v>1897</v>
      </c>
      <c r="L617" s="4">
        <v>70861</v>
      </c>
      <c r="M617" s="2" t="s">
        <v>1250</v>
      </c>
      <c r="N617" s="2" t="s">
        <v>1224</v>
      </c>
      <c r="O617" s="2" t="s">
        <v>13</v>
      </c>
      <c r="P617" s="3">
        <v>45591</v>
      </c>
      <c r="Q617" s="4">
        <v>217741</v>
      </c>
      <c r="R617">
        <v>500</v>
      </c>
      <c r="S617" t="str">
        <f>IF(Linked[[#This Row],[Credit Score]]&lt;=579,"Poor",IF(Linked[[#This Row],[Credit Score]]&lt;=669,"Fair",IF(Linked[[#This Row],[Credit Score]]&lt;=739,"Good",IF(Linked[[#This Row],[Credit Score]]&lt;=799,"Very Good",IF(Linked[[#This Row],[Credit Score]]&gt;=800,"Excellent")))))</f>
        <v>Poor</v>
      </c>
      <c r="T617" s="4">
        <v>0</v>
      </c>
      <c r="U617" s="2" t="s">
        <v>39</v>
      </c>
      <c r="V617" s="2"/>
    </row>
    <row r="618" spans="1:22" x14ac:dyDescent="0.25">
      <c r="A618" s="2" t="s">
        <v>777</v>
      </c>
      <c r="B618" s="2" t="s">
        <v>979</v>
      </c>
      <c r="C618" s="2" t="s">
        <v>1982</v>
      </c>
      <c r="D618" s="2" t="s">
        <v>1219</v>
      </c>
      <c r="E618">
        <v>48</v>
      </c>
      <c r="F618" s="2" t="s">
        <v>1228</v>
      </c>
      <c r="G618" s="2" t="s">
        <v>1221</v>
      </c>
      <c r="H618" s="2" t="s">
        <v>1253</v>
      </c>
      <c r="I618" s="1">
        <v>43154</v>
      </c>
      <c r="J618">
        <v>2018</v>
      </c>
      <c r="K618" s="2" t="s">
        <v>1983</v>
      </c>
      <c r="L618" s="4">
        <v>152632</v>
      </c>
      <c r="M618" s="2" t="s">
        <v>1223</v>
      </c>
      <c r="N618" s="2" t="s">
        <v>1224</v>
      </c>
      <c r="O618" s="2" t="s">
        <v>25</v>
      </c>
      <c r="P618" s="3">
        <v>45012</v>
      </c>
      <c r="Q618" s="4">
        <v>249265</v>
      </c>
      <c r="R618">
        <v>625</v>
      </c>
      <c r="S618" t="str">
        <f>IF(Linked[[#This Row],[Credit Score]]&lt;=579,"Poor",IF(Linked[[#This Row],[Credit Score]]&lt;=669,"Fair",IF(Linked[[#This Row],[Credit Score]]&lt;=739,"Good",IF(Linked[[#This Row],[Credit Score]]&lt;=799,"Very Good",IF(Linked[[#This Row],[Credit Score]]&gt;=800,"Excellent")))))</f>
        <v>Fair</v>
      </c>
      <c r="T618" s="4">
        <v>0</v>
      </c>
      <c r="U618" s="2" t="s">
        <v>39</v>
      </c>
      <c r="V618" s="2"/>
    </row>
    <row r="619" spans="1:22" x14ac:dyDescent="0.25">
      <c r="A619" s="2" t="s">
        <v>690</v>
      </c>
      <c r="B619" s="2" t="s">
        <v>980</v>
      </c>
      <c r="C619" s="2" t="s">
        <v>2164</v>
      </c>
      <c r="D619" s="2" t="s">
        <v>1219</v>
      </c>
      <c r="E619">
        <v>26</v>
      </c>
      <c r="F619" s="2" t="s">
        <v>1242</v>
      </c>
      <c r="G619" s="2" t="s">
        <v>1243</v>
      </c>
      <c r="H619" s="2" t="s">
        <v>1230</v>
      </c>
      <c r="I619" s="1">
        <v>45133</v>
      </c>
      <c r="J619">
        <v>2023</v>
      </c>
      <c r="K619" s="2" t="s">
        <v>2165</v>
      </c>
      <c r="L619" s="4">
        <v>106475</v>
      </c>
      <c r="M619" s="2" t="s">
        <v>1245</v>
      </c>
      <c r="N619" s="2" t="s">
        <v>1224</v>
      </c>
      <c r="O619" s="2" t="s">
        <v>10</v>
      </c>
      <c r="P619" s="3">
        <v>44089</v>
      </c>
      <c r="Q619" s="4">
        <v>437651</v>
      </c>
      <c r="R619">
        <v>810</v>
      </c>
      <c r="S619" t="str">
        <f>IF(Linked[[#This Row],[Credit Score]]&lt;=579,"Poor",IF(Linked[[#This Row],[Credit Score]]&lt;=669,"Fair",IF(Linked[[#This Row],[Credit Score]]&lt;=739,"Good",IF(Linked[[#This Row],[Credit Score]]&lt;=799,"Very Good",IF(Linked[[#This Row],[Credit Score]]&gt;=800,"Excellent")))))</f>
        <v>Excellent</v>
      </c>
      <c r="T619" s="4">
        <v>0</v>
      </c>
      <c r="U619" s="2" t="s">
        <v>59</v>
      </c>
      <c r="V619" s="2"/>
    </row>
    <row r="620" spans="1:22" x14ac:dyDescent="0.25">
      <c r="A620" s="2" t="s">
        <v>437</v>
      </c>
      <c r="B620" s="2" t="s">
        <v>981</v>
      </c>
      <c r="C620" s="2" t="s">
        <v>2151</v>
      </c>
      <c r="D620" s="2" t="s">
        <v>1219</v>
      </c>
      <c r="E620">
        <v>45</v>
      </c>
      <c r="F620" s="2" t="s">
        <v>1228</v>
      </c>
      <c r="G620" s="2" t="s">
        <v>1249</v>
      </c>
      <c r="H620" s="2" t="s">
        <v>1222</v>
      </c>
      <c r="I620" s="1">
        <v>44111</v>
      </c>
      <c r="J620">
        <v>2020</v>
      </c>
      <c r="K620" s="2" t="s">
        <v>2152</v>
      </c>
      <c r="L620" s="4">
        <v>121520</v>
      </c>
      <c r="M620" s="2" t="s">
        <v>1245</v>
      </c>
      <c r="N620" s="2" t="s">
        <v>1231</v>
      </c>
      <c r="O620" s="2" t="s">
        <v>10</v>
      </c>
      <c r="P620" s="3">
        <v>45046</v>
      </c>
      <c r="Q620" s="4">
        <v>397745</v>
      </c>
      <c r="R620">
        <v>708</v>
      </c>
      <c r="S620" t="str">
        <f>IF(Linked[[#This Row],[Credit Score]]&lt;=579,"Poor",IF(Linked[[#This Row],[Credit Score]]&lt;=669,"Fair",IF(Linked[[#This Row],[Credit Score]]&lt;=739,"Good",IF(Linked[[#This Row],[Credit Score]]&lt;=799,"Very Good",IF(Linked[[#This Row],[Credit Score]]&gt;=800,"Excellent")))))</f>
        <v>Good</v>
      </c>
      <c r="T620" s="4">
        <v>333634</v>
      </c>
      <c r="U620" s="2"/>
      <c r="V620" s="2"/>
    </row>
    <row r="621" spans="1:22" x14ac:dyDescent="0.25">
      <c r="A621" s="2" t="s">
        <v>983</v>
      </c>
      <c r="B621" s="2" t="s">
        <v>982</v>
      </c>
      <c r="C621" s="2" t="s">
        <v>1959</v>
      </c>
      <c r="D621" s="2" t="s">
        <v>1219</v>
      </c>
      <c r="E621">
        <v>62</v>
      </c>
      <c r="F621" s="2" t="s">
        <v>1263</v>
      </c>
      <c r="G621" s="2" t="s">
        <v>1243</v>
      </c>
      <c r="H621" s="2" t="s">
        <v>1222</v>
      </c>
      <c r="I621" s="1">
        <v>44448</v>
      </c>
      <c r="J621">
        <v>2021</v>
      </c>
      <c r="K621" s="2" t="s">
        <v>1960</v>
      </c>
      <c r="L621" s="4">
        <v>101941</v>
      </c>
      <c r="M621" s="2" t="s">
        <v>1245</v>
      </c>
      <c r="N621" s="2" t="s">
        <v>1224</v>
      </c>
      <c r="O621" s="2" t="s">
        <v>10</v>
      </c>
      <c r="P621" s="3">
        <v>45034</v>
      </c>
      <c r="Q621" s="4">
        <v>214127</v>
      </c>
      <c r="R621">
        <v>807</v>
      </c>
      <c r="S621" t="str">
        <f>IF(Linked[[#This Row],[Credit Score]]&lt;=579,"Poor",IF(Linked[[#This Row],[Credit Score]]&lt;=669,"Fair",IF(Linked[[#This Row],[Credit Score]]&lt;=739,"Good",IF(Linked[[#This Row],[Credit Score]]&lt;=799,"Very Good",IF(Linked[[#This Row],[Credit Score]]&gt;=800,"Excellent")))))</f>
        <v>Excellent</v>
      </c>
      <c r="T621" s="4">
        <v>0</v>
      </c>
      <c r="U621" s="2" t="s">
        <v>39</v>
      </c>
      <c r="V621" s="2"/>
    </row>
    <row r="622" spans="1:22" x14ac:dyDescent="0.25">
      <c r="A622" s="2" t="s">
        <v>985</v>
      </c>
      <c r="B622" s="2" t="s">
        <v>984</v>
      </c>
      <c r="C622" s="2" t="s">
        <v>2177</v>
      </c>
      <c r="D622" s="2" t="s">
        <v>1227</v>
      </c>
      <c r="E622">
        <v>46</v>
      </c>
      <c r="F622" s="2" t="s">
        <v>1228</v>
      </c>
      <c r="G622" s="2" t="s">
        <v>1229</v>
      </c>
      <c r="H622" s="2" t="s">
        <v>1235</v>
      </c>
      <c r="I622" s="1">
        <v>45037</v>
      </c>
      <c r="J622">
        <v>2023</v>
      </c>
      <c r="K622" s="2" t="s">
        <v>2178</v>
      </c>
      <c r="L622" s="4">
        <v>102189</v>
      </c>
      <c r="M622" s="2" t="s">
        <v>1245</v>
      </c>
      <c r="N622" s="2" t="s">
        <v>1224</v>
      </c>
      <c r="O622" s="2" t="s">
        <v>13</v>
      </c>
      <c r="P622" s="3">
        <v>42416</v>
      </c>
      <c r="Q622" s="4">
        <v>274336</v>
      </c>
      <c r="R622">
        <v>371</v>
      </c>
      <c r="S622" t="str">
        <f>IF(Linked[[#This Row],[Credit Score]]&lt;=579,"Poor",IF(Linked[[#This Row],[Credit Score]]&lt;=669,"Fair",IF(Linked[[#This Row],[Credit Score]]&lt;=739,"Good",IF(Linked[[#This Row],[Credit Score]]&lt;=799,"Very Good",IF(Linked[[#This Row],[Credit Score]]&gt;=800,"Excellent")))))</f>
        <v>Poor</v>
      </c>
      <c r="T622" s="4">
        <v>0</v>
      </c>
      <c r="U622" s="2"/>
      <c r="V622" s="2"/>
    </row>
    <row r="623" spans="1:22" x14ac:dyDescent="0.25">
      <c r="A623" s="2" t="s">
        <v>27</v>
      </c>
      <c r="B623" s="2" t="s">
        <v>986</v>
      </c>
      <c r="C623" s="2" t="s">
        <v>1408</v>
      </c>
      <c r="D623" s="2" t="s">
        <v>1227</v>
      </c>
      <c r="E623">
        <v>70</v>
      </c>
      <c r="F623" s="2" t="s">
        <v>1263</v>
      </c>
      <c r="G623" s="2" t="s">
        <v>1243</v>
      </c>
      <c r="H623" s="2" t="s">
        <v>1230</v>
      </c>
      <c r="I623" s="1">
        <v>42917</v>
      </c>
      <c r="J623">
        <v>2017</v>
      </c>
      <c r="K623" s="2" t="s">
        <v>1409</v>
      </c>
      <c r="L623" s="4">
        <v>172826</v>
      </c>
      <c r="M623" s="2" t="s">
        <v>1223</v>
      </c>
      <c r="N623" s="2" t="s">
        <v>1224</v>
      </c>
      <c r="O623" s="2" t="s">
        <v>10</v>
      </c>
      <c r="P623" s="3">
        <v>43639</v>
      </c>
      <c r="Q623" s="4">
        <v>336246</v>
      </c>
      <c r="R623">
        <v>546</v>
      </c>
      <c r="S623" t="str">
        <f>IF(Linked[[#This Row],[Credit Score]]&lt;=579,"Poor",IF(Linked[[#This Row],[Credit Score]]&lt;=669,"Fair",IF(Linked[[#This Row],[Credit Score]]&lt;=739,"Good",IF(Linked[[#This Row],[Credit Score]]&lt;=799,"Very Good",IF(Linked[[#This Row],[Credit Score]]&gt;=800,"Excellent")))))</f>
        <v>Poor</v>
      </c>
      <c r="T623" s="4">
        <v>261323</v>
      </c>
      <c r="U623" s="2"/>
      <c r="V623" s="2"/>
    </row>
    <row r="624" spans="1:22" x14ac:dyDescent="0.25">
      <c r="A624" s="2" t="s">
        <v>209</v>
      </c>
      <c r="B624" s="2" t="s">
        <v>987</v>
      </c>
      <c r="C624" s="2" t="s">
        <v>1619</v>
      </c>
      <c r="D624" s="2" t="s">
        <v>1227</v>
      </c>
      <c r="E624">
        <v>33</v>
      </c>
      <c r="F624" s="2" t="s">
        <v>1220</v>
      </c>
      <c r="G624" s="2" t="s">
        <v>1243</v>
      </c>
      <c r="H624" s="2" t="s">
        <v>1259</v>
      </c>
      <c r="I624" s="1">
        <v>43767</v>
      </c>
      <c r="J624">
        <v>2019</v>
      </c>
      <c r="K624" s="2" t="s">
        <v>1620</v>
      </c>
      <c r="L624" s="4">
        <v>120732</v>
      </c>
      <c r="M624" s="2" t="s">
        <v>1245</v>
      </c>
      <c r="N624" s="2" t="s">
        <v>1231</v>
      </c>
      <c r="O624" s="2" t="s">
        <v>10</v>
      </c>
      <c r="P624" s="3">
        <v>43698</v>
      </c>
      <c r="Q624" s="4">
        <v>203834</v>
      </c>
      <c r="R624">
        <v>643</v>
      </c>
      <c r="S624" t="str">
        <f>IF(Linked[[#This Row],[Credit Score]]&lt;=579,"Poor",IF(Linked[[#This Row],[Credit Score]]&lt;=669,"Fair",IF(Linked[[#This Row],[Credit Score]]&lt;=739,"Good",IF(Linked[[#This Row],[Credit Score]]&lt;=799,"Very Good",IF(Linked[[#This Row],[Credit Score]]&gt;=800,"Excellent")))))</f>
        <v>Fair</v>
      </c>
      <c r="T624" s="4">
        <v>356224</v>
      </c>
      <c r="U624" s="2"/>
      <c r="V624" s="2"/>
    </row>
    <row r="625" spans="1:22" x14ac:dyDescent="0.25">
      <c r="A625" s="2" t="s">
        <v>96</v>
      </c>
      <c r="B625" s="2" t="s">
        <v>988</v>
      </c>
      <c r="C625" s="2" t="s">
        <v>1345</v>
      </c>
      <c r="D625" s="2" t="s">
        <v>1227</v>
      </c>
      <c r="E625">
        <v>18</v>
      </c>
      <c r="F625" s="2" t="s">
        <v>1242</v>
      </c>
      <c r="G625" s="2" t="s">
        <v>1243</v>
      </c>
      <c r="H625" s="2" t="s">
        <v>1222</v>
      </c>
      <c r="I625" s="1">
        <v>42831</v>
      </c>
      <c r="J625">
        <v>2017</v>
      </c>
      <c r="K625" s="2" t="s">
        <v>1346</v>
      </c>
      <c r="L625" s="4">
        <v>81413</v>
      </c>
      <c r="M625" s="2" t="s">
        <v>1245</v>
      </c>
      <c r="N625" s="2" t="s">
        <v>1224</v>
      </c>
      <c r="O625" s="2" t="s">
        <v>13</v>
      </c>
      <c r="P625" s="3">
        <v>45379</v>
      </c>
      <c r="Q625" s="4">
        <v>234538</v>
      </c>
      <c r="R625">
        <v>353</v>
      </c>
      <c r="S625" t="str">
        <f>IF(Linked[[#This Row],[Credit Score]]&lt;=579,"Poor",IF(Linked[[#This Row],[Credit Score]]&lt;=669,"Fair",IF(Linked[[#This Row],[Credit Score]]&lt;=739,"Good",IF(Linked[[#This Row],[Credit Score]]&lt;=799,"Very Good",IF(Linked[[#This Row],[Credit Score]]&gt;=800,"Excellent")))))</f>
        <v>Poor</v>
      </c>
      <c r="T625" s="4">
        <v>0</v>
      </c>
      <c r="U625" s="2"/>
      <c r="V625" s="2"/>
    </row>
    <row r="626" spans="1:22" x14ac:dyDescent="0.25">
      <c r="A626" s="2" t="s">
        <v>990</v>
      </c>
      <c r="B626" s="2" t="s">
        <v>989</v>
      </c>
      <c r="C626" s="2" t="s">
        <v>1276</v>
      </c>
      <c r="D626" s="2" t="s">
        <v>1227</v>
      </c>
      <c r="E626">
        <v>67</v>
      </c>
      <c r="F626" s="2" t="s">
        <v>1263</v>
      </c>
      <c r="G626" s="2" t="s">
        <v>1229</v>
      </c>
      <c r="H626" s="2" t="s">
        <v>1230</v>
      </c>
      <c r="I626" s="1">
        <v>43673</v>
      </c>
      <c r="J626">
        <v>2019</v>
      </c>
      <c r="K626" s="2" t="s">
        <v>1277</v>
      </c>
      <c r="L626" s="4">
        <v>180829</v>
      </c>
      <c r="M626" s="2" t="s">
        <v>1223</v>
      </c>
      <c r="N626" s="2" t="s">
        <v>1231</v>
      </c>
      <c r="O626" s="2" t="s">
        <v>32</v>
      </c>
      <c r="P626" s="3">
        <v>45570</v>
      </c>
      <c r="Q626" s="4">
        <v>377038</v>
      </c>
      <c r="R626">
        <v>827</v>
      </c>
      <c r="S626" t="str">
        <f>IF(Linked[[#This Row],[Credit Score]]&lt;=579,"Poor",IF(Linked[[#This Row],[Credit Score]]&lt;=669,"Fair",IF(Linked[[#This Row],[Credit Score]]&lt;=739,"Good",IF(Linked[[#This Row],[Credit Score]]&lt;=799,"Very Good",IF(Linked[[#This Row],[Credit Score]]&gt;=800,"Excellent")))))</f>
        <v>Excellent</v>
      </c>
      <c r="T626" s="4">
        <v>0</v>
      </c>
      <c r="U626" s="2" t="s">
        <v>39</v>
      </c>
      <c r="V626" s="2"/>
    </row>
    <row r="627" spans="1:22" x14ac:dyDescent="0.25">
      <c r="A627" s="2" t="s">
        <v>924</v>
      </c>
      <c r="B627" s="2" t="s">
        <v>991</v>
      </c>
      <c r="C627" s="2" t="s">
        <v>2021</v>
      </c>
      <c r="D627" s="2" t="s">
        <v>1227</v>
      </c>
      <c r="E627">
        <v>58</v>
      </c>
      <c r="F627" s="2" t="s">
        <v>1228</v>
      </c>
      <c r="G627" s="2" t="s">
        <v>1229</v>
      </c>
      <c r="H627" s="2" t="s">
        <v>1244</v>
      </c>
      <c r="I627" s="1">
        <v>45392</v>
      </c>
      <c r="J627">
        <v>2024</v>
      </c>
      <c r="K627" s="2" t="s">
        <v>2022</v>
      </c>
      <c r="L627" s="4">
        <v>188484</v>
      </c>
      <c r="M627" s="2" t="s">
        <v>1223</v>
      </c>
      <c r="N627" s="2" t="s">
        <v>1224</v>
      </c>
      <c r="O627" s="2" t="s">
        <v>13</v>
      </c>
      <c r="P627" s="3">
        <v>45296</v>
      </c>
      <c r="Q627" s="4">
        <v>86795</v>
      </c>
      <c r="R627">
        <v>831</v>
      </c>
      <c r="S627" t="str">
        <f>IF(Linked[[#This Row],[Credit Score]]&lt;=579,"Poor",IF(Linked[[#This Row],[Credit Score]]&lt;=669,"Fair",IF(Linked[[#This Row],[Credit Score]]&lt;=739,"Good",IF(Linked[[#This Row],[Credit Score]]&lt;=799,"Very Good",IF(Linked[[#This Row],[Credit Score]]&gt;=800,"Excellent")))))</f>
        <v>Excellent</v>
      </c>
      <c r="T627" s="4">
        <v>0</v>
      </c>
      <c r="U627" s="2" t="s">
        <v>18</v>
      </c>
      <c r="V627" s="2"/>
    </row>
    <row r="628" spans="1:22" x14ac:dyDescent="0.25">
      <c r="A628" s="2" t="s">
        <v>844</v>
      </c>
      <c r="B628" s="2" t="s">
        <v>992</v>
      </c>
      <c r="C628" s="2" t="s">
        <v>1560</v>
      </c>
      <c r="D628" s="2" t="s">
        <v>1219</v>
      </c>
      <c r="E628">
        <v>29</v>
      </c>
      <c r="F628" s="2" t="s">
        <v>1220</v>
      </c>
      <c r="G628" s="2" t="s">
        <v>1249</v>
      </c>
      <c r="H628" s="2" t="s">
        <v>1222</v>
      </c>
      <c r="I628" s="1">
        <v>43888</v>
      </c>
      <c r="J628">
        <v>2020</v>
      </c>
      <c r="K628" s="2" t="s">
        <v>1561</v>
      </c>
      <c r="L628" s="4">
        <v>193279</v>
      </c>
      <c r="M628" s="2" t="s">
        <v>1223</v>
      </c>
      <c r="N628" s="2" t="s">
        <v>1236</v>
      </c>
      <c r="O628" s="2" t="s">
        <v>25</v>
      </c>
      <c r="P628" s="3">
        <v>44190</v>
      </c>
      <c r="Q628" s="4">
        <v>165159</v>
      </c>
      <c r="R628">
        <v>492</v>
      </c>
      <c r="S628" t="str">
        <f>IF(Linked[[#This Row],[Credit Score]]&lt;=579,"Poor",IF(Linked[[#This Row],[Credit Score]]&lt;=669,"Fair",IF(Linked[[#This Row],[Credit Score]]&lt;=739,"Good",IF(Linked[[#This Row],[Credit Score]]&lt;=799,"Very Good",IF(Linked[[#This Row],[Credit Score]]&gt;=800,"Excellent")))))</f>
        <v>Poor</v>
      </c>
      <c r="T628" s="4">
        <v>0</v>
      </c>
      <c r="U628" s="2"/>
      <c r="V628" s="2"/>
    </row>
    <row r="629" spans="1:22" x14ac:dyDescent="0.25">
      <c r="A629" s="2" t="s">
        <v>495</v>
      </c>
      <c r="B629" s="2" t="s">
        <v>993</v>
      </c>
      <c r="C629" s="2" t="s">
        <v>1301</v>
      </c>
      <c r="D629" s="2" t="s">
        <v>1227</v>
      </c>
      <c r="E629">
        <v>57</v>
      </c>
      <c r="F629" s="2" t="s">
        <v>1228</v>
      </c>
      <c r="G629" s="2" t="s">
        <v>1249</v>
      </c>
      <c r="H629" s="2" t="s">
        <v>1222</v>
      </c>
      <c r="I629" s="1">
        <v>44469</v>
      </c>
      <c r="J629">
        <v>2021</v>
      </c>
      <c r="K629" s="2" t="s">
        <v>1302</v>
      </c>
      <c r="L629" s="4">
        <v>60042</v>
      </c>
      <c r="M629" s="2" t="s">
        <v>1250</v>
      </c>
      <c r="N629" s="2" t="s">
        <v>1231</v>
      </c>
      <c r="O629" s="2" t="s">
        <v>13</v>
      </c>
      <c r="P629" s="3">
        <v>42317</v>
      </c>
      <c r="Q629" s="4">
        <v>328821</v>
      </c>
      <c r="R629">
        <v>357</v>
      </c>
      <c r="S629" t="str">
        <f>IF(Linked[[#This Row],[Credit Score]]&lt;=579,"Poor",IF(Linked[[#This Row],[Credit Score]]&lt;=669,"Fair",IF(Linked[[#This Row],[Credit Score]]&lt;=739,"Good",IF(Linked[[#This Row],[Credit Score]]&lt;=799,"Very Good",IF(Linked[[#This Row],[Credit Score]]&gt;=800,"Excellent")))))</f>
        <v>Poor</v>
      </c>
      <c r="T629" s="4">
        <v>0</v>
      </c>
      <c r="U629" s="2"/>
      <c r="V629" s="2"/>
    </row>
    <row r="630" spans="1:22" x14ac:dyDescent="0.25">
      <c r="A630" s="2" t="s">
        <v>904</v>
      </c>
      <c r="B630" s="2" t="s">
        <v>994</v>
      </c>
      <c r="C630" s="2" t="s">
        <v>1911</v>
      </c>
      <c r="D630" s="2" t="s">
        <v>1227</v>
      </c>
      <c r="E630">
        <v>35</v>
      </c>
      <c r="F630" s="2" t="s">
        <v>1220</v>
      </c>
      <c r="G630" s="2" t="s">
        <v>1221</v>
      </c>
      <c r="H630" s="2" t="s">
        <v>1239</v>
      </c>
      <c r="I630" s="1">
        <v>42239</v>
      </c>
      <c r="J630">
        <v>2015</v>
      </c>
      <c r="K630" s="2" t="s">
        <v>1440</v>
      </c>
      <c r="L630" s="4">
        <v>71047</v>
      </c>
      <c r="M630" s="2" t="s">
        <v>1250</v>
      </c>
      <c r="N630" s="2" t="s">
        <v>1224</v>
      </c>
      <c r="O630" s="2" t="s">
        <v>25</v>
      </c>
      <c r="P630" s="3">
        <v>43072</v>
      </c>
      <c r="Q630" s="4">
        <v>135699</v>
      </c>
      <c r="R630">
        <v>736</v>
      </c>
      <c r="S630" t="str">
        <f>IF(Linked[[#This Row],[Credit Score]]&lt;=579,"Poor",IF(Linked[[#This Row],[Credit Score]]&lt;=669,"Fair",IF(Linked[[#This Row],[Credit Score]]&lt;=739,"Good",IF(Linked[[#This Row],[Credit Score]]&lt;=799,"Very Good",IF(Linked[[#This Row],[Credit Score]]&gt;=800,"Excellent")))))</f>
        <v>Good</v>
      </c>
      <c r="T630" s="4">
        <v>0</v>
      </c>
      <c r="U630" s="2"/>
      <c r="V630" s="2"/>
    </row>
    <row r="631" spans="1:22" x14ac:dyDescent="0.25">
      <c r="A631" s="2" t="s">
        <v>996</v>
      </c>
      <c r="B631" s="2" t="s">
        <v>995</v>
      </c>
      <c r="C631" s="2" t="s">
        <v>1445</v>
      </c>
      <c r="D631" s="2" t="s">
        <v>1227</v>
      </c>
      <c r="E631">
        <v>30</v>
      </c>
      <c r="F631" s="2" t="s">
        <v>1220</v>
      </c>
      <c r="G631" s="2" t="s">
        <v>1229</v>
      </c>
      <c r="H631" s="2" t="s">
        <v>1235</v>
      </c>
      <c r="I631" s="1">
        <v>43102</v>
      </c>
      <c r="J631">
        <v>2018</v>
      </c>
      <c r="K631" s="2" t="s">
        <v>1446</v>
      </c>
      <c r="L631" s="4">
        <v>104082</v>
      </c>
      <c r="M631" s="2" t="s">
        <v>1245</v>
      </c>
      <c r="N631" s="2" t="s">
        <v>1224</v>
      </c>
      <c r="O631" s="2" t="s">
        <v>10</v>
      </c>
      <c r="P631" s="3">
        <v>43246</v>
      </c>
      <c r="Q631" s="4">
        <v>449757</v>
      </c>
      <c r="R631">
        <v>410</v>
      </c>
      <c r="S631" t="str">
        <f>IF(Linked[[#This Row],[Credit Score]]&lt;=579,"Poor",IF(Linked[[#This Row],[Credit Score]]&lt;=669,"Fair",IF(Linked[[#This Row],[Credit Score]]&lt;=739,"Good",IF(Linked[[#This Row],[Credit Score]]&lt;=799,"Very Good",IF(Linked[[#This Row],[Credit Score]]&gt;=800,"Excellent")))))</f>
        <v>Poor</v>
      </c>
      <c r="T631" s="4">
        <v>0</v>
      </c>
      <c r="U631" s="2" t="s">
        <v>18</v>
      </c>
      <c r="V631" s="2"/>
    </row>
    <row r="632" spans="1:22" x14ac:dyDescent="0.25">
      <c r="A632" s="2" t="s">
        <v>20</v>
      </c>
      <c r="B632" s="2" t="s">
        <v>997</v>
      </c>
      <c r="C632" s="2" t="s">
        <v>2118</v>
      </c>
      <c r="D632" s="2" t="s">
        <v>1227</v>
      </c>
      <c r="E632">
        <v>28</v>
      </c>
      <c r="F632" s="2" t="s">
        <v>1242</v>
      </c>
      <c r="G632" s="2" t="s">
        <v>1229</v>
      </c>
      <c r="H632" s="2" t="s">
        <v>1259</v>
      </c>
      <c r="I632" s="1">
        <v>44902</v>
      </c>
      <c r="J632">
        <v>2022</v>
      </c>
      <c r="K632" s="2" t="s">
        <v>2119</v>
      </c>
      <c r="L632" s="4">
        <v>39975</v>
      </c>
      <c r="M632" s="2" t="s">
        <v>1250</v>
      </c>
      <c r="N632" s="2" t="s">
        <v>1231</v>
      </c>
      <c r="O632" s="2" t="s">
        <v>25</v>
      </c>
      <c r="P632" s="3">
        <v>45208</v>
      </c>
      <c r="Q632" s="4">
        <v>243877</v>
      </c>
      <c r="R632">
        <v>428</v>
      </c>
      <c r="S632" t="str">
        <f>IF(Linked[[#This Row],[Credit Score]]&lt;=579,"Poor",IF(Linked[[#This Row],[Credit Score]]&lt;=669,"Fair",IF(Linked[[#This Row],[Credit Score]]&lt;=739,"Good",IF(Linked[[#This Row],[Credit Score]]&lt;=799,"Very Good",IF(Linked[[#This Row],[Credit Score]]&gt;=800,"Excellent")))))</f>
        <v>Poor</v>
      </c>
      <c r="T632" s="4">
        <v>290291</v>
      </c>
      <c r="U632" s="2"/>
      <c r="V632" s="2"/>
    </row>
    <row r="633" spans="1:22" x14ac:dyDescent="0.25">
      <c r="A633" s="2" t="s">
        <v>473</v>
      </c>
      <c r="B633" s="2" t="s">
        <v>998</v>
      </c>
      <c r="C633" s="2" t="s">
        <v>1746</v>
      </c>
      <c r="D633" s="2" t="s">
        <v>1227</v>
      </c>
      <c r="E633">
        <v>74</v>
      </c>
      <c r="F633" s="2" t="s">
        <v>1263</v>
      </c>
      <c r="G633" s="2" t="s">
        <v>1229</v>
      </c>
      <c r="H633" s="2" t="s">
        <v>1222</v>
      </c>
      <c r="I633" s="1">
        <v>43335</v>
      </c>
      <c r="J633">
        <v>2018</v>
      </c>
      <c r="K633" s="2" t="s">
        <v>1747</v>
      </c>
      <c r="L633" s="4">
        <v>102970</v>
      </c>
      <c r="M633" s="2" t="s">
        <v>1245</v>
      </c>
      <c r="N633" s="2" t="s">
        <v>1231</v>
      </c>
      <c r="O633" s="2" t="s">
        <v>13</v>
      </c>
      <c r="P633" s="3">
        <v>42823</v>
      </c>
      <c r="Q633" s="4">
        <v>199298</v>
      </c>
      <c r="R633">
        <v>625</v>
      </c>
      <c r="S633" t="str">
        <f>IF(Linked[[#This Row],[Credit Score]]&lt;=579,"Poor",IF(Linked[[#This Row],[Credit Score]]&lt;=669,"Fair",IF(Linked[[#This Row],[Credit Score]]&lt;=739,"Good",IF(Linked[[#This Row],[Credit Score]]&lt;=799,"Very Good",IF(Linked[[#This Row],[Credit Score]]&gt;=800,"Excellent")))))</f>
        <v>Fair</v>
      </c>
      <c r="T633" s="4">
        <v>0</v>
      </c>
      <c r="U633" s="2" t="s">
        <v>18</v>
      </c>
      <c r="V633" s="2"/>
    </row>
    <row r="634" spans="1:22" x14ac:dyDescent="0.25">
      <c r="A634" s="2" t="s">
        <v>285</v>
      </c>
      <c r="B634" s="2" t="s">
        <v>999</v>
      </c>
      <c r="C634" s="2" t="s">
        <v>1289</v>
      </c>
      <c r="D634" s="2" t="s">
        <v>1227</v>
      </c>
      <c r="E634">
        <v>44</v>
      </c>
      <c r="F634" s="2" t="s">
        <v>1220</v>
      </c>
      <c r="G634" s="2" t="s">
        <v>1229</v>
      </c>
      <c r="H634" s="2" t="s">
        <v>1230</v>
      </c>
      <c r="I634" s="1">
        <v>45414</v>
      </c>
      <c r="J634">
        <v>2024</v>
      </c>
      <c r="K634" s="2" t="s">
        <v>1290</v>
      </c>
      <c r="L634" s="4">
        <v>189269</v>
      </c>
      <c r="M634" s="2" t="s">
        <v>1223</v>
      </c>
      <c r="N634" s="2" t="s">
        <v>1224</v>
      </c>
      <c r="O634" s="2" t="s">
        <v>10</v>
      </c>
      <c r="P634" s="3">
        <v>43712</v>
      </c>
      <c r="Q634" s="4">
        <v>498843</v>
      </c>
      <c r="R634">
        <v>307</v>
      </c>
      <c r="S634" t="str">
        <f>IF(Linked[[#This Row],[Credit Score]]&lt;=579,"Poor",IF(Linked[[#This Row],[Credit Score]]&lt;=669,"Fair",IF(Linked[[#This Row],[Credit Score]]&lt;=739,"Good",IF(Linked[[#This Row],[Credit Score]]&lt;=799,"Very Good",IF(Linked[[#This Row],[Credit Score]]&gt;=800,"Excellent")))))</f>
        <v>Poor</v>
      </c>
      <c r="T634" s="4">
        <v>0</v>
      </c>
      <c r="U634" s="2"/>
      <c r="V634" s="2"/>
    </row>
    <row r="635" spans="1:22" x14ac:dyDescent="0.25">
      <c r="A635" s="2" t="s">
        <v>535</v>
      </c>
      <c r="B635" s="2" t="s">
        <v>1000</v>
      </c>
      <c r="C635" s="2" t="s">
        <v>1909</v>
      </c>
      <c r="D635" s="2" t="s">
        <v>1227</v>
      </c>
      <c r="E635">
        <v>28</v>
      </c>
      <c r="F635" s="2" t="s">
        <v>1242</v>
      </c>
      <c r="G635" s="2" t="s">
        <v>1243</v>
      </c>
      <c r="H635" s="2" t="s">
        <v>1235</v>
      </c>
      <c r="I635" s="1">
        <v>42293</v>
      </c>
      <c r="J635">
        <v>2015</v>
      </c>
      <c r="K635" s="2" t="s">
        <v>1910</v>
      </c>
      <c r="L635" s="4">
        <v>82768</v>
      </c>
      <c r="M635" s="2" t="s">
        <v>1245</v>
      </c>
      <c r="N635" s="2" t="s">
        <v>1224</v>
      </c>
      <c r="O635" s="2" t="s">
        <v>10</v>
      </c>
      <c r="P635" s="3">
        <v>42718</v>
      </c>
      <c r="Q635" s="4">
        <v>396471</v>
      </c>
      <c r="R635">
        <v>328</v>
      </c>
      <c r="S635" t="str">
        <f>IF(Linked[[#This Row],[Credit Score]]&lt;=579,"Poor",IF(Linked[[#This Row],[Credit Score]]&lt;=669,"Fair",IF(Linked[[#This Row],[Credit Score]]&lt;=739,"Good",IF(Linked[[#This Row],[Credit Score]]&lt;=799,"Very Good",IF(Linked[[#This Row],[Credit Score]]&gt;=800,"Excellent")))))</f>
        <v>Poor</v>
      </c>
      <c r="T635" s="4">
        <v>249172</v>
      </c>
      <c r="U635" s="2"/>
      <c r="V635" s="2"/>
    </row>
    <row r="636" spans="1:22" x14ac:dyDescent="0.25">
      <c r="A636" s="2" t="s">
        <v>836</v>
      </c>
      <c r="B636" s="2" t="s">
        <v>1001</v>
      </c>
      <c r="C636" s="2" t="s">
        <v>1327</v>
      </c>
      <c r="D636" s="2" t="s">
        <v>1219</v>
      </c>
      <c r="E636">
        <v>67</v>
      </c>
      <c r="F636" s="2" t="s">
        <v>1263</v>
      </c>
      <c r="G636" s="2" t="s">
        <v>1229</v>
      </c>
      <c r="H636" s="2" t="s">
        <v>1244</v>
      </c>
      <c r="I636" s="1">
        <v>44507</v>
      </c>
      <c r="J636">
        <v>2021</v>
      </c>
      <c r="K636" s="2" t="s">
        <v>1328</v>
      </c>
      <c r="L636" s="4">
        <v>46172</v>
      </c>
      <c r="M636" s="2" t="s">
        <v>1250</v>
      </c>
      <c r="N636" s="2" t="s">
        <v>1231</v>
      </c>
      <c r="O636" s="2" t="s">
        <v>25</v>
      </c>
      <c r="P636" s="3">
        <v>43705</v>
      </c>
      <c r="Q636" s="4">
        <v>188505</v>
      </c>
      <c r="R636">
        <v>411</v>
      </c>
      <c r="S636" t="str">
        <f>IF(Linked[[#This Row],[Credit Score]]&lt;=579,"Poor",IF(Linked[[#This Row],[Credit Score]]&lt;=669,"Fair",IF(Linked[[#This Row],[Credit Score]]&lt;=739,"Good",IF(Linked[[#This Row],[Credit Score]]&lt;=799,"Very Good",IF(Linked[[#This Row],[Credit Score]]&gt;=800,"Excellent")))))</f>
        <v>Poor</v>
      </c>
      <c r="T636" s="4">
        <v>0</v>
      </c>
      <c r="U636" s="2"/>
      <c r="V636" s="2"/>
    </row>
    <row r="637" spans="1:22" x14ac:dyDescent="0.25">
      <c r="A637" s="2" t="s">
        <v>956</v>
      </c>
      <c r="B637" s="2" t="s">
        <v>1002</v>
      </c>
      <c r="C637" s="2" t="s">
        <v>1839</v>
      </c>
      <c r="D637" s="2" t="s">
        <v>1227</v>
      </c>
      <c r="E637">
        <v>45</v>
      </c>
      <c r="F637" s="2" t="s">
        <v>1228</v>
      </c>
      <c r="G637" s="2" t="s">
        <v>1249</v>
      </c>
      <c r="H637" s="2" t="s">
        <v>1244</v>
      </c>
      <c r="I637" s="1">
        <v>44122</v>
      </c>
      <c r="J637">
        <v>2020</v>
      </c>
      <c r="K637" s="2" t="s">
        <v>1840</v>
      </c>
      <c r="L637" s="4">
        <v>184053</v>
      </c>
      <c r="M637" s="2" t="s">
        <v>1223</v>
      </c>
      <c r="N637" s="2" t="s">
        <v>1224</v>
      </c>
      <c r="O637" s="2" t="s">
        <v>10</v>
      </c>
      <c r="P637" s="3">
        <v>45744</v>
      </c>
      <c r="Q637" s="4">
        <v>136285</v>
      </c>
      <c r="R637">
        <v>430</v>
      </c>
      <c r="S637" t="str">
        <f>IF(Linked[[#This Row],[Credit Score]]&lt;=579,"Poor",IF(Linked[[#This Row],[Credit Score]]&lt;=669,"Fair",IF(Linked[[#This Row],[Credit Score]]&lt;=739,"Good",IF(Linked[[#This Row],[Credit Score]]&lt;=799,"Very Good",IF(Linked[[#This Row],[Credit Score]]&gt;=800,"Excellent")))))</f>
        <v>Poor</v>
      </c>
      <c r="T637" s="4">
        <v>95925</v>
      </c>
      <c r="U637" s="2" t="s">
        <v>18</v>
      </c>
      <c r="V637" s="2"/>
    </row>
    <row r="638" spans="1:22" x14ac:dyDescent="0.25">
      <c r="A638" s="2" t="s">
        <v>1004</v>
      </c>
      <c r="B638" s="2" t="s">
        <v>1003</v>
      </c>
      <c r="C638" s="2" t="s">
        <v>1582</v>
      </c>
      <c r="D638" s="2" t="s">
        <v>1219</v>
      </c>
      <c r="E638">
        <v>54</v>
      </c>
      <c r="F638" s="2" t="s">
        <v>1228</v>
      </c>
      <c r="G638" s="2" t="s">
        <v>1243</v>
      </c>
      <c r="H638" s="2" t="s">
        <v>1239</v>
      </c>
      <c r="I638" s="1">
        <v>43172</v>
      </c>
      <c r="J638">
        <v>2018</v>
      </c>
      <c r="K638" s="2" t="s">
        <v>1583</v>
      </c>
      <c r="L638" s="4">
        <v>135953</v>
      </c>
      <c r="M638" s="2" t="s">
        <v>1245</v>
      </c>
      <c r="N638" s="2" t="s">
        <v>1231</v>
      </c>
      <c r="O638" s="2" t="s">
        <v>10</v>
      </c>
      <c r="P638" s="3">
        <v>45586</v>
      </c>
      <c r="Q638" s="4">
        <v>102412</v>
      </c>
      <c r="R638">
        <v>487</v>
      </c>
      <c r="S638" t="str">
        <f>IF(Linked[[#This Row],[Credit Score]]&lt;=579,"Poor",IF(Linked[[#This Row],[Credit Score]]&lt;=669,"Fair",IF(Linked[[#This Row],[Credit Score]]&lt;=739,"Good",IF(Linked[[#This Row],[Credit Score]]&lt;=799,"Very Good",IF(Linked[[#This Row],[Credit Score]]&gt;=800,"Excellent")))))</f>
        <v>Poor</v>
      </c>
      <c r="T638" s="4">
        <v>0</v>
      </c>
      <c r="U638" s="2" t="s">
        <v>39</v>
      </c>
      <c r="V638" s="2"/>
    </row>
    <row r="639" spans="1:22" x14ac:dyDescent="0.25">
      <c r="A639" s="2" t="s">
        <v>1006</v>
      </c>
      <c r="B639" s="2" t="s">
        <v>1005</v>
      </c>
      <c r="C639" s="2" t="s">
        <v>1629</v>
      </c>
      <c r="D639" s="2" t="s">
        <v>1219</v>
      </c>
      <c r="E639">
        <v>66</v>
      </c>
      <c r="F639" s="2" t="s">
        <v>1263</v>
      </c>
      <c r="G639" s="2" t="s">
        <v>1229</v>
      </c>
      <c r="H639" s="2" t="s">
        <v>1222</v>
      </c>
      <c r="I639" s="1">
        <v>42803</v>
      </c>
      <c r="J639">
        <v>2017</v>
      </c>
      <c r="K639" s="2" t="s">
        <v>1630</v>
      </c>
      <c r="L639" s="4">
        <v>27813</v>
      </c>
      <c r="M639" s="2" t="s">
        <v>1250</v>
      </c>
      <c r="N639" s="2" t="s">
        <v>1236</v>
      </c>
      <c r="O639" s="2" t="s">
        <v>10</v>
      </c>
      <c r="P639" s="3">
        <v>43177</v>
      </c>
      <c r="Q639" s="4">
        <v>19404</v>
      </c>
      <c r="R639">
        <v>774</v>
      </c>
      <c r="S639" t="str">
        <f>IF(Linked[[#This Row],[Credit Score]]&lt;=579,"Poor",IF(Linked[[#This Row],[Credit Score]]&lt;=669,"Fair",IF(Linked[[#This Row],[Credit Score]]&lt;=739,"Good",IF(Linked[[#This Row],[Credit Score]]&lt;=799,"Very Good",IF(Linked[[#This Row],[Credit Score]]&gt;=800,"Excellent")))))</f>
        <v>Very Good</v>
      </c>
      <c r="T639" s="4">
        <v>0</v>
      </c>
      <c r="U639" s="2"/>
      <c r="V639" s="2"/>
    </row>
    <row r="640" spans="1:22" x14ac:dyDescent="0.25">
      <c r="A640" s="2" t="s">
        <v>1008</v>
      </c>
      <c r="B640" s="2" t="s">
        <v>1007</v>
      </c>
      <c r="C640" s="2" t="s">
        <v>1528</v>
      </c>
      <c r="D640" s="2" t="s">
        <v>1219</v>
      </c>
      <c r="E640">
        <v>33</v>
      </c>
      <c r="F640" s="2" t="s">
        <v>1220</v>
      </c>
      <c r="G640" s="2" t="s">
        <v>1221</v>
      </c>
      <c r="H640" s="2" t="s">
        <v>1230</v>
      </c>
      <c r="I640" s="1">
        <v>43143</v>
      </c>
      <c r="J640">
        <v>2018</v>
      </c>
      <c r="K640" s="2" t="s">
        <v>1529</v>
      </c>
      <c r="L640" s="4">
        <v>111659</v>
      </c>
      <c r="M640" s="2" t="s">
        <v>1245</v>
      </c>
      <c r="N640" s="2" t="s">
        <v>1224</v>
      </c>
      <c r="O640" s="2" t="s">
        <v>13</v>
      </c>
      <c r="P640" s="3">
        <v>42423</v>
      </c>
      <c r="Q640" s="4">
        <v>116545</v>
      </c>
      <c r="R640">
        <v>663</v>
      </c>
      <c r="S640" t="str">
        <f>IF(Linked[[#This Row],[Credit Score]]&lt;=579,"Poor",IF(Linked[[#This Row],[Credit Score]]&lt;=669,"Fair",IF(Linked[[#This Row],[Credit Score]]&lt;=739,"Good",IF(Linked[[#This Row],[Credit Score]]&lt;=799,"Very Good",IF(Linked[[#This Row],[Credit Score]]&gt;=800,"Excellent")))))</f>
        <v>Fair</v>
      </c>
      <c r="T640" s="4">
        <v>0</v>
      </c>
      <c r="U640" s="2"/>
      <c r="V640" s="2"/>
    </row>
    <row r="641" spans="1:22" x14ac:dyDescent="0.25">
      <c r="A641" s="2" t="s">
        <v>1010</v>
      </c>
      <c r="B641" s="2" t="s">
        <v>1009</v>
      </c>
      <c r="C641" s="2" t="s">
        <v>1916</v>
      </c>
      <c r="D641" s="2" t="s">
        <v>1227</v>
      </c>
      <c r="E641">
        <v>26</v>
      </c>
      <c r="F641" s="2" t="s">
        <v>1242</v>
      </c>
      <c r="G641" s="2" t="s">
        <v>1221</v>
      </c>
      <c r="H641" s="2" t="s">
        <v>1222</v>
      </c>
      <c r="I641" s="1">
        <v>42861</v>
      </c>
      <c r="J641">
        <v>2017</v>
      </c>
      <c r="K641" s="2" t="s">
        <v>1917</v>
      </c>
      <c r="L641" s="4">
        <v>152997</v>
      </c>
      <c r="M641" s="2" t="s">
        <v>1223</v>
      </c>
      <c r="N641" s="2" t="s">
        <v>1231</v>
      </c>
      <c r="O641" s="2" t="s">
        <v>10</v>
      </c>
      <c r="P641" s="3">
        <v>42607</v>
      </c>
      <c r="Q641" s="4">
        <v>418596</v>
      </c>
      <c r="R641">
        <v>503</v>
      </c>
      <c r="S641" t="str">
        <f>IF(Linked[[#This Row],[Credit Score]]&lt;=579,"Poor",IF(Linked[[#This Row],[Credit Score]]&lt;=669,"Fair",IF(Linked[[#This Row],[Credit Score]]&lt;=739,"Good",IF(Linked[[#This Row],[Credit Score]]&lt;=799,"Very Good",IF(Linked[[#This Row],[Credit Score]]&gt;=800,"Excellent")))))</f>
        <v>Poor</v>
      </c>
      <c r="T641" s="4">
        <v>0</v>
      </c>
      <c r="U641" s="2"/>
      <c r="V641" s="2"/>
    </row>
    <row r="642" spans="1:22" x14ac:dyDescent="0.25">
      <c r="A642" s="2" t="s">
        <v>1012</v>
      </c>
      <c r="B642" s="2" t="s">
        <v>1011</v>
      </c>
      <c r="C642" s="2" t="s">
        <v>2213</v>
      </c>
      <c r="D642" s="2" t="s">
        <v>1219</v>
      </c>
      <c r="E642">
        <v>72</v>
      </c>
      <c r="F642" s="2" t="s">
        <v>1263</v>
      </c>
      <c r="G642" s="2" t="s">
        <v>1221</v>
      </c>
      <c r="H642" s="2" t="s">
        <v>1244</v>
      </c>
      <c r="I642" s="1">
        <v>44557</v>
      </c>
      <c r="J642">
        <v>2021</v>
      </c>
      <c r="K642" s="2" t="s">
        <v>2214</v>
      </c>
      <c r="L642" s="4">
        <v>29847</v>
      </c>
      <c r="M642" s="2" t="s">
        <v>1250</v>
      </c>
      <c r="N642" s="2" t="s">
        <v>1231</v>
      </c>
      <c r="O642" s="2" t="s">
        <v>13</v>
      </c>
      <c r="P642" s="3">
        <v>43635</v>
      </c>
      <c r="Q642" s="4">
        <v>222128</v>
      </c>
      <c r="R642">
        <v>511</v>
      </c>
      <c r="S642" t="str">
        <f>IF(Linked[[#This Row],[Credit Score]]&lt;=579,"Poor",IF(Linked[[#This Row],[Credit Score]]&lt;=669,"Fair",IF(Linked[[#This Row],[Credit Score]]&lt;=739,"Good",IF(Linked[[#This Row],[Credit Score]]&lt;=799,"Very Good",IF(Linked[[#This Row],[Credit Score]]&gt;=800,"Excellent")))))</f>
        <v>Poor</v>
      </c>
      <c r="T642" s="4">
        <v>0</v>
      </c>
      <c r="U642" s="2"/>
      <c r="V642" s="2"/>
    </row>
    <row r="643" spans="1:22" x14ac:dyDescent="0.25">
      <c r="A643" s="2" t="s">
        <v>1014</v>
      </c>
      <c r="B643" s="2" t="s">
        <v>1013</v>
      </c>
      <c r="C643" s="2" t="s">
        <v>1992</v>
      </c>
      <c r="D643" s="2" t="s">
        <v>1227</v>
      </c>
      <c r="E643">
        <v>44</v>
      </c>
      <c r="F643" s="2" t="s">
        <v>1220</v>
      </c>
      <c r="G643" s="2" t="s">
        <v>1229</v>
      </c>
      <c r="H643" s="2" t="s">
        <v>1239</v>
      </c>
      <c r="I643" s="1">
        <v>43485</v>
      </c>
      <c r="J643">
        <v>2019</v>
      </c>
      <c r="K643" s="2" t="s">
        <v>1993</v>
      </c>
      <c r="L643" s="4">
        <v>171094</v>
      </c>
      <c r="M643" s="2" t="s">
        <v>1223</v>
      </c>
      <c r="N643" s="2" t="s">
        <v>1231</v>
      </c>
      <c r="O643" s="2" t="s">
        <v>32</v>
      </c>
      <c r="P643" s="3">
        <v>45766</v>
      </c>
      <c r="Q643" s="4">
        <v>150245</v>
      </c>
      <c r="R643">
        <v>575</v>
      </c>
      <c r="S643" t="str">
        <f>IF(Linked[[#This Row],[Credit Score]]&lt;=579,"Poor",IF(Linked[[#This Row],[Credit Score]]&lt;=669,"Fair",IF(Linked[[#This Row],[Credit Score]]&lt;=739,"Good",IF(Linked[[#This Row],[Credit Score]]&lt;=799,"Very Good",IF(Linked[[#This Row],[Credit Score]]&gt;=800,"Excellent")))))</f>
        <v>Poor</v>
      </c>
      <c r="T643" s="4">
        <v>0</v>
      </c>
      <c r="U643" s="2"/>
      <c r="V643" s="2"/>
    </row>
    <row r="644" spans="1:22" x14ac:dyDescent="0.25">
      <c r="A644" s="2" t="s">
        <v>380</v>
      </c>
      <c r="B644" s="2" t="s">
        <v>1015</v>
      </c>
      <c r="C644" s="2" t="s">
        <v>1306</v>
      </c>
      <c r="D644" s="2" t="s">
        <v>1227</v>
      </c>
      <c r="E644">
        <v>26</v>
      </c>
      <c r="F644" s="2" t="s">
        <v>1242</v>
      </c>
      <c r="G644" s="2" t="s">
        <v>1221</v>
      </c>
      <c r="H644" s="2" t="s">
        <v>1244</v>
      </c>
      <c r="I644" s="1">
        <v>43698</v>
      </c>
      <c r="J644">
        <v>2019</v>
      </c>
      <c r="K644" s="2" t="s">
        <v>1307</v>
      </c>
      <c r="L644" s="4">
        <v>136953</v>
      </c>
      <c r="M644" s="2" t="s">
        <v>1245</v>
      </c>
      <c r="N644" s="2" t="s">
        <v>1224</v>
      </c>
      <c r="O644" s="2" t="s">
        <v>25</v>
      </c>
      <c r="P644" s="3">
        <v>45731</v>
      </c>
      <c r="Q644" s="4">
        <v>184099</v>
      </c>
      <c r="R644">
        <v>372</v>
      </c>
      <c r="S644" t="str">
        <f>IF(Linked[[#This Row],[Credit Score]]&lt;=579,"Poor",IF(Linked[[#This Row],[Credit Score]]&lt;=669,"Fair",IF(Linked[[#This Row],[Credit Score]]&lt;=739,"Good",IF(Linked[[#This Row],[Credit Score]]&lt;=799,"Very Good",IF(Linked[[#This Row],[Credit Score]]&gt;=800,"Excellent")))))</f>
        <v>Poor</v>
      </c>
      <c r="T644" s="4">
        <v>0</v>
      </c>
      <c r="U644" s="2" t="s">
        <v>59</v>
      </c>
      <c r="V644" s="2"/>
    </row>
    <row r="645" spans="1:22" x14ac:dyDescent="0.25">
      <c r="A645" s="2" t="s">
        <v>90</v>
      </c>
      <c r="B645" s="2" t="s">
        <v>1016</v>
      </c>
      <c r="C645" s="2" t="s">
        <v>1807</v>
      </c>
      <c r="D645" s="2" t="s">
        <v>1219</v>
      </c>
      <c r="E645">
        <v>34</v>
      </c>
      <c r="F645" s="2" t="s">
        <v>1220</v>
      </c>
      <c r="G645" s="2" t="s">
        <v>1249</v>
      </c>
      <c r="H645" s="2" t="s">
        <v>1235</v>
      </c>
      <c r="I645" s="1">
        <v>44588</v>
      </c>
      <c r="J645">
        <v>2022</v>
      </c>
      <c r="K645" s="2" t="s">
        <v>1808</v>
      </c>
      <c r="L645" s="4">
        <v>105708</v>
      </c>
      <c r="M645" s="2" t="s">
        <v>1245</v>
      </c>
      <c r="N645" s="2" t="s">
        <v>1224</v>
      </c>
      <c r="O645" s="2" t="s">
        <v>32</v>
      </c>
      <c r="P645" s="3">
        <v>44356</v>
      </c>
      <c r="Q645" s="4">
        <v>286133</v>
      </c>
      <c r="R645">
        <v>542</v>
      </c>
      <c r="S645" t="str">
        <f>IF(Linked[[#This Row],[Credit Score]]&lt;=579,"Poor",IF(Linked[[#This Row],[Credit Score]]&lt;=669,"Fair",IF(Linked[[#This Row],[Credit Score]]&lt;=739,"Good",IF(Linked[[#This Row],[Credit Score]]&lt;=799,"Very Good",IF(Linked[[#This Row],[Credit Score]]&gt;=800,"Excellent")))))</f>
        <v>Poor</v>
      </c>
      <c r="T645" s="4">
        <v>0</v>
      </c>
      <c r="U645" s="2"/>
      <c r="V645" s="2"/>
    </row>
    <row r="646" spans="1:22" x14ac:dyDescent="0.25">
      <c r="A646" s="2" t="s">
        <v>20</v>
      </c>
      <c r="B646" s="2" t="s">
        <v>1017</v>
      </c>
      <c r="C646" s="2" t="s">
        <v>2118</v>
      </c>
      <c r="D646" s="2" t="s">
        <v>1227</v>
      </c>
      <c r="E646">
        <v>28</v>
      </c>
      <c r="F646" s="2" t="s">
        <v>1242</v>
      </c>
      <c r="G646" s="2" t="s">
        <v>1229</v>
      </c>
      <c r="H646" s="2" t="s">
        <v>1259</v>
      </c>
      <c r="I646" s="1">
        <v>44902</v>
      </c>
      <c r="J646">
        <v>2022</v>
      </c>
      <c r="K646" s="2" t="s">
        <v>2119</v>
      </c>
      <c r="L646" s="4">
        <v>39975</v>
      </c>
      <c r="M646" s="2" t="s">
        <v>1250</v>
      </c>
      <c r="N646" s="2" t="s">
        <v>1231</v>
      </c>
      <c r="O646" s="2" t="s">
        <v>13</v>
      </c>
      <c r="P646" s="3">
        <v>43109</v>
      </c>
      <c r="Q646" s="4">
        <v>261657</v>
      </c>
      <c r="R646">
        <v>401</v>
      </c>
      <c r="S646" t="str">
        <f>IF(Linked[[#This Row],[Credit Score]]&lt;=579,"Poor",IF(Linked[[#This Row],[Credit Score]]&lt;=669,"Fair",IF(Linked[[#This Row],[Credit Score]]&lt;=739,"Good",IF(Linked[[#This Row],[Credit Score]]&lt;=799,"Very Good",IF(Linked[[#This Row],[Credit Score]]&gt;=800,"Excellent")))))</f>
        <v>Poor</v>
      </c>
      <c r="T646" s="4">
        <v>0</v>
      </c>
      <c r="U646" s="2"/>
      <c r="V646" s="2"/>
    </row>
    <row r="647" spans="1:22" x14ac:dyDescent="0.25">
      <c r="A647" s="2" t="s">
        <v>27</v>
      </c>
      <c r="B647" s="2" t="s">
        <v>1018</v>
      </c>
      <c r="C647" s="2" t="s">
        <v>1408</v>
      </c>
      <c r="D647" s="2" t="s">
        <v>1227</v>
      </c>
      <c r="E647">
        <v>70</v>
      </c>
      <c r="F647" s="2" t="s">
        <v>1263</v>
      </c>
      <c r="G647" s="2" t="s">
        <v>1243</v>
      </c>
      <c r="H647" s="2" t="s">
        <v>1230</v>
      </c>
      <c r="I647" s="1">
        <v>42917</v>
      </c>
      <c r="J647">
        <v>2017</v>
      </c>
      <c r="K647" s="2" t="s">
        <v>1409</v>
      </c>
      <c r="L647" s="4">
        <v>172826</v>
      </c>
      <c r="M647" s="2" t="s">
        <v>1223</v>
      </c>
      <c r="N647" s="2" t="s">
        <v>1224</v>
      </c>
      <c r="O647" s="2" t="s">
        <v>25</v>
      </c>
      <c r="P647" s="3">
        <v>45406</v>
      </c>
      <c r="Q647" s="4">
        <v>370250</v>
      </c>
      <c r="R647">
        <v>470</v>
      </c>
      <c r="S647" t="str">
        <f>IF(Linked[[#This Row],[Credit Score]]&lt;=579,"Poor",IF(Linked[[#This Row],[Credit Score]]&lt;=669,"Fair",IF(Linked[[#This Row],[Credit Score]]&lt;=739,"Good",IF(Linked[[#This Row],[Credit Score]]&lt;=799,"Very Good",IF(Linked[[#This Row],[Credit Score]]&gt;=800,"Excellent")))))</f>
        <v>Poor</v>
      </c>
      <c r="T647" s="4">
        <v>0</v>
      </c>
      <c r="U647" s="2"/>
      <c r="V647" s="2"/>
    </row>
    <row r="648" spans="1:22" x14ac:dyDescent="0.25">
      <c r="A648" s="2" t="s">
        <v>1020</v>
      </c>
      <c r="B648" s="2" t="s">
        <v>1019</v>
      </c>
      <c r="C648" s="2" t="s">
        <v>2160</v>
      </c>
      <c r="D648" s="2" t="s">
        <v>1219</v>
      </c>
      <c r="E648">
        <v>71</v>
      </c>
      <c r="F648" s="2" t="s">
        <v>1263</v>
      </c>
      <c r="G648" s="2" t="s">
        <v>1249</v>
      </c>
      <c r="H648" s="2" t="s">
        <v>1259</v>
      </c>
      <c r="I648" s="1">
        <v>42971</v>
      </c>
      <c r="J648">
        <v>2017</v>
      </c>
      <c r="K648" s="2" t="s">
        <v>1680</v>
      </c>
      <c r="L648" s="4">
        <v>164832</v>
      </c>
      <c r="M648" s="2" t="s">
        <v>1223</v>
      </c>
      <c r="N648" s="2" t="s">
        <v>1224</v>
      </c>
      <c r="O648" s="2" t="s">
        <v>25</v>
      </c>
      <c r="P648" s="3">
        <v>44592</v>
      </c>
      <c r="Q648" s="4">
        <v>286663</v>
      </c>
      <c r="R648">
        <v>487</v>
      </c>
      <c r="S648" t="str">
        <f>IF(Linked[[#This Row],[Credit Score]]&lt;=579,"Poor",IF(Linked[[#This Row],[Credit Score]]&lt;=669,"Fair",IF(Linked[[#This Row],[Credit Score]]&lt;=739,"Good",IF(Linked[[#This Row],[Credit Score]]&lt;=799,"Very Good",IF(Linked[[#This Row],[Credit Score]]&gt;=800,"Excellent")))))</f>
        <v>Poor</v>
      </c>
      <c r="T648" s="4">
        <v>0</v>
      </c>
      <c r="U648" s="2" t="s">
        <v>39</v>
      </c>
      <c r="V648" s="2"/>
    </row>
    <row r="649" spans="1:22" x14ac:dyDescent="0.25">
      <c r="A649" s="2" t="s">
        <v>782</v>
      </c>
      <c r="B649" s="2" t="s">
        <v>1021</v>
      </c>
      <c r="C649" s="2" t="s">
        <v>1390</v>
      </c>
      <c r="D649" s="2" t="s">
        <v>1227</v>
      </c>
      <c r="E649">
        <v>69</v>
      </c>
      <c r="F649" s="2" t="s">
        <v>1263</v>
      </c>
      <c r="G649" s="2" t="s">
        <v>1249</v>
      </c>
      <c r="H649" s="2" t="s">
        <v>1235</v>
      </c>
      <c r="I649" s="1">
        <v>44996</v>
      </c>
      <c r="J649">
        <v>2023</v>
      </c>
      <c r="K649" s="2" t="s">
        <v>1391</v>
      </c>
      <c r="L649" s="4">
        <v>147015</v>
      </c>
      <c r="M649" s="2" t="s">
        <v>1223</v>
      </c>
      <c r="N649" s="2" t="s">
        <v>1224</v>
      </c>
      <c r="O649" s="2" t="s">
        <v>10</v>
      </c>
      <c r="P649" s="3">
        <v>45189</v>
      </c>
      <c r="Q649" s="4">
        <v>256875</v>
      </c>
      <c r="R649">
        <v>740</v>
      </c>
      <c r="S649" t="str">
        <f>IF(Linked[[#This Row],[Credit Score]]&lt;=579,"Poor",IF(Linked[[#This Row],[Credit Score]]&lt;=669,"Fair",IF(Linked[[#This Row],[Credit Score]]&lt;=739,"Good",IF(Linked[[#This Row],[Credit Score]]&lt;=799,"Very Good",IF(Linked[[#This Row],[Credit Score]]&gt;=800,"Excellent")))))</f>
        <v>Very Good</v>
      </c>
      <c r="T649" s="4">
        <v>0</v>
      </c>
      <c r="U649" s="2"/>
      <c r="V649" s="2"/>
    </row>
    <row r="650" spans="1:22" x14ac:dyDescent="0.25">
      <c r="A650" s="2" t="s">
        <v>238</v>
      </c>
      <c r="B650" s="2" t="s">
        <v>1022</v>
      </c>
      <c r="C650" s="2" t="s">
        <v>1980</v>
      </c>
      <c r="D650" s="2" t="s">
        <v>1227</v>
      </c>
      <c r="E650">
        <v>23</v>
      </c>
      <c r="F650" s="2" t="s">
        <v>1242</v>
      </c>
      <c r="G650" s="2" t="s">
        <v>1221</v>
      </c>
      <c r="H650" s="2" t="s">
        <v>1239</v>
      </c>
      <c r="I650" s="1">
        <v>45017</v>
      </c>
      <c r="J650">
        <v>2023</v>
      </c>
      <c r="K650" s="2" t="s">
        <v>1981</v>
      </c>
      <c r="L650" s="4">
        <v>130091</v>
      </c>
      <c r="M650" s="2" t="s">
        <v>1245</v>
      </c>
      <c r="N650" s="2" t="s">
        <v>1231</v>
      </c>
      <c r="O650" s="2" t="s">
        <v>10</v>
      </c>
      <c r="P650" s="3">
        <v>44044</v>
      </c>
      <c r="Q650" s="4">
        <v>284583</v>
      </c>
      <c r="R650">
        <v>385</v>
      </c>
      <c r="S650" t="str">
        <f>IF(Linked[[#This Row],[Credit Score]]&lt;=579,"Poor",IF(Linked[[#This Row],[Credit Score]]&lt;=669,"Fair",IF(Linked[[#This Row],[Credit Score]]&lt;=739,"Good",IF(Linked[[#This Row],[Credit Score]]&lt;=799,"Very Good",IF(Linked[[#This Row],[Credit Score]]&gt;=800,"Excellent")))))</f>
        <v>Poor</v>
      </c>
      <c r="T650" s="4">
        <v>270976</v>
      </c>
      <c r="U650" s="2"/>
      <c r="V650" s="2"/>
    </row>
    <row r="651" spans="1:22" x14ac:dyDescent="0.25">
      <c r="A651" s="2" t="s">
        <v>320</v>
      </c>
      <c r="B651" s="2" t="s">
        <v>1023</v>
      </c>
      <c r="C651" s="2" t="s">
        <v>2292</v>
      </c>
      <c r="D651" s="2" t="s">
        <v>1219</v>
      </c>
      <c r="E651">
        <v>54</v>
      </c>
      <c r="F651" s="2" t="s">
        <v>1228</v>
      </c>
      <c r="G651" s="2" t="s">
        <v>1249</v>
      </c>
      <c r="H651" s="2" t="s">
        <v>1253</v>
      </c>
      <c r="I651" s="1">
        <v>44859</v>
      </c>
      <c r="J651">
        <v>2022</v>
      </c>
      <c r="K651" s="2" t="s">
        <v>2293</v>
      </c>
      <c r="L651" s="4">
        <v>29110</v>
      </c>
      <c r="M651" s="2" t="s">
        <v>1250</v>
      </c>
      <c r="N651" s="2" t="s">
        <v>1224</v>
      </c>
      <c r="O651" s="2" t="s">
        <v>13</v>
      </c>
      <c r="P651" s="3">
        <v>43478</v>
      </c>
      <c r="Q651" s="4">
        <v>380714</v>
      </c>
      <c r="R651">
        <v>775</v>
      </c>
      <c r="S651" t="str">
        <f>IF(Linked[[#This Row],[Credit Score]]&lt;=579,"Poor",IF(Linked[[#This Row],[Credit Score]]&lt;=669,"Fair",IF(Linked[[#This Row],[Credit Score]]&lt;=739,"Good",IF(Linked[[#This Row],[Credit Score]]&lt;=799,"Very Good",IF(Linked[[#This Row],[Credit Score]]&gt;=800,"Excellent")))))</f>
        <v>Very Good</v>
      </c>
      <c r="T651" s="4">
        <v>37332</v>
      </c>
      <c r="U651" s="2"/>
      <c r="V651" s="2"/>
    </row>
    <row r="652" spans="1:22" x14ac:dyDescent="0.25">
      <c r="A652" s="2" t="s">
        <v>1025</v>
      </c>
      <c r="B652" s="2" t="s">
        <v>1024</v>
      </c>
      <c r="C652" s="2" t="s">
        <v>1663</v>
      </c>
      <c r="D652" s="2" t="s">
        <v>1219</v>
      </c>
      <c r="E652">
        <v>20</v>
      </c>
      <c r="F652" s="2" t="s">
        <v>1242</v>
      </c>
      <c r="G652" s="2" t="s">
        <v>1229</v>
      </c>
      <c r="H652" s="2" t="s">
        <v>1239</v>
      </c>
      <c r="I652" s="1">
        <v>45446</v>
      </c>
      <c r="J652">
        <v>2024</v>
      </c>
      <c r="K652" s="2" t="s">
        <v>1664</v>
      </c>
      <c r="L652" s="4">
        <v>95932</v>
      </c>
      <c r="M652" s="2" t="s">
        <v>1245</v>
      </c>
      <c r="N652" s="2" t="s">
        <v>1224</v>
      </c>
      <c r="O652" s="2" t="s">
        <v>25</v>
      </c>
      <c r="P652" s="3">
        <v>45718</v>
      </c>
      <c r="Q652" s="4">
        <v>470165</v>
      </c>
      <c r="R652">
        <v>351</v>
      </c>
      <c r="S652" t="str">
        <f>IF(Linked[[#This Row],[Credit Score]]&lt;=579,"Poor",IF(Linked[[#This Row],[Credit Score]]&lt;=669,"Fair",IF(Linked[[#This Row],[Credit Score]]&lt;=739,"Good",IF(Linked[[#This Row],[Credit Score]]&lt;=799,"Very Good",IF(Linked[[#This Row],[Credit Score]]&gt;=800,"Excellent")))))</f>
        <v>Poor</v>
      </c>
      <c r="T652" s="4">
        <v>0</v>
      </c>
      <c r="U652" s="2"/>
      <c r="V652" s="2"/>
    </row>
    <row r="653" spans="1:22" x14ac:dyDescent="0.25">
      <c r="A653" s="2" t="s">
        <v>309</v>
      </c>
      <c r="B653" s="2" t="s">
        <v>1026</v>
      </c>
      <c r="C653" s="2" t="s">
        <v>2251</v>
      </c>
      <c r="D653" s="2" t="s">
        <v>1227</v>
      </c>
      <c r="E653">
        <v>50</v>
      </c>
      <c r="F653" s="2" t="s">
        <v>1228</v>
      </c>
      <c r="G653" s="2" t="s">
        <v>1221</v>
      </c>
      <c r="H653" s="2" t="s">
        <v>1239</v>
      </c>
      <c r="I653" s="1">
        <v>43369</v>
      </c>
      <c r="J653">
        <v>2018</v>
      </c>
      <c r="K653" s="2" t="s">
        <v>2252</v>
      </c>
      <c r="L653" s="4">
        <v>179476</v>
      </c>
      <c r="M653" s="2" t="s">
        <v>1223</v>
      </c>
      <c r="N653" s="2" t="s">
        <v>1224</v>
      </c>
      <c r="O653" s="2" t="s">
        <v>10</v>
      </c>
      <c r="P653" s="3">
        <v>43545</v>
      </c>
      <c r="Q653" s="4">
        <v>14995</v>
      </c>
      <c r="R653">
        <v>410</v>
      </c>
      <c r="S653" t="str">
        <f>IF(Linked[[#This Row],[Credit Score]]&lt;=579,"Poor",IF(Linked[[#This Row],[Credit Score]]&lt;=669,"Fair",IF(Linked[[#This Row],[Credit Score]]&lt;=739,"Good",IF(Linked[[#This Row],[Credit Score]]&lt;=799,"Very Good",IF(Linked[[#This Row],[Credit Score]]&gt;=800,"Excellent")))))</f>
        <v>Poor</v>
      </c>
      <c r="T653" s="4">
        <v>0</v>
      </c>
      <c r="U653" s="2" t="s">
        <v>59</v>
      </c>
      <c r="V653" s="2"/>
    </row>
    <row r="654" spans="1:22" x14ac:dyDescent="0.25">
      <c r="A654" s="2" t="s">
        <v>633</v>
      </c>
      <c r="B654" s="2" t="s">
        <v>1027</v>
      </c>
      <c r="C654" s="2" t="s">
        <v>1592</v>
      </c>
      <c r="D654" s="2" t="s">
        <v>1219</v>
      </c>
      <c r="E654">
        <v>53</v>
      </c>
      <c r="F654" s="2" t="s">
        <v>1228</v>
      </c>
      <c r="G654" s="2" t="s">
        <v>1221</v>
      </c>
      <c r="H654" s="2" t="s">
        <v>1259</v>
      </c>
      <c r="I654" s="1">
        <v>42248</v>
      </c>
      <c r="J654">
        <v>2015</v>
      </c>
      <c r="K654" s="2" t="s">
        <v>1593</v>
      </c>
      <c r="L654" s="4">
        <v>29077</v>
      </c>
      <c r="M654" s="2" t="s">
        <v>1250</v>
      </c>
      <c r="N654" s="2" t="s">
        <v>1231</v>
      </c>
      <c r="O654" s="2" t="s">
        <v>13</v>
      </c>
      <c r="P654" s="3">
        <v>45195</v>
      </c>
      <c r="Q654" s="4">
        <v>23559</v>
      </c>
      <c r="R654">
        <v>342</v>
      </c>
      <c r="S654" t="str">
        <f>IF(Linked[[#This Row],[Credit Score]]&lt;=579,"Poor",IF(Linked[[#This Row],[Credit Score]]&lt;=669,"Fair",IF(Linked[[#This Row],[Credit Score]]&lt;=739,"Good",IF(Linked[[#This Row],[Credit Score]]&lt;=799,"Very Good",IF(Linked[[#This Row],[Credit Score]]&gt;=800,"Excellent")))))</f>
        <v>Poor</v>
      </c>
      <c r="T654" s="4">
        <v>0</v>
      </c>
      <c r="U654" s="2"/>
      <c r="V654" s="2"/>
    </row>
    <row r="655" spans="1:22" x14ac:dyDescent="0.25">
      <c r="A655" s="2" t="s">
        <v>750</v>
      </c>
      <c r="B655" s="2" t="s">
        <v>1028</v>
      </c>
      <c r="C655" s="2" t="s">
        <v>1991</v>
      </c>
      <c r="D655" s="2" t="s">
        <v>1219</v>
      </c>
      <c r="E655">
        <v>56</v>
      </c>
      <c r="F655" s="2" t="s">
        <v>1228</v>
      </c>
      <c r="G655" s="2" t="s">
        <v>1249</v>
      </c>
      <c r="H655" s="2" t="s">
        <v>1253</v>
      </c>
      <c r="I655" s="1">
        <v>45560</v>
      </c>
      <c r="J655">
        <v>2024</v>
      </c>
      <c r="K655" s="2" t="s">
        <v>1550</v>
      </c>
      <c r="L655" s="4">
        <v>182962</v>
      </c>
      <c r="M655" s="2" t="s">
        <v>1223</v>
      </c>
      <c r="N655" s="2" t="s">
        <v>1231</v>
      </c>
      <c r="O655" s="2" t="s">
        <v>13</v>
      </c>
      <c r="P655" s="3">
        <v>43071</v>
      </c>
      <c r="Q655" s="4">
        <v>351193</v>
      </c>
      <c r="R655">
        <v>510</v>
      </c>
      <c r="S655" t="str">
        <f>IF(Linked[[#This Row],[Credit Score]]&lt;=579,"Poor",IF(Linked[[#This Row],[Credit Score]]&lt;=669,"Fair",IF(Linked[[#This Row],[Credit Score]]&lt;=739,"Good",IF(Linked[[#This Row],[Credit Score]]&lt;=799,"Very Good",IF(Linked[[#This Row],[Credit Score]]&gt;=800,"Excellent")))))</f>
        <v>Poor</v>
      </c>
      <c r="T655" s="4">
        <v>82994</v>
      </c>
      <c r="U655" s="2"/>
      <c r="V655" s="2"/>
    </row>
    <row r="656" spans="1:22" x14ac:dyDescent="0.25">
      <c r="A656" s="2" t="s">
        <v>246</v>
      </c>
      <c r="B656" s="2" t="s">
        <v>1029</v>
      </c>
      <c r="C656" s="2" t="s">
        <v>2179</v>
      </c>
      <c r="D656" s="2" t="s">
        <v>1219</v>
      </c>
      <c r="E656">
        <v>30</v>
      </c>
      <c r="F656" s="2" t="s">
        <v>1220</v>
      </c>
      <c r="G656" s="2" t="s">
        <v>1229</v>
      </c>
      <c r="H656" s="2" t="s">
        <v>1259</v>
      </c>
      <c r="I656" s="1">
        <v>45328</v>
      </c>
      <c r="J656">
        <v>2024</v>
      </c>
      <c r="K656" s="2" t="s">
        <v>2180</v>
      </c>
      <c r="L656" s="4">
        <v>96367</v>
      </c>
      <c r="M656" s="2" t="s">
        <v>1245</v>
      </c>
      <c r="N656" s="2" t="s">
        <v>1224</v>
      </c>
      <c r="O656" s="2" t="s">
        <v>32</v>
      </c>
      <c r="P656" s="3">
        <v>45469</v>
      </c>
      <c r="Q656" s="4">
        <v>398237</v>
      </c>
      <c r="R656">
        <v>499</v>
      </c>
      <c r="S656" t="str">
        <f>IF(Linked[[#This Row],[Credit Score]]&lt;=579,"Poor",IF(Linked[[#This Row],[Credit Score]]&lt;=669,"Fair",IF(Linked[[#This Row],[Credit Score]]&lt;=739,"Good",IF(Linked[[#This Row],[Credit Score]]&lt;=799,"Very Good",IF(Linked[[#This Row],[Credit Score]]&gt;=800,"Excellent")))))</f>
        <v>Poor</v>
      </c>
      <c r="T656" s="4">
        <v>0</v>
      </c>
      <c r="U656" s="2"/>
      <c r="V656" s="2"/>
    </row>
    <row r="657" spans="1:22" x14ac:dyDescent="0.25">
      <c r="A657" s="2" t="s">
        <v>924</v>
      </c>
      <c r="B657" s="2" t="s">
        <v>1030</v>
      </c>
      <c r="C657" s="2" t="s">
        <v>2021</v>
      </c>
      <c r="D657" s="2" t="s">
        <v>1227</v>
      </c>
      <c r="E657">
        <v>58</v>
      </c>
      <c r="F657" s="2" t="s">
        <v>1228</v>
      </c>
      <c r="G657" s="2" t="s">
        <v>1229</v>
      </c>
      <c r="H657" s="2" t="s">
        <v>1244</v>
      </c>
      <c r="I657" s="1">
        <v>45392</v>
      </c>
      <c r="J657">
        <v>2024</v>
      </c>
      <c r="K657" s="2" t="s">
        <v>2022</v>
      </c>
      <c r="L657" s="4">
        <v>188484</v>
      </c>
      <c r="M657" s="2" t="s">
        <v>1223</v>
      </c>
      <c r="N657" s="2" t="s">
        <v>1224</v>
      </c>
      <c r="O657" s="2" t="s">
        <v>25</v>
      </c>
      <c r="P657" s="3">
        <v>44580</v>
      </c>
      <c r="Q657" s="4">
        <v>98000</v>
      </c>
      <c r="R657">
        <v>325</v>
      </c>
      <c r="S657" t="str">
        <f>IF(Linked[[#This Row],[Credit Score]]&lt;=579,"Poor",IF(Linked[[#This Row],[Credit Score]]&lt;=669,"Fair",IF(Linked[[#This Row],[Credit Score]]&lt;=739,"Good",IF(Linked[[#This Row],[Credit Score]]&lt;=799,"Very Good",IF(Linked[[#This Row],[Credit Score]]&gt;=800,"Excellent")))))</f>
        <v>Poor</v>
      </c>
      <c r="T657" s="4">
        <v>0</v>
      </c>
      <c r="U657" s="2"/>
      <c r="V657" s="2"/>
    </row>
    <row r="658" spans="1:22" x14ac:dyDescent="0.25">
      <c r="A658" s="2" t="s">
        <v>1032</v>
      </c>
      <c r="B658" s="2" t="s">
        <v>1031</v>
      </c>
      <c r="C658" s="2" t="s">
        <v>1801</v>
      </c>
      <c r="D658" s="2" t="s">
        <v>1219</v>
      </c>
      <c r="E658">
        <v>52</v>
      </c>
      <c r="F658" s="2" t="s">
        <v>1228</v>
      </c>
      <c r="G658" s="2" t="s">
        <v>1249</v>
      </c>
      <c r="H658" s="2" t="s">
        <v>1239</v>
      </c>
      <c r="I658" s="1">
        <v>42953</v>
      </c>
      <c r="J658">
        <v>2017</v>
      </c>
      <c r="K658" s="2" t="s">
        <v>1802</v>
      </c>
      <c r="L658" s="4">
        <v>74615</v>
      </c>
      <c r="M658" s="2" t="s">
        <v>1250</v>
      </c>
      <c r="N658" s="2" t="s">
        <v>1224</v>
      </c>
      <c r="O658" s="2" t="s">
        <v>32</v>
      </c>
      <c r="P658" s="3">
        <v>45508</v>
      </c>
      <c r="Q658" s="4">
        <v>152191</v>
      </c>
      <c r="R658">
        <v>598</v>
      </c>
      <c r="S658" t="str">
        <f>IF(Linked[[#This Row],[Credit Score]]&lt;=579,"Poor",IF(Linked[[#This Row],[Credit Score]]&lt;=669,"Fair",IF(Linked[[#This Row],[Credit Score]]&lt;=739,"Good",IF(Linked[[#This Row],[Credit Score]]&lt;=799,"Very Good",IF(Linked[[#This Row],[Credit Score]]&gt;=800,"Excellent")))))</f>
        <v>Fair</v>
      </c>
      <c r="T658" s="4">
        <v>0</v>
      </c>
      <c r="U658" s="2" t="s">
        <v>18</v>
      </c>
      <c r="V658" s="2"/>
    </row>
    <row r="659" spans="1:22" x14ac:dyDescent="0.25">
      <c r="A659" s="2" t="s">
        <v>553</v>
      </c>
      <c r="B659" s="2" t="s">
        <v>1033</v>
      </c>
      <c r="C659" s="2" t="s">
        <v>1401</v>
      </c>
      <c r="D659" s="2" t="s">
        <v>1227</v>
      </c>
      <c r="E659">
        <v>60</v>
      </c>
      <c r="F659" s="2" t="s">
        <v>1228</v>
      </c>
      <c r="G659" s="2" t="s">
        <v>1221</v>
      </c>
      <c r="H659" s="2" t="s">
        <v>1222</v>
      </c>
      <c r="I659" s="1">
        <v>42457</v>
      </c>
      <c r="J659">
        <v>2016</v>
      </c>
      <c r="K659" s="2" t="s">
        <v>1402</v>
      </c>
      <c r="L659" s="4">
        <v>45559</v>
      </c>
      <c r="M659" s="2" t="s">
        <v>1250</v>
      </c>
      <c r="N659" s="2" t="s">
        <v>1231</v>
      </c>
      <c r="O659" s="2" t="s">
        <v>10</v>
      </c>
      <c r="P659" s="3">
        <v>45593</v>
      </c>
      <c r="Q659" s="4">
        <v>444755</v>
      </c>
      <c r="R659">
        <v>376</v>
      </c>
      <c r="S659" t="str">
        <f>IF(Linked[[#This Row],[Credit Score]]&lt;=579,"Poor",IF(Linked[[#This Row],[Credit Score]]&lt;=669,"Fair",IF(Linked[[#This Row],[Credit Score]]&lt;=739,"Good",IF(Linked[[#This Row],[Credit Score]]&lt;=799,"Very Good",IF(Linked[[#This Row],[Credit Score]]&gt;=800,"Excellent")))))</f>
        <v>Poor</v>
      </c>
      <c r="T659" s="4">
        <v>0</v>
      </c>
      <c r="U659" s="2"/>
      <c r="V659" s="2"/>
    </row>
    <row r="660" spans="1:22" x14ac:dyDescent="0.25">
      <c r="A660" s="2" t="s">
        <v>338</v>
      </c>
      <c r="B660" s="2" t="s">
        <v>1034</v>
      </c>
      <c r="C660" s="2" t="s">
        <v>1432</v>
      </c>
      <c r="D660" s="2" t="s">
        <v>1227</v>
      </c>
      <c r="E660">
        <v>64</v>
      </c>
      <c r="F660" s="2" t="s">
        <v>1263</v>
      </c>
      <c r="G660" s="2" t="s">
        <v>1249</v>
      </c>
      <c r="H660" s="2" t="s">
        <v>1239</v>
      </c>
      <c r="I660" s="1">
        <v>45811</v>
      </c>
      <c r="J660">
        <v>2025</v>
      </c>
      <c r="K660" s="2" t="s">
        <v>1433</v>
      </c>
      <c r="L660" s="4">
        <v>106988</v>
      </c>
      <c r="M660" s="2" t="s">
        <v>1245</v>
      </c>
      <c r="N660" s="2" t="s">
        <v>1224</v>
      </c>
      <c r="O660" s="2" t="s">
        <v>13</v>
      </c>
      <c r="P660" s="3">
        <v>45204</v>
      </c>
      <c r="Q660" s="4">
        <v>488051</v>
      </c>
      <c r="R660">
        <v>436</v>
      </c>
      <c r="S660" t="str">
        <f>IF(Linked[[#This Row],[Credit Score]]&lt;=579,"Poor",IF(Linked[[#This Row],[Credit Score]]&lt;=669,"Fair",IF(Linked[[#This Row],[Credit Score]]&lt;=739,"Good",IF(Linked[[#This Row],[Credit Score]]&lt;=799,"Very Good",IF(Linked[[#This Row],[Credit Score]]&gt;=800,"Excellent")))))</f>
        <v>Poor</v>
      </c>
      <c r="T660" s="4">
        <v>0</v>
      </c>
      <c r="U660" s="2" t="s">
        <v>39</v>
      </c>
      <c r="V660" s="2"/>
    </row>
    <row r="661" spans="1:22" x14ac:dyDescent="0.25">
      <c r="A661" s="2" t="s">
        <v>890</v>
      </c>
      <c r="B661" s="2" t="s">
        <v>1035</v>
      </c>
      <c r="C661" s="2" t="s">
        <v>2149</v>
      </c>
      <c r="D661" s="2" t="s">
        <v>1227</v>
      </c>
      <c r="E661">
        <v>67</v>
      </c>
      <c r="F661" s="2" t="s">
        <v>1263</v>
      </c>
      <c r="G661" s="2" t="s">
        <v>1229</v>
      </c>
      <c r="H661" s="2" t="s">
        <v>1222</v>
      </c>
      <c r="I661" s="1">
        <v>44523</v>
      </c>
      <c r="J661">
        <v>2021</v>
      </c>
      <c r="K661" s="2" t="s">
        <v>2150</v>
      </c>
      <c r="L661" s="4">
        <v>121459</v>
      </c>
      <c r="M661" s="2" t="s">
        <v>1245</v>
      </c>
      <c r="N661" s="2" t="s">
        <v>1231</v>
      </c>
      <c r="O661" s="2" t="s">
        <v>13</v>
      </c>
      <c r="P661" s="3">
        <v>45779</v>
      </c>
      <c r="Q661" s="4">
        <v>301494</v>
      </c>
      <c r="R661">
        <v>319</v>
      </c>
      <c r="S661" t="str">
        <f>IF(Linked[[#This Row],[Credit Score]]&lt;=579,"Poor",IF(Linked[[#This Row],[Credit Score]]&lt;=669,"Fair",IF(Linked[[#This Row],[Credit Score]]&lt;=739,"Good",IF(Linked[[#This Row],[Credit Score]]&lt;=799,"Very Good",IF(Linked[[#This Row],[Credit Score]]&gt;=800,"Excellent")))))</f>
        <v>Poor</v>
      </c>
      <c r="T661" s="4">
        <v>0</v>
      </c>
      <c r="U661" s="2"/>
      <c r="V661" s="2"/>
    </row>
    <row r="662" spans="1:22" x14ac:dyDescent="0.25">
      <c r="A662" s="2" t="s">
        <v>518</v>
      </c>
      <c r="B662" s="2" t="s">
        <v>1036</v>
      </c>
      <c r="C662" s="2" t="s">
        <v>1810</v>
      </c>
      <c r="D662" s="2" t="s">
        <v>1227</v>
      </c>
      <c r="E662">
        <v>37</v>
      </c>
      <c r="F662" s="2" t="s">
        <v>1220</v>
      </c>
      <c r="G662" s="2" t="s">
        <v>1229</v>
      </c>
      <c r="H662" s="2" t="s">
        <v>1235</v>
      </c>
      <c r="I662" s="1">
        <v>45516</v>
      </c>
      <c r="J662">
        <v>2024</v>
      </c>
      <c r="K662" s="2" t="s">
        <v>1811</v>
      </c>
      <c r="L662" s="4">
        <v>177661</v>
      </c>
      <c r="M662" s="2" t="s">
        <v>1223</v>
      </c>
      <c r="N662" s="2" t="s">
        <v>1224</v>
      </c>
      <c r="O662" s="2" t="s">
        <v>13</v>
      </c>
      <c r="P662" s="3">
        <v>42465</v>
      </c>
      <c r="Q662" s="4">
        <v>439439</v>
      </c>
      <c r="R662">
        <v>739</v>
      </c>
      <c r="S662" t="str">
        <f>IF(Linked[[#This Row],[Credit Score]]&lt;=579,"Poor",IF(Linked[[#This Row],[Credit Score]]&lt;=669,"Fair",IF(Linked[[#This Row],[Credit Score]]&lt;=739,"Good",IF(Linked[[#This Row],[Credit Score]]&lt;=799,"Very Good",IF(Linked[[#This Row],[Credit Score]]&gt;=800,"Excellent")))))</f>
        <v>Good</v>
      </c>
      <c r="T662" s="4">
        <v>0</v>
      </c>
      <c r="U662" s="2"/>
      <c r="V662" s="2"/>
    </row>
    <row r="663" spans="1:22" x14ac:dyDescent="0.25">
      <c r="A663" s="2" t="s">
        <v>469</v>
      </c>
      <c r="B663" s="2" t="s">
        <v>1037</v>
      </c>
      <c r="C663" s="2" t="s">
        <v>1707</v>
      </c>
      <c r="D663" s="2" t="s">
        <v>1219</v>
      </c>
      <c r="E663">
        <v>46</v>
      </c>
      <c r="F663" s="2" t="s">
        <v>1228</v>
      </c>
      <c r="G663" s="2" t="s">
        <v>1243</v>
      </c>
      <c r="H663" s="2" t="s">
        <v>1230</v>
      </c>
      <c r="I663" s="1">
        <v>44799</v>
      </c>
      <c r="J663">
        <v>2022</v>
      </c>
      <c r="K663" s="2" t="s">
        <v>1708</v>
      </c>
      <c r="L663" s="4">
        <v>32857</v>
      </c>
      <c r="M663" s="2" t="s">
        <v>1250</v>
      </c>
      <c r="N663" s="2" t="s">
        <v>1224</v>
      </c>
      <c r="O663" s="2" t="s">
        <v>13</v>
      </c>
      <c r="P663" s="3">
        <v>42728</v>
      </c>
      <c r="Q663" s="4">
        <v>25517</v>
      </c>
      <c r="R663">
        <v>510</v>
      </c>
      <c r="S663" t="str">
        <f>IF(Linked[[#This Row],[Credit Score]]&lt;=579,"Poor",IF(Linked[[#This Row],[Credit Score]]&lt;=669,"Fair",IF(Linked[[#This Row],[Credit Score]]&lt;=739,"Good",IF(Linked[[#This Row],[Credit Score]]&lt;=799,"Very Good",IF(Linked[[#This Row],[Credit Score]]&gt;=800,"Excellent")))))</f>
        <v>Poor</v>
      </c>
      <c r="T663" s="4">
        <v>0</v>
      </c>
      <c r="U663" s="2"/>
      <c r="V663" s="2"/>
    </row>
    <row r="664" spans="1:22" x14ac:dyDescent="0.25">
      <c r="A664" s="2" t="s">
        <v>1039</v>
      </c>
      <c r="B664" s="2" t="s">
        <v>1038</v>
      </c>
      <c r="C664" s="2" t="s">
        <v>1573</v>
      </c>
      <c r="D664" s="2" t="s">
        <v>1219</v>
      </c>
      <c r="E664">
        <v>56</v>
      </c>
      <c r="F664" s="2" t="s">
        <v>1228</v>
      </c>
      <c r="G664" s="2" t="s">
        <v>1243</v>
      </c>
      <c r="H664" s="2" t="s">
        <v>1259</v>
      </c>
      <c r="I664" s="1">
        <v>42365</v>
      </c>
      <c r="J664">
        <v>2015</v>
      </c>
      <c r="K664" s="2" t="s">
        <v>1574</v>
      </c>
      <c r="L664" s="4">
        <v>156156</v>
      </c>
      <c r="M664" s="2" t="s">
        <v>1223</v>
      </c>
      <c r="N664" s="2" t="s">
        <v>1231</v>
      </c>
      <c r="O664" s="2" t="s">
        <v>13</v>
      </c>
      <c r="P664" s="3">
        <v>44572</v>
      </c>
      <c r="Q664" s="4">
        <v>471869</v>
      </c>
      <c r="R664">
        <v>734</v>
      </c>
      <c r="S664" t="str">
        <f>IF(Linked[[#This Row],[Credit Score]]&lt;=579,"Poor",IF(Linked[[#This Row],[Credit Score]]&lt;=669,"Fair",IF(Linked[[#This Row],[Credit Score]]&lt;=739,"Good",IF(Linked[[#This Row],[Credit Score]]&lt;=799,"Very Good",IF(Linked[[#This Row],[Credit Score]]&gt;=800,"Excellent")))))</f>
        <v>Good</v>
      </c>
      <c r="T664" s="4">
        <v>0</v>
      </c>
      <c r="U664" s="2"/>
      <c r="V664" s="2"/>
    </row>
    <row r="665" spans="1:22" x14ac:dyDescent="0.25">
      <c r="A665" s="2" t="s">
        <v>566</v>
      </c>
      <c r="B665" s="2" t="s">
        <v>1040</v>
      </c>
      <c r="C665" s="2" t="s">
        <v>1699</v>
      </c>
      <c r="D665" s="2" t="s">
        <v>1219</v>
      </c>
      <c r="E665">
        <v>40</v>
      </c>
      <c r="F665" s="2" t="s">
        <v>1220</v>
      </c>
      <c r="G665" s="2" t="s">
        <v>1243</v>
      </c>
      <c r="H665" s="2" t="s">
        <v>1235</v>
      </c>
      <c r="I665" s="1">
        <v>43742</v>
      </c>
      <c r="J665">
        <v>2019</v>
      </c>
      <c r="K665" s="2" t="s">
        <v>1700</v>
      </c>
      <c r="L665" s="4">
        <v>183268</v>
      </c>
      <c r="M665" s="2" t="s">
        <v>1223</v>
      </c>
      <c r="N665" s="2" t="s">
        <v>1231</v>
      </c>
      <c r="O665" s="2" t="s">
        <v>13</v>
      </c>
      <c r="P665" s="3">
        <v>43273</v>
      </c>
      <c r="Q665" s="4">
        <v>415466</v>
      </c>
      <c r="R665">
        <v>506</v>
      </c>
      <c r="S665" t="str">
        <f>IF(Linked[[#This Row],[Credit Score]]&lt;=579,"Poor",IF(Linked[[#This Row],[Credit Score]]&lt;=669,"Fair",IF(Linked[[#This Row],[Credit Score]]&lt;=739,"Good",IF(Linked[[#This Row],[Credit Score]]&lt;=799,"Very Good",IF(Linked[[#This Row],[Credit Score]]&gt;=800,"Excellent")))))</f>
        <v>Poor</v>
      </c>
      <c r="T665" s="4">
        <v>0</v>
      </c>
      <c r="U665" s="2" t="s">
        <v>39</v>
      </c>
      <c r="V665" s="2"/>
    </row>
    <row r="666" spans="1:22" x14ac:dyDescent="0.25">
      <c r="A666" s="2" t="s">
        <v>86</v>
      </c>
      <c r="B666" s="2" t="s">
        <v>1041</v>
      </c>
      <c r="C666" s="2" t="s">
        <v>2107</v>
      </c>
      <c r="D666" s="2" t="s">
        <v>1227</v>
      </c>
      <c r="E666">
        <v>71</v>
      </c>
      <c r="F666" s="2" t="s">
        <v>1263</v>
      </c>
      <c r="G666" s="2" t="s">
        <v>1243</v>
      </c>
      <c r="H666" s="2" t="s">
        <v>1259</v>
      </c>
      <c r="I666" s="1">
        <v>44100</v>
      </c>
      <c r="J666">
        <v>2020</v>
      </c>
      <c r="K666" s="2" t="s">
        <v>2108</v>
      </c>
      <c r="L666" s="4">
        <v>199436</v>
      </c>
      <c r="M666" s="2" t="s">
        <v>1223</v>
      </c>
      <c r="N666" s="2" t="s">
        <v>1236</v>
      </c>
      <c r="O666" s="2" t="s">
        <v>10</v>
      </c>
      <c r="P666" s="3">
        <v>45417</v>
      </c>
      <c r="Q666" s="4">
        <v>215558</v>
      </c>
      <c r="R666">
        <v>738</v>
      </c>
      <c r="S666" t="str">
        <f>IF(Linked[[#This Row],[Credit Score]]&lt;=579,"Poor",IF(Linked[[#This Row],[Credit Score]]&lt;=669,"Fair",IF(Linked[[#This Row],[Credit Score]]&lt;=739,"Good",IF(Linked[[#This Row],[Credit Score]]&lt;=799,"Very Good",IF(Linked[[#This Row],[Credit Score]]&gt;=800,"Excellent")))))</f>
        <v>Good</v>
      </c>
      <c r="T666" s="4">
        <v>0</v>
      </c>
      <c r="U666" s="2"/>
      <c r="V666" s="2"/>
    </row>
    <row r="667" spans="1:22" x14ac:dyDescent="0.25">
      <c r="A667" s="2" t="s">
        <v>122</v>
      </c>
      <c r="B667" s="2" t="s">
        <v>1042</v>
      </c>
      <c r="C667" s="2" t="s">
        <v>1378</v>
      </c>
      <c r="D667" s="2" t="s">
        <v>1219</v>
      </c>
      <c r="E667">
        <v>39</v>
      </c>
      <c r="F667" s="2" t="s">
        <v>1220</v>
      </c>
      <c r="G667" s="2" t="s">
        <v>1221</v>
      </c>
      <c r="H667" s="2" t="s">
        <v>1259</v>
      </c>
      <c r="I667" s="1">
        <v>44878</v>
      </c>
      <c r="J667">
        <v>2022</v>
      </c>
      <c r="K667" s="2" t="s">
        <v>1379</v>
      </c>
      <c r="L667" s="4">
        <v>123320</v>
      </c>
      <c r="M667" s="2" t="s">
        <v>1245</v>
      </c>
      <c r="N667" s="2" t="s">
        <v>1224</v>
      </c>
      <c r="O667" s="2" t="s">
        <v>32</v>
      </c>
      <c r="P667" s="3">
        <v>44049</v>
      </c>
      <c r="Q667" s="4">
        <v>476111</v>
      </c>
      <c r="R667">
        <v>341</v>
      </c>
      <c r="S667" t="str">
        <f>IF(Linked[[#This Row],[Credit Score]]&lt;=579,"Poor",IF(Linked[[#This Row],[Credit Score]]&lt;=669,"Fair",IF(Linked[[#This Row],[Credit Score]]&lt;=739,"Good",IF(Linked[[#This Row],[Credit Score]]&lt;=799,"Very Good",IF(Linked[[#This Row],[Credit Score]]&gt;=800,"Excellent")))))</f>
        <v>Poor</v>
      </c>
      <c r="T667" s="4">
        <v>390751</v>
      </c>
      <c r="U667" s="2"/>
      <c r="V667" s="2"/>
    </row>
    <row r="668" spans="1:22" x14ac:dyDescent="0.25">
      <c r="A668" s="2" t="s">
        <v>539</v>
      </c>
      <c r="B668" s="2" t="s">
        <v>1043</v>
      </c>
      <c r="C668" s="2" t="s">
        <v>1822</v>
      </c>
      <c r="D668" s="2" t="s">
        <v>1227</v>
      </c>
      <c r="E668">
        <v>66</v>
      </c>
      <c r="F668" s="2" t="s">
        <v>1263</v>
      </c>
      <c r="G668" s="2" t="s">
        <v>1229</v>
      </c>
      <c r="H668" s="2" t="s">
        <v>1239</v>
      </c>
      <c r="I668" s="1">
        <v>43819</v>
      </c>
      <c r="J668">
        <v>2019</v>
      </c>
      <c r="K668" s="2" t="s">
        <v>1823</v>
      </c>
      <c r="L668" s="4">
        <v>177215</v>
      </c>
      <c r="M668" s="2" t="s">
        <v>1223</v>
      </c>
      <c r="N668" s="2" t="s">
        <v>1224</v>
      </c>
      <c r="O668" s="2" t="s">
        <v>10</v>
      </c>
      <c r="P668" s="3">
        <v>45400</v>
      </c>
      <c r="Q668" s="4">
        <v>351276</v>
      </c>
      <c r="R668">
        <v>710</v>
      </c>
      <c r="S668" t="str">
        <f>IF(Linked[[#This Row],[Credit Score]]&lt;=579,"Poor",IF(Linked[[#This Row],[Credit Score]]&lt;=669,"Fair",IF(Linked[[#This Row],[Credit Score]]&lt;=739,"Good",IF(Linked[[#This Row],[Credit Score]]&lt;=799,"Very Good",IF(Linked[[#This Row],[Credit Score]]&gt;=800,"Excellent")))))</f>
        <v>Good</v>
      </c>
      <c r="T668" s="4">
        <v>330188</v>
      </c>
      <c r="U668" s="2" t="s">
        <v>39</v>
      </c>
      <c r="V668" s="2"/>
    </row>
    <row r="669" spans="1:22" x14ac:dyDescent="0.25">
      <c r="A669" s="2" t="s">
        <v>518</v>
      </c>
      <c r="B669" s="2" t="s">
        <v>1044</v>
      </c>
      <c r="C669" s="2" t="s">
        <v>1810</v>
      </c>
      <c r="D669" s="2" t="s">
        <v>1227</v>
      </c>
      <c r="E669">
        <v>37</v>
      </c>
      <c r="F669" s="2" t="s">
        <v>1220</v>
      </c>
      <c r="G669" s="2" t="s">
        <v>1229</v>
      </c>
      <c r="H669" s="2" t="s">
        <v>1235</v>
      </c>
      <c r="I669" s="1">
        <v>45516</v>
      </c>
      <c r="J669">
        <v>2024</v>
      </c>
      <c r="K669" s="2" t="s">
        <v>1811</v>
      </c>
      <c r="L669" s="4">
        <v>177661</v>
      </c>
      <c r="M669" s="2" t="s">
        <v>1223</v>
      </c>
      <c r="N669" s="2" t="s">
        <v>1224</v>
      </c>
      <c r="O669" s="2" t="s">
        <v>25</v>
      </c>
      <c r="P669" s="3">
        <v>43772</v>
      </c>
      <c r="Q669" s="4">
        <v>484282</v>
      </c>
      <c r="R669">
        <v>822</v>
      </c>
      <c r="S669" t="str">
        <f>IF(Linked[[#This Row],[Credit Score]]&lt;=579,"Poor",IF(Linked[[#This Row],[Credit Score]]&lt;=669,"Fair",IF(Linked[[#This Row],[Credit Score]]&lt;=739,"Good",IF(Linked[[#This Row],[Credit Score]]&lt;=799,"Very Good",IF(Linked[[#This Row],[Credit Score]]&gt;=800,"Excellent")))))</f>
        <v>Excellent</v>
      </c>
      <c r="T669" s="4">
        <v>0</v>
      </c>
      <c r="U669" s="2"/>
      <c r="V669" s="2"/>
    </row>
    <row r="670" spans="1:22" x14ac:dyDescent="0.25">
      <c r="A670" s="2" t="s">
        <v>340</v>
      </c>
      <c r="B670" s="2" t="s">
        <v>1045</v>
      </c>
      <c r="C670" s="2" t="s">
        <v>1715</v>
      </c>
      <c r="D670" s="2" t="s">
        <v>1219</v>
      </c>
      <c r="E670">
        <v>51</v>
      </c>
      <c r="F670" s="2" t="s">
        <v>1228</v>
      </c>
      <c r="G670" s="2" t="s">
        <v>1229</v>
      </c>
      <c r="H670" s="2" t="s">
        <v>1244</v>
      </c>
      <c r="I670" s="1">
        <v>42586</v>
      </c>
      <c r="J670">
        <v>2016</v>
      </c>
      <c r="K670" s="2" t="s">
        <v>1716</v>
      </c>
      <c r="L670" s="4">
        <v>46431</v>
      </c>
      <c r="M670" s="2" t="s">
        <v>1250</v>
      </c>
      <c r="N670" s="2" t="s">
        <v>1236</v>
      </c>
      <c r="O670" s="2" t="s">
        <v>10</v>
      </c>
      <c r="P670" s="3">
        <v>42751</v>
      </c>
      <c r="Q670" s="4">
        <v>460014</v>
      </c>
      <c r="R670">
        <v>726</v>
      </c>
      <c r="S670" t="str">
        <f>IF(Linked[[#This Row],[Credit Score]]&lt;=579,"Poor",IF(Linked[[#This Row],[Credit Score]]&lt;=669,"Fair",IF(Linked[[#This Row],[Credit Score]]&lt;=739,"Good",IF(Linked[[#This Row],[Credit Score]]&lt;=799,"Very Good",IF(Linked[[#This Row],[Credit Score]]&gt;=800,"Excellent")))))</f>
        <v>Good</v>
      </c>
      <c r="T670" s="4">
        <v>0</v>
      </c>
      <c r="U670" s="2"/>
      <c r="V670" s="2"/>
    </row>
    <row r="671" spans="1:22" x14ac:dyDescent="0.25">
      <c r="A671" s="2" t="s">
        <v>581</v>
      </c>
      <c r="B671" s="2" t="s">
        <v>1046</v>
      </c>
      <c r="C671" s="2" t="s">
        <v>1855</v>
      </c>
      <c r="D671" s="2" t="s">
        <v>1227</v>
      </c>
      <c r="E671">
        <v>70</v>
      </c>
      <c r="F671" s="2" t="s">
        <v>1263</v>
      </c>
      <c r="G671" s="2" t="s">
        <v>1249</v>
      </c>
      <c r="H671" s="2" t="s">
        <v>1235</v>
      </c>
      <c r="I671" s="1">
        <v>42754</v>
      </c>
      <c r="J671">
        <v>2017</v>
      </c>
      <c r="K671" s="2" t="s">
        <v>1514</v>
      </c>
      <c r="L671" s="4">
        <v>116347</v>
      </c>
      <c r="M671" s="2" t="s">
        <v>1245</v>
      </c>
      <c r="N671" s="2" t="s">
        <v>1224</v>
      </c>
      <c r="O671" s="2" t="s">
        <v>13</v>
      </c>
      <c r="P671" s="3">
        <v>42769</v>
      </c>
      <c r="Q671" s="4">
        <v>447415</v>
      </c>
      <c r="R671">
        <v>574</v>
      </c>
      <c r="S671" t="str">
        <f>IF(Linked[[#This Row],[Credit Score]]&lt;=579,"Poor",IF(Linked[[#This Row],[Credit Score]]&lt;=669,"Fair",IF(Linked[[#This Row],[Credit Score]]&lt;=739,"Good",IF(Linked[[#This Row],[Credit Score]]&lt;=799,"Very Good",IF(Linked[[#This Row],[Credit Score]]&gt;=800,"Excellent")))))</f>
        <v>Poor</v>
      </c>
      <c r="T671" s="4">
        <v>0</v>
      </c>
      <c r="U671" s="2" t="s">
        <v>39</v>
      </c>
      <c r="V671" s="2"/>
    </row>
    <row r="672" spans="1:22" x14ac:dyDescent="0.25">
      <c r="A672" s="2" t="s">
        <v>1048</v>
      </c>
      <c r="B672" s="2" t="s">
        <v>1047</v>
      </c>
      <c r="C672" s="2" t="s">
        <v>1536</v>
      </c>
      <c r="D672" s="2" t="s">
        <v>1219</v>
      </c>
      <c r="E672">
        <v>74</v>
      </c>
      <c r="F672" s="2" t="s">
        <v>1263</v>
      </c>
      <c r="G672" s="2" t="s">
        <v>1249</v>
      </c>
      <c r="H672" s="2" t="s">
        <v>1244</v>
      </c>
      <c r="I672" s="1">
        <v>45439</v>
      </c>
      <c r="J672">
        <v>2024</v>
      </c>
      <c r="K672" s="2" t="s">
        <v>1537</v>
      </c>
      <c r="L672" s="4">
        <v>148232</v>
      </c>
      <c r="M672" s="2" t="s">
        <v>1223</v>
      </c>
      <c r="N672" s="2" t="s">
        <v>1231</v>
      </c>
      <c r="O672" s="2" t="s">
        <v>13</v>
      </c>
      <c r="P672" s="3">
        <v>42914</v>
      </c>
      <c r="Q672" s="4">
        <v>321690</v>
      </c>
      <c r="R672">
        <v>747</v>
      </c>
      <c r="S672" t="str">
        <f>IF(Linked[[#This Row],[Credit Score]]&lt;=579,"Poor",IF(Linked[[#This Row],[Credit Score]]&lt;=669,"Fair",IF(Linked[[#This Row],[Credit Score]]&lt;=739,"Good",IF(Linked[[#This Row],[Credit Score]]&lt;=799,"Very Good",IF(Linked[[#This Row],[Credit Score]]&gt;=800,"Excellent")))))</f>
        <v>Very Good</v>
      </c>
      <c r="T672" s="4">
        <v>366484</v>
      </c>
      <c r="U672" s="2"/>
      <c r="V672" s="2"/>
    </row>
    <row r="673" spans="1:22" x14ac:dyDescent="0.25">
      <c r="A673" s="2" t="s">
        <v>1050</v>
      </c>
      <c r="B673" s="2" t="s">
        <v>1049</v>
      </c>
      <c r="C673" s="2" t="s">
        <v>2240</v>
      </c>
      <c r="D673" s="2" t="s">
        <v>1227</v>
      </c>
      <c r="E673">
        <v>42</v>
      </c>
      <c r="F673" s="2" t="s">
        <v>1220</v>
      </c>
      <c r="G673" s="2" t="s">
        <v>1243</v>
      </c>
      <c r="H673" s="2" t="s">
        <v>1222</v>
      </c>
      <c r="I673" s="1">
        <v>44498</v>
      </c>
      <c r="J673">
        <v>2021</v>
      </c>
      <c r="K673" s="2" t="s">
        <v>2241</v>
      </c>
      <c r="L673" s="4">
        <v>20281</v>
      </c>
      <c r="M673" s="2" t="s">
        <v>1250</v>
      </c>
      <c r="N673" s="2" t="s">
        <v>1231</v>
      </c>
      <c r="O673" s="2" t="s">
        <v>13</v>
      </c>
      <c r="P673" s="3">
        <v>45148</v>
      </c>
      <c r="Q673" s="4">
        <v>105686</v>
      </c>
      <c r="R673">
        <v>668</v>
      </c>
      <c r="S673" t="str">
        <f>IF(Linked[[#This Row],[Credit Score]]&lt;=579,"Poor",IF(Linked[[#This Row],[Credit Score]]&lt;=669,"Fair",IF(Linked[[#This Row],[Credit Score]]&lt;=739,"Good",IF(Linked[[#This Row],[Credit Score]]&lt;=799,"Very Good",IF(Linked[[#This Row],[Credit Score]]&gt;=800,"Excellent")))))</f>
        <v>Fair</v>
      </c>
      <c r="T673" s="4">
        <v>0</v>
      </c>
      <c r="U673" s="2" t="s">
        <v>39</v>
      </c>
      <c r="V673" s="2"/>
    </row>
    <row r="674" spans="1:22" x14ac:dyDescent="0.25">
      <c r="A674" s="2" t="s">
        <v>597</v>
      </c>
      <c r="B674" s="2" t="s">
        <v>1051</v>
      </c>
      <c r="C674" s="2" t="s">
        <v>2061</v>
      </c>
      <c r="D674" s="2" t="s">
        <v>1219</v>
      </c>
      <c r="E674">
        <v>38</v>
      </c>
      <c r="F674" s="2" t="s">
        <v>1220</v>
      </c>
      <c r="G674" s="2" t="s">
        <v>1249</v>
      </c>
      <c r="H674" s="2" t="s">
        <v>1259</v>
      </c>
      <c r="I674" s="1">
        <v>44538</v>
      </c>
      <c r="J674">
        <v>2021</v>
      </c>
      <c r="K674" s="2" t="s">
        <v>2062</v>
      </c>
      <c r="L674" s="4">
        <v>134225</v>
      </c>
      <c r="M674" s="2" t="s">
        <v>1245</v>
      </c>
      <c r="N674" s="2" t="s">
        <v>1231</v>
      </c>
      <c r="O674" s="2" t="s">
        <v>13</v>
      </c>
      <c r="P674" s="3">
        <v>44563</v>
      </c>
      <c r="Q674" s="4">
        <v>88151</v>
      </c>
      <c r="R674">
        <v>519</v>
      </c>
      <c r="S674" t="str">
        <f>IF(Linked[[#This Row],[Credit Score]]&lt;=579,"Poor",IF(Linked[[#This Row],[Credit Score]]&lt;=669,"Fair",IF(Linked[[#This Row],[Credit Score]]&lt;=739,"Good",IF(Linked[[#This Row],[Credit Score]]&lt;=799,"Very Good",IF(Linked[[#This Row],[Credit Score]]&gt;=800,"Excellent")))))</f>
        <v>Poor</v>
      </c>
      <c r="T674" s="4">
        <v>0</v>
      </c>
      <c r="U674" s="2"/>
      <c r="V674" s="2"/>
    </row>
    <row r="675" spans="1:22" x14ac:dyDescent="0.25">
      <c r="A675" s="2" t="s">
        <v>1053</v>
      </c>
      <c r="B675" s="2" t="s">
        <v>1052</v>
      </c>
      <c r="C675" s="2" t="s">
        <v>2023</v>
      </c>
      <c r="D675" s="2" t="s">
        <v>1219</v>
      </c>
      <c r="E675">
        <v>56</v>
      </c>
      <c r="F675" s="2" t="s">
        <v>1228</v>
      </c>
      <c r="G675" s="2" t="s">
        <v>1221</v>
      </c>
      <c r="H675" s="2" t="s">
        <v>1235</v>
      </c>
      <c r="I675" s="1">
        <v>42295</v>
      </c>
      <c r="J675">
        <v>2015</v>
      </c>
      <c r="K675" s="2" t="s">
        <v>2024</v>
      </c>
      <c r="L675" s="4">
        <v>22920</v>
      </c>
      <c r="M675" s="2" t="s">
        <v>1250</v>
      </c>
      <c r="N675" s="2" t="s">
        <v>1224</v>
      </c>
      <c r="O675" s="2" t="s">
        <v>10</v>
      </c>
      <c r="P675" s="3">
        <v>44010</v>
      </c>
      <c r="Q675" s="4">
        <v>265471</v>
      </c>
      <c r="R675">
        <v>531</v>
      </c>
      <c r="S675" t="str">
        <f>IF(Linked[[#This Row],[Credit Score]]&lt;=579,"Poor",IF(Linked[[#This Row],[Credit Score]]&lt;=669,"Fair",IF(Linked[[#This Row],[Credit Score]]&lt;=739,"Good",IF(Linked[[#This Row],[Credit Score]]&lt;=799,"Very Good",IF(Linked[[#This Row],[Credit Score]]&gt;=800,"Excellent")))))</f>
        <v>Poor</v>
      </c>
      <c r="T675" s="4">
        <v>0</v>
      </c>
      <c r="U675" s="2" t="s">
        <v>18</v>
      </c>
      <c r="V675" s="2"/>
    </row>
    <row r="676" spans="1:22" x14ac:dyDescent="0.25">
      <c r="A676" s="2" t="s">
        <v>1055</v>
      </c>
      <c r="B676" s="2" t="s">
        <v>1054</v>
      </c>
      <c r="C676" s="2" t="s">
        <v>2201</v>
      </c>
      <c r="D676" s="2" t="s">
        <v>1219</v>
      </c>
      <c r="E676">
        <v>27</v>
      </c>
      <c r="F676" s="2" t="s">
        <v>1242</v>
      </c>
      <c r="G676" s="2" t="s">
        <v>1221</v>
      </c>
      <c r="H676" s="2" t="s">
        <v>1239</v>
      </c>
      <c r="I676" s="1">
        <v>44032</v>
      </c>
      <c r="J676">
        <v>2020</v>
      </c>
      <c r="K676" s="2" t="s">
        <v>2202</v>
      </c>
      <c r="L676" s="4">
        <v>91635</v>
      </c>
      <c r="M676" s="2" t="s">
        <v>1245</v>
      </c>
      <c r="N676" s="2" t="s">
        <v>1224</v>
      </c>
      <c r="O676" s="2" t="s">
        <v>13</v>
      </c>
      <c r="P676" s="3">
        <v>42365</v>
      </c>
      <c r="Q676" s="4">
        <v>120318</v>
      </c>
      <c r="R676">
        <v>627</v>
      </c>
      <c r="S676" t="str">
        <f>IF(Linked[[#This Row],[Credit Score]]&lt;=579,"Poor",IF(Linked[[#This Row],[Credit Score]]&lt;=669,"Fair",IF(Linked[[#This Row],[Credit Score]]&lt;=739,"Good",IF(Linked[[#This Row],[Credit Score]]&lt;=799,"Very Good",IF(Linked[[#This Row],[Credit Score]]&gt;=800,"Excellent")))))</f>
        <v>Fair</v>
      </c>
      <c r="T676" s="4">
        <v>0</v>
      </c>
      <c r="U676" s="2"/>
      <c r="V676" s="2"/>
    </row>
    <row r="677" spans="1:22" x14ac:dyDescent="0.25">
      <c r="A677" s="2" t="s">
        <v>283</v>
      </c>
      <c r="B677" s="2" t="s">
        <v>1056</v>
      </c>
      <c r="C677" s="2" t="s">
        <v>2184</v>
      </c>
      <c r="D677" s="2" t="s">
        <v>1219</v>
      </c>
      <c r="E677">
        <v>52</v>
      </c>
      <c r="F677" s="2" t="s">
        <v>1228</v>
      </c>
      <c r="G677" s="2" t="s">
        <v>1221</v>
      </c>
      <c r="H677" s="2" t="s">
        <v>1230</v>
      </c>
      <c r="I677" s="1">
        <v>44964</v>
      </c>
      <c r="J677">
        <v>2023</v>
      </c>
      <c r="K677" s="2" t="s">
        <v>2185</v>
      </c>
      <c r="L677" s="4">
        <v>96619</v>
      </c>
      <c r="M677" s="2" t="s">
        <v>1245</v>
      </c>
      <c r="N677" s="2" t="s">
        <v>1224</v>
      </c>
      <c r="O677" s="2" t="s">
        <v>13</v>
      </c>
      <c r="P677" s="3">
        <v>43092</v>
      </c>
      <c r="Q677" s="4">
        <v>422984</v>
      </c>
      <c r="R677">
        <v>742</v>
      </c>
      <c r="S677" t="str">
        <f>IF(Linked[[#This Row],[Credit Score]]&lt;=579,"Poor",IF(Linked[[#This Row],[Credit Score]]&lt;=669,"Fair",IF(Linked[[#This Row],[Credit Score]]&lt;=739,"Good",IF(Linked[[#This Row],[Credit Score]]&lt;=799,"Very Good",IF(Linked[[#This Row],[Credit Score]]&gt;=800,"Excellent")))))</f>
        <v>Very Good</v>
      </c>
      <c r="T677" s="4">
        <v>274579</v>
      </c>
      <c r="U677" s="2"/>
      <c r="V677" s="2"/>
    </row>
    <row r="678" spans="1:22" x14ac:dyDescent="0.25">
      <c r="A678" s="2" t="s">
        <v>996</v>
      </c>
      <c r="B678" s="2" t="s">
        <v>1057</v>
      </c>
      <c r="C678" s="2" t="s">
        <v>1445</v>
      </c>
      <c r="D678" s="2" t="s">
        <v>1227</v>
      </c>
      <c r="E678">
        <v>30</v>
      </c>
      <c r="F678" s="2" t="s">
        <v>1220</v>
      </c>
      <c r="G678" s="2" t="s">
        <v>1229</v>
      </c>
      <c r="H678" s="2" t="s">
        <v>1235</v>
      </c>
      <c r="I678" s="1">
        <v>43102</v>
      </c>
      <c r="J678">
        <v>2018</v>
      </c>
      <c r="K678" s="2" t="s">
        <v>1446</v>
      </c>
      <c r="L678" s="4">
        <v>104082</v>
      </c>
      <c r="M678" s="2" t="s">
        <v>1245</v>
      </c>
      <c r="N678" s="2" t="s">
        <v>1224</v>
      </c>
      <c r="O678" s="2" t="s">
        <v>13</v>
      </c>
      <c r="P678" s="3">
        <v>43088</v>
      </c>
      <c r="Q678" s="4">
        <v>195490</v>
      </c>
      <c r="R678">
        <v>351</v>
      </c>
      <c r="S678" t="str">
        <f>IF(Linked[[#This Row],[Credit Score]]&lt;=579,"Poor",IF(Linked[[#This Row],[Credit Score]]&lt;=669,"Fair",IF(Linked[[#This Row],[Credit Score]]&lt;=739,"Good",IF(Linked[[#This Row],[Credit Score]]&lt;=799,"Very Good",IF(Linked[[#This Row],[Credit Score]]&gt;=800,"Excellent")))))</f>
        <v>Poor</v>
      </c>
      <c r="T678" s="4">
        <v>0</v>
      </c>
      <c r="U678" s="2"/>
      <c r="V678" s="2"/>
    </row>
    <row r="679" spans="1:22" x14ac:dyDescent="0.25">
      <c r="A679" s="2" t="s">
        <v>24</v>
      </c>
      <c r="B679" s="2" t="s">
        <v>1058</v>
      </c>
      <c r="C679" s="2" t="s">
        <v>1479</v>
      </c>
      <c r="D679" s="2" t="s">
        <v>1227</v>
      </c>
      <c r="E679">
        <v>29</v>
      </c>
      <c r="F679" s="2" t="s">
        <v>1220</v>
      </c>
      <c r="G679" s="2" t="s">
        <v>1221</v>
      </c>
      <c r="H679" s="2" t="s">
        <v>1253</v>
      </c>
      <c r="I679" s="1">
        <v>44077</v>
      </c>
      <c r="J679">
        <v>2020</v>
      </c>
      <c r="K679" s="2" t="s">
        <v>1480</v>
      </c>
      <c r="L679" s="4">
        <v>131785</v>
      </c>
      <c r="M679" s="2" t="s">
        <v>1245</v>
      </c>
      <c r="N679" s="2" t="s">
        <v>1231</v>
      </c>
      <c r="O679" s="2" t="s">
        <v>32</v>
      </c>
      <c r="P679" s="3">
        <v>43608</v>
      </c>
      <c r="Q679" s="4">
        <v>487602</v>
      </c>
      <c r="R679">
        <v>675</v>
      </c>
      <c r="S679" t="str">
        <f>IF(Linked[[#This Row],[Credit Score]]&lt;=579,"Poor",IF(Linked[[#This Row],[Credit Score]]&lt;=669,"Fair",IF(Linked[[#This Row],[Credit Score]]&lt;=739,"Good",IF(Linked[[#This Row],[Credit Score]]&lt;=799,"Very Good",IF(Linked[[#This Row],[Credit Score]]&gt;=800,"Excellent")))))</f>
        <v>Good</v>
      </c>
      <c r="T679" s="4">
        <v>0</v>
      </c>
      <c r="U679" s="2"/>
      <c r="V679" s="2"/>
    </row>
    <row r="680" spans="1:22" x14ac:dyDescent="0.25">
      <c r="A680" s="2" t="s">
        <v>1060</v>
      </c>
      <c r="B680" s="2" t="s">
        <v>1059</v>
      </c>
      <c r="C680" s="2" t="s">
        <v>1766</v>
      </c>
      <c r="D680" s="2" t="s">
        <v>1227</v>
      </c>
      <c r="E680">
        <v>65</v>
      </c>
      <c r="F680" s="2" t="s">
        <v>1263</v>
      </c>
      <c r="G680" s="2" t="s">
        <v>1229</v>
      </c>
      <c r="H680" s="2" t="s">
        <v>1235</v>
      </c>
      <c r="I680" s="1">
        <v>45420</v>
      </c>
      <c r="J680">
        <v>2024</v>
      </c>
      <c r="K680" s="2" t="s">
        <v>1767</v>
      </c>
      <c r="L680" s="4">
        <v>166323</v>
      </c>
      <c r="M680" s="2" t="s">
        <v>1223</v>
      </c>
      <c r="N680" s="2" t="s">
        <v>1224</v>
      </c>
      <c r="O680" s="2" t="s">
        <v>25</v>
      </c>
      <c r="P680" s="3">
        <v>42570</v>
      </c>
      <c r="Q680" s="4">
        <v>173860</v>
      </c>
      <c r="R680">
        <v>562</v>
      </c>
      <c r="S680" t="str">
        <f>IF(Linked[[#This Row],[Credit Score]]&lt;=579,"Poor",IF(Linked[[#This Row],[Credit Score]]&lt;=669,"Fair",IF(Linked[[#This Row],[Credit Score]]&lt;=739,"Good",IF(Linked[[#This Row],[Credit Score]]&lt;=799,"Very Good",IF(Linked[[#This Row],[Credit Score]]&gt;=800,"Excellent")))))</f>
        <v>Poor</v>
      </c>
      <c r="T680" s="4">
        <v>0</v>
      </c>
      <c r="U680" s="2"/>
      <c r="V680" s="2"/>
    </row>
    <row r="681" spans="1:22" x14ac:dyDescent="0.25">
      <c r="A681" s="2" t="s">
        <v>809</v>
      </c>
      <c r="B681" s="2" t="s">
        <v>1061</v>
      </c>
      <c r="C681" s="2" t="s">
        <v>2008</v>
      </c>
      <c r="D681" s="2" t="s">
        <v>1227</v>
      </c>
      <c r="E681">
        <v>30</v>
      </c>
      <c r="F681" s="2" t="s">
        <v>1220</v>
      </c>
      <c r="G681" s="2" t="s">
        <v>1243</v>
      </c>
      <c r="H681" s="2" t="s">
        <v>1235</v>
      </c>
      <c r="I681" s="1">
        <v>43847</v>
      </c>
      <c r="J681">
        <v>2020</v>
      </c>
      <c r="K681" s="2" t="s">
        <v>1948</v>
      </c>
      <c r="L681" s="4">
        <v>112447</v>
      </c>
      <c r="M681" s="2" t="s">
        <v>1245</v>
      </c>
      <c r="N681" s="2" t="s">
        <v>1224</v>
      </c>
      <c r="O681" s="2" t="s">
        <v>25</v>
      </c>
      <c r="P681" s="3">
        <v>45392</v>
      </c>
      <c r="Q681" s="4">
        <v>115945</v>
      </c>
      <c r="R681">
        <v>566</v>
      </c>
      <c r="S681" t="str">
        <f>IF(Linked[[#This Row],[Credit Score]]&lt;=579,"Poor",IF(Linked[[#This Row],[Credit Score]]&lt;=669,"Fair",IF(Linked[[#This Row],[Credit Score]]&lt;=739,"Good",IF(Linked[[#This Row],[Credit Score]]&lt;=799,"Very Good",IF(Linked[[#This Row],[Credit Score]]&gt;=800,"Excellent")))))</f>
        <v>Poor</v>
      </c>
      <c r="T681" s="4">
        <v>0</v>
      </c>
      <c r="U681" s="2"/>
      <c r="V681" s="2"/>
    </row>
    <row r="682" spans="1:22" x14ac:dyDescent="0.25">
      <c r="A682" s="2" t="s">
        <v>437</v>
      </c>
      <c r="B682" s="2" t="s">
        <v>1062</v>
      </c>
      <c r="C682" s="2" t="s">
        <v>2151</v>
      </c>
      <c r="D682" s="2" t="s">
        <v>1219</v>
      </c>
      <c r="E682">
        <v>45</v>
      </c>
      <c r="F682" s="2" t="s">
        <v>1228</v>
      </c>
      <c r="G682" s="2" t="s">
        <v>1249</v>
      </c>
      <c r="H682" s="2" t="s">
        <v>1222</v>
      </c>
      <c r="I682" s="1">
        <v>44111</v>
      </c>
      <c r="J682">
        <v>2020</v>
      </c>
      <c r="K682" s="2" t="s">
        <v>2152</v>
      </c>
      <c r="L682" s="4">
        <v>121520</v>
      </c>
      <c r="M682" s="2" t="s">
        <v>1245</v>
      </c>
      <c r="N682" s="2" t="s">
        <v>1231</v>
      </c>
      <c r="O682" s="2" t="s">
        <v>13</v>
      </c>
      <c r="P682" s="3">
        <v>42460</v>
      </c>
      <c r="Q682" s="4">
        <v>213456</v>
      </c>
      <c r="R682">
        <v>658</v>
      </c>
      <c r="S682" t="str">
        <f>IF(Linked[[#This Row],[Credit Score]]&lt;=579,"Poor",IF(Linked[[#This Row],[Credit Score]]&lt;=669,"Fair",IF(Linked[[#This Row],[Credit Score]]&lt;=739,"Good",IF(Linked[[#This Row],[Credit Score]]&lt;=799,"Very Good",IF(Linked[[#This Row],[Credit Score]]&gt;=800,"Excellent")))))</f>
        <v>Fair</v>
      </c>
      <c r="T682" s="4">
        <v>0</v>
      </c>
      <c r="U682" s="2" t="s">
        <v>59</v>
      </c>
      <c r="V682" s="2"/>
    </row>
    <row r="683" spans="1:22" x14ac:dyDescent="0.25">
      <c r="A683" s="2" t="s">
        <v>326</v>
      </c>
      <c r="B683" s="2" t="s">
        <v>1063</v>
      </c>
      <c r="C683" s="2" t="s">
        <v>1549</v>
      </c>
      <c r="D683" s="2" t="s">
        <v>1219</v>
      </c>
      <c r="E683">
        <v>66</v>
      </c>
      <c r="F683" s="2" t="s">
        <v>1263</v>
      </c>
      <c r="G683" s="2" t="s">
        <v>1221</v>
      </c>
      <c r="H683" s="2" t="s">
        <v>1259</v>
      </c>
      <c r="I683" s="1">
        <v>45560</v>
      </c>
      <c r="J683">
        <v>2024</v>
      </c>
      <c r="K683" s="2" t="s">
        <v>1550</v>
      </c>
      <c r="L683" s="4">
        <v>83852</v>
      </c>
      <c r="M683" s="2" t="s">
        <v>1245</v>
      </c>
      <c r="N683" s="2" t="s">
        <v>1224</v>
      </c>
      <c r="O683" s="2" t="s">
        <v>25</v>
      </c>
      <c r="P683" s="3">
        <v>44580</v>
      </c>
      <c r="Q683" s="4">
        <v>308974</v>
      </c>
      <c r="R683">
        <v>616</v>
      </c>
      <c r="S683" t="str">
        <f>IF(Linked[[#This Row],[Credit Score]]&lt;=579,"Poor",IF(Linked[[#This Row],[Credit Score]]&lt;=669,"Fair",IF(Linked[[#This Row],[Credit Score]]&lt;=739,"Good",IF(Linked[[#This Row],[Credit Score]]&lt;=799,"Very Good",IF(Linked[[#This Row],[Credit Score]]&gt;=800,"Excellent")))))</f>
        <v>Fair</v>
      </c>
      <c r="T683" s="4">
        <v>0</v>
      </c>
      <c r="U683" s="2"/>
      <c r="V683" s="2"/>
    </row>
    <row r="684" spans="1:22" x14ac:dyDescent="0.25">
      <c r="A684" s="2" t="s">
        <v>1065</v>
      </c>
      <c r="B684" s="2" t="s">
        <v>1064</v>
      </c>
      <c r="C684" s="2" t="s">
        <v>1873</v>
      </c>
      <c r="D684" s="2" t="s">
        <v>1219</v>
      </c>
      <c r="E684">
        <v>70</v>
      </c>
      <c r="F684" s="2" t="s">
        <v>1263</v>
      </c>
      <c r="G684" s="2" t="s">
        <v>1249</v>
      </c>
      <c r="H684" s="2" t="s">
        <v>1253</v>
      </c>
      <c r="I684" s="1">
        <v>43499</v>
      </c>
      <c r="J684">
        <v>2019</v>
      </c>
      <c r="K684" s="2" t="s">
        <v>1874</v>
      </c>
      <c r="L684" s="4">
        <v>26368</v>
      </c>
      <c r="M684" s="2" t="s">
        <v>1250</v>
      </c>
      <c r="N684" s="2" t="s">
        <v>1231</v>
      </c>
      <c r="O684" s="2" t="s">
        <v>25</v>
      </c>
      <c r="P684" s="3">
        <v>45118</v>
      </c>
      <c r="Q684" s="4">
        <v>52446</v>
      </c>
      <c r="R684">
        <v>623</v>
      </c>
      <c r="S684" t="str">
        <f>IF(Linked[[#This Row],[Credit Score]]&lt;=579,"Poor",IF(Linked[[#This Row],[Credit Score]]&lt;=669,"Fair",IF(Linked[[#This Row],[Credit Score]]&lt;=739,"Good",IF(Linked[[#This Row],[Credit Score]]&lt;=799,"Very Good",IF(Linked[[#This Row],[Credit Score]]&gt;=800,"Excellent")))))</f>
        <v>Fair</v>
      </c>
      <c r="T684" s="4">
        <v>254717</v>
      </c>
      <c r="U684" s="2"/>
      <c r="V684" s="2"/>
    </row>
    <row r="685" spans="1:22" x14ac:dyDescent="0.25">
      <c r="A685" s="2" t="s">
        <v>47</v>
      </c>
      <c r="B685" s="2" t="s">
        <v>1066</v>
      </c>
      <c r="C685" s="2" t="s">
        <v>2166</v>
      </c>
      <c r="D685" s="2" t="s">
        <v>1227</v>
      </c>
      <c r="E685">
        <v>50</v>
      </c>
      <c r="F685" s="2" t="s">
        <v>1228</v>
      </c>
      <c r="G685" s="2" t="s">
        <v>1229</v>
      </c>
      <c r="H685" s="2" t="s">
        <v>1230</v>
      </c>
      <c r="I685" s="1">
        <v>42887</v>
      </c>
      <c r="J685">
        <v>2017</v>
      </c>
      <c r="K685" s="2" t="s">
        <v>2167</v>
      </c>
      <c r="L685" s="4">
        <v>81367</v>
      </c>
      <c r="M685" s="2" t="s">
        <v>1245</v>
      </c>
      <c r="N685" s="2" t="s">
        <v>1231</v>
      </c>
      <c r="O685" s="2" t="s">
        <v>10</v>
      </c>
      <c r="P685" s="3">
        <v>45431</v>
      </c>
      <c r="Q685" s="4">
        <v>498294</v>
      </c>
      <c r="R685">
        <v>720</v>
      </c>
      <c r="S685" t="str">
        <f>IF(Linked[[#This Row],[Credit Score]]&lt;=579,"Poor",IF(Linked[[#This Row],[Credit Score]]&lt;=669,"Fair",IF(Linked[[#This Row],[Credit Score]]&lt;=739,"Good",IF(Linked[[#This Row],[Credit Score]]&lt;=799,"Very Good",IF(Linked[[#This Row],[Credit Score]]&gt;=800,"Excellent")))))</f>
        <v>Good</v>
      </c>
      <c r="T685" s="4">
        <v>139479</v>
      </c>
      <c r="U685" s="2"/>
      <c r="V685" s="2"/>
    </row>
    <row r="686" spans="1:22" x14ac:dyDescent="0.25">
      <c r="A686" s="2" t="s">
        <v>1068</v>
      </c>
      <c r="B686" s="2" t="s">
        <v>1067</v>
      </c>
      <c r="C686" s="2" t="s">
        <v>1758</v>
      </c>
      <c r="D686" s="2" t="s">
        <v>1227</v>
      </c>
      <c r="E686">
        <v>41</v>
      </c>
      <c r="F686" s="2" t="s">
        <v>1220</v>
      </c>
      <c r="G686" s="2" t="s">
        <v>1243</v>
      </c>
      <c r="H686" s="2" t="s">
        <v>1222</v>
      </c>
      <c r="I686" s="1">
        <v>45579</v>
      </c>
      <c r="J686">
        <v>2024</v>
      </c>
      <c r="K686" s="2" t="s">
        <v>1759</v>
      </c>
      <c r="L686" s="4">
        <v>189899</v>
      </c>
      <c r="M686" s="2" t="s">
        <v>1223</v>
      </c>
      <c r="N686" s="2" t="s">
        <v>1231</v>
      </c>
      <c r="O686" s="2" t="s">
        <v>32</v>
      </c>
      <c r="P686" s="3">
        <v>44721</v>
      </c>
      <c r="Q686" s="4">
        <v>408376</v>
      </c>
      <c r="R686">
        <v>345</v>
      </c>
      <c r="S686" t="str">
        <f>IF(Linked[[#This Row],[Credit Score]]&lt;=579,"Poor",IF(Linked[[#This Row],[Credit Score]]&lt;=669,"Fair",IF(Linked[[#This Row],[Credit Score]]&lt;=739,"Good",IF(Linked[[#This Row],[Credit Score]]&lt;=799,"Very Good",IF(Linked[[#This Row],[Credit Score]]&gt;=800,"Excellent")))))</f>
        <v>Poor</v>
      </c>
      <c r="T686" s="4">
        <v>0</v>
      </c>
      <c r="U686" s="2"/>
      <c r="V686" s="2"/>
    </row>
    <row r="687" spans="1:22" x14ac:dyDescent="0.25">
      <c r="A687" s="2" t="s">
        <v>1070</v>
      </c>
      <c r="B687" s="2" t="s">
        <v>1069</v>
      </c>
      <c r="C687" s="2" t="s">
        <v>1976</v>
      </c>
      <c r="D687" s="2" t="s">
        <v>1227</v>
      </c>
      <c r="E687">
        <v>21</v>
      </c>
      <c r="F687" s="2" t="s">
        <v>1242</v>
      </c>
      <c r="G687" s="2" t="s">
        <v>1221</v>
      </c>
      <c r="H687" s="2" t="s">
        <v>1235</v>
      </c>
      <c r="I687" s="1">
        <v>42927</v>
      </c>
      <c r="J687">
        <v>2017</v>
      </c>
      <c r="K687" s="2" t="s">
        <v>1977</v>
      </c>
      <c r="L687" s="4">
        <v>92715</v>
      </c>
      <c r="M687" s="2" t="s">
        <v>1245</v>
      </c>
      <c r="N687" s="2" t="s">
        <v>1224</v>
      </c>
      <c r="O687" s="2" t="s">
        <v>13</v>
      </c>
      <c r="P687" s="3">
        <v>44117</v>
      </c>
      <c r="Q687" s="4">
        <v>187655</v>
      </c>
      <c r="R687">
        <v>568</v>
      </c>
      <c r="S687" t="str">
        <f>IF(Linked[[#This Row],[Credit Score]]&lt;=579,"Poor",IF(Linked[[#This Row],[Credit Score]]&lt;=669,"Fair",IF(Linked[[#This Row],[Credit Score]]&lt;=739,"Good",IF(Linked[[#This Row],[Credit Score]]&lt;=799,"Very Good",IF(Linked[[#This Row],[Credit Score]]&gt;=800,"Excellent")))))</f>
        <v>Poor</v>
      </c>
      <c r="T687" s="4">
        <v>0</v>
      </c>
      <c r="U687" s="2"/>
      <c r="V687" s="2"/>
    </row>
    <row r="688" spans="1:22" x14ac:dyDescent="0.25">
      <c r="A688" s="2" t="s">
        <v>1072</v>
      </c>
      <c r="B688" s="2" t="s">
        <v>1071</v>
      </c>
      <c r="C688" s="2" t="s">
        <v>1918</v>
      </c>
      <c r="D688" s="2" t="s">
        <v>1219</v>
      </c>
      <c r="E688">
        <v>27</v>
      </c>
      <c r="F688" s="2" t="s">
        <v>1242</v>
      </c>
      <c r="G688" s="2" t="s">
        <v>1249</v>
      </c>
      <c r="H688" s="2" t="s">
        <v>1230</v>
      </c>
      <c r="I688" s="1">
        <v>43767</v>
      </c>
      <c r="J688">
        <v>2019</v>
      </c>
      <c r="K688" s="2" t="s">
        <v>1620</v>
      </c>
      <c r="L688" s="4">
        <v>137832</v>
      </c>
      <c r="M688" s="2" t="s">
        <v>1245</v>
      </c>
      <c r="N688" s="2" t="s">
        <v>1224</v>
      </c>
      <c r="O688" s="2" t="s">
        <v>32</v>
      </c>
      <c r="P688" s="3">
        <v>45191</v>
      </c>
      <c r="Q688" s="4">
        <v>427214</v>
      </c>
      <c r="R688">
        <v>680</v>
      </c>
      <c r="S688" t="str">
        <f>IF(Linked[[#This Row],[Credit Score]]&lt;=579,"Poor",IF(Linked[[#This Row],[Credit Score]]&lt;=669,"Fair",IF(Linked[[#This Row],[Credit Score]]&lt;=739,"Good",IF(Linked[[#This Row],[Credit Score]]&lt;=799,"Very Good",IF(Linked[[#This Row],[Credit Score]]&gt;=800,"Excellent")))))</f>
        <v>Good</v>
      </c>
      <c r="T688" s="4">
        <v>0</v>
      </c>
      <c r="U688" s="2"/>
      <c r="V688" s="2"/>
    </row>
    <row r="689" spans="1:22" x14ac:dyDescent="0.25">
      <c r="A689" s="2" t="s">
        <v>391</v>
      </c>
      <c r="B689" s="2" t="s">
        <v>1073</v>
      </c>
      <c r="C689" s="2" t="s">
        <v>1625</v>
      </c>
      <c r="D689" s="2" t="s">
        <v>1219</v>
      </c>
      <c r="E689">
        <v>72</v>
      </c>
      <c r="F689" s="2" t="s">
        <v>1263</v>
      </c>
      <c r="G689" s="2" t="s">
        <v>1249</v>
      </c>
      <c r="H689" s="2" t="s">
        <v>1244</v>
      </c>
      <c r="I689" s="1">
        <v>45538</v>
      </c>
      <c r="J689">
        <v>2024</v>
      </c>
      <c r="K689" s="2" t="s">
        <v>1626</v>
      </c>
      <c r="L689" s="4">
        <v>143786</v>
      </c>
      <c r="M689" s="2" t="s">
        <v>1223</v>
      </c>
      <c r="N689" s="2" t="s">
        <v>1224</v>
      </c>
      <c r="O689" s="2" t="s">
        <v>32</v>
      </c>
      <c r="P689" s="3">
        <v>42251</v>
      </c>
      <c r="Q689" s="4">
        <v>420446</v>
      </c>
      <c r="R689">
        <v>417</v>
      </c>
      <c r="S689" t="str">
        <f>IF(Linked[[#This Row],[Credit Score]]&lt;=579,"Poor",IF(Linked[[#This Row],[Credit Score]]&lt;=669,"Fair",IF(Linked[[#This Row],[Credit Score]]&lt;=739,"Good",IF(Linked[[#This Row],[Credit Score]]&lt;=799,"Very Good",IF(Linked[[#This Row],[Credit Score]]&gt;=800,"Excellent")))))</f>
        <v>Poor</v>
      </c>
      <c r="T689" s="4">
        <v>0</v>
      </c>
      <c r="U689" s="2"/>
      <c r="V689" s="2"/>
    </row>
    <row r="690" spans="1:22" x14ac:dyDescent="0.25">
      <c r="A690" s="2" t="s">
        <v>1075</v>
      </c>
      <c r="B690" s="2" t="s">
        <v>1074</v>
      </c>
      <c r="C690" s="2" t="s">
        <v>1547</v>
      </c>
      <c r="D690" s="2" t="s">
        <v>1227</v>
      </c>
      <c r="E690">
        <v>64</v>
      </c>
      <c r="F690" s="2" t="s">
        <v>1263</v>
      </c>
      <c r="G690" s="2" t="s">
        <v>1229</v>
      </c>
      <c r="H690" s="2" t="s">
        <v>1239</v>
      </c>
      <c r="I690" s="1">
        <v>43326</v>
      </c>
      <c r="J690">
        <v>2018</v>
      </c>
      <c r="K690" s="2" t="s">
        <v>1548</v>
      </c>
      <c r="L690" s="4">
        <v>51575</v>
      </c>
      <c r="M690" s="2" t="s">
        <v>1250</v>
      </c>
      <c r="N690" s="2" t="s">
        <v>1231</v>
      </c>
      <c r="O690" s="2" t="s">
        <v>13</v>
      </c>
      <c r="P690" s="3">
        <v>45305</v>
      </c>
      <c r="Q690" s="4">
        <v>140148</v>
      </c>
      <c r="R690">
        <v>415</v>
      </c>
      <c r="S690" t="str">
        <f>IF(Linked[[#This Row],[Credit Score]]&lt;=579,"Poor",IF(Linked[[#This Row],[Credit Score]]&lt;=669,"Fair",IF(Linked[[#This Row],[Credit Score]]&lt;=739,"Good",IF(Linked[[#This Row],[Credit Score]]&lt;=799,"Very Good",IF(Linked[[#This Row],[Credit Score]]&gt;=800,"Excellent")))))</f>
        <v>Poor</v>
      </c>
      <c r="T690" s="4">
        <v>0</v>
      </c>
      <c r="U690" s="2" t="s">
        <v>59</v>
      </c>
      <c r="V690" s="2"/>
    </row>
    <row r="691" spans="1:22" x14ac:dyDescent="0.25">
      <c r="A691" s="2" t="s">
        <v>667</v>
      </c>
      <c r="B691" s="2" t="s">
        <v>1076</v>
      </c>
      <c r="C691" s="2" t="s">
        <v>1652</v>
      </c>
      <c r="D691" s="2" t="s">
        <v>1219</v>
      </c>
      <c r="E691">
        <v>50</v>
      </c>
      <c r="F691" s="2" t="s">
        <v>1228</v>
      </c>
      <c r="G691" s="2" t="s">
        <v>1243</v>
      </c>
      <c r="H691" s="2" t="s">
        <v>1259</v>
      </c>
      <c r="I691" s="1">
        <v>45535</v>
      </c>
      <c r="J691">
        <v>2024</v>
      </c>
      <c r="K691" s="2" t="s">
        <v>1653</v>
      </c>
      <c r="L691" s="4">
        <v>165360</v>
      </c>
      <c r="M691" s="2" t="s">
        <v>1223</v>
      </c>
      <c r="N691" s="2" t="s">
        <v>1224</v>
      </c>
      <c r="O691" s="2" t="s">
        <v>10</v>
      </c>
      <c r="P691" s="3">
        <v>45418</v>
      </c>
      <c r="Q691" s="4">
        <v>69341</v>
      </c>
      <c r="R691">
        <v>559</v>
      </c>
      <c r="S691" t="str">
        <f>IF(Linked[[#This Row],[Credit Score]]&lt;=579,"Poor",IF(Linked[[#This Row],[Credit Score]]&lt;=669,"Fair",IF(Linked[[#This Row],[Credit Score]]&lt;=739,"Good",IF(Linked[[#This Row],[Credit Score]]&lt;=799,"Very Good",IF(Linked[[#This Row],[Credit Score]]&gt;=800,"Excellent")))))</f>
        <v>Poor</v>
      </c>
      <c r="T691" s="4">
        <v>0</v>
      </c>
      <c r="U691" s="2"/>
      <c r="V691" s="2"/>
    </row>
    <row r="692" spans="1:22" x14ac:dyDescent="0.25">
      <c r="A692" s="2" t="s">
        <v>34</v>
      </c>
      <c r="B692" s="2" t="s">
        <v>1077</v>
      </c>
      <c r="C692" s="2" t="s">
        <v>2277</v>
      </c>
      <c r="D692" s="2" t="s">
        <v>1227</v>
      </c>
      <c r="E692">
        <v>55</v>
      </c>
      <c r="F692" s="2" t="s">
        <v>1228</v>
      </c>
      <c r="G692" s="2" t="s">
        <v>1229</v>
      </c>
      <c r="H692" s="2" t="s">
        <v>1259</v>
      </c>
      <c r="I692" s="1">
        <v>45621</v>
      </c>
      <c r="J692">
        <v>2024</v>
      </c>
      <c r="K692" s="2" t="s">
        <v>2278</v>
      </c>
      <c r="L692" s="4">
        <v>166470</v>
      </c>
      <c r="M692" s="2" t="s">
        <v>1223</v>
      </c>
      <c r="N692" s="2" t="s">
        <v>1224</v>
      </c>
      <c r="O692" s="2" t="s">
        <v>32</v>
      </c>
      <c r="P692" s="3">
        <v>44766</v>
      </c>
      <c r="Q692" s="4">
        <v>31085</v>
      </c>
      <c r="R692">
        <v>374</v>
      </c>
      <c r="S692" t="str">
        <f>IF(Linked[[#This Row],[Credit Score]]&lt;=579,"Poor",IF(Linked[[#This Row],[Credit Score]]&lt;=669,"Fair",IF(Linked[[#This Row],[Credit Score]]&lt;=739,"Good",IF(Linked[[#This Row],[Credit Score]]&lt;=799,"Very Good",IF(Linked[[#This Row],[Credit Score]]&gt;=800,"Excellent")))))</f>
        <v>Poor</v>
      </c>
      <c r="T692" s="4">
        <v>0</v>
      </c>
      <c r="U692" s="2"/>
      <c r="V692" s="2"/>
    </row>
    <row r="693" spans="1:22" x14ac:dyDescent="0.25">
      <c r="A693" s="2" t="s">
        <v>172</v>
      </c>
      <c r="B693" s="2" t="s">
        <v>1078</v>
      </c>
      <c r="C693" s="2" t="s">
        <v>1350</v>
      </c>
      <c r="D693" s="2" t="s">
        <v>1227</v>
      </c>
      <c r="E693">
        <v>63</v>
      </c>
      <c r="F693" s="2" t="s">
        <v>1263</v>
      </c>
      <c r="G693" s="2" t="s">
        <v>1249</v>
      </c>
      <c r="H693" s="2" t="s">
        <v>1239</v>
      </c>
      <c r="I693" s="1">
        <v>42750</v>
      </c>
      <c r="J693">
        <v>2017</v>
      </c>
      <c r="K693" s="2" t="s">
        <v>1351</v>
      </c>
      <c r="L693" s="4">
        <v>27287</v>
      </c>
      <c r="M693" s="2" t="s">
        <v>1250</v>
      </c>
      <c r="N693" s="2" t="s">
        <v>1224</v>
      </c>
      <c r="O693" s="2" t="s">
        <v>13</v>
      </c>
      <c r="P693" s="3">
        <v>44838</v>
      </c>
      <c r="Q693" s="4">
        <v>317715</v>
      </c>
      <c r="R693">
        <v>779</v>
      </c>
      <c r="S693" t="str">
        <f>IF(Linked[[#This Row],[Credit Score]]&lt;=579,"Poor",IF(Linked[[#This Row],[Credit Score]]&lt;=669,"Fair",IF(Linked[[#This Row],[Credit Score]]&lt;=739,"Good",IF(Linked[[#This Row],[Credit Score]]&lt;=799,"Very Good",IF(Linked[[#This Row],[Credit Score]]&gt;=800,"Excellent")))))</f>
        <v>Very Good</v>
      </c>
      <c r="T693" s="4">
        <v>0</v>
      </c>
      <c r="U693" s="2"/>
      <c r="V693" s="2"/>
    </row>
    <row r="694" spans="1:22" x14ac:dyDescent="0.25">
      <c r="A694" s="2" t="s">
        <v>156</v>
      </c>
      <c r="B694" s="2" t="s">
        <v>1079</v>
      </c>
      <c r="C694" s="2" t="s">
        <v>1898</v>
      </c>
      <c r="D694" s="2" t="s">
        <v>1219</v>
      </c>
      <c r="E694">
        <v>22</v>
      </c>
      <c r="F694" s="2" t="s">
        <v>1242</v>
      </c>
      <c r="G694" s="2" t="s">
        <v>1249</v>
      </c>
      <c r="H694" s="2" t="s">
        <v>1253</v>
      </c>
      <c r="I694" s="1">
        <v>44473</v>
      </c>
      <c r="J694">
        <v>2021</v>
      </c>
      <c r="K694" s="2" t="s">
        <v>1899</v>
      </c>
      <c r="L694" s="4">
        <v>95897</v>
      </c>
      <c r="M694" s="2" t="s">
        <v>1245</v>
      </c>
      <c r="N694" s="2" t="s">
        <v>1224</v>
      </c>
      <c r="O694" s="2" t="s">
        <v>10</v>
      </c>
      <c r="P694" s="3">
        <v>45292</v>
      </c>
      <c r="Q694" s="4">
        <v>407931</v>
      </c>
      <c r="R694">
        <v>604</v>
      </c>
      <c r="S694" t="str">
        <f>IF(Linked[[#This Row],[Credit Score]]&lt;=579,"Poor",IF(Linked[[#This Row],[Credit Score]]&lt;=669,"Fair",IF(Linked[[#This Row],[Credit Score]]&lt;=739,"Good",IF(Linked[[#This Row],[Credit Score]]&lt;=799,"Very Good",IF(Linked[[#This Row],[Credit Score]]&gt;=800,"Excellent")))))</f>
        <v>Fair</v>
      </c>
      <c r="T694" s="4">
        <v>0</v>
      </c>
      <c r="U694" s="2"/>
      <c r="V694" s="2"/>
    </row>
    <row r="695" spans="1:22" x14ac:dyDescent="0.25">
      <c r="A695" s="2" t="s">
        <v>497</v>
      </c>
      <c r="B695" s="2" t="s">
        <v>1080</v>
      </c>
      <c r="C695" s="2" t="s">
        <v>2038</v>
      </c>
      <c r="D695" s="2" t="s">
        <v>1219</v>
      </c>
      <c r="E695">
        <v>42</v>
      </c>
      <c r="F695" s="2" t="s">
        <v>1220</v>
      </c>
      <c r="G695" s="2" t="s">
        <v>1243</v>
      </c>
      <c r="H695" s="2" t="s">
        <v>1253</v>
      </c>
      <c r="I695" s="1">
        <v>44954</v>
      </c>
      <c r="J695">
        <v>2023</v>
      </c>
      <c r="K695" s="2" t="s">
        <v>2017</v>
      </c>
      <c r="L695" s="4">
        <v>181099</v>
      </c>
      <c r="M695" s="2" t="s">
        <v>1223</v>
      </c>
      <c r="N695" s="2" t="s">
        <v>1231</v>
      </c>
      <c r="O695" s="2" t="s">
        <v>32</v>
      </c>
      <c r="P695" s="3">
        <v>45202</v>
      </c>
      <c r="Q695" s="4">
        <v>390452</v>
      </c>
      <c r="R695">
        <v>306</v>
      </c>
      <c r="S695" t="str">
        <f>IF(Linked[[#This Row],[Credit Score]]&lt;=579,"Poor",IF(Linked[[#This Row],[Credit Score]]&lt;=669,"Fair",IF(Linked[[#This Row],[Credit Score]]&lt;=739,"Good",IF(Linked[[#This Row],[Credit Score]]&lt;=799,"Very Good",IF(Linked[[#This Row],[Credit Score]]&gt;=800,"Excellent")))))</f>
        <v>Poor</v>
      </c>
      <c r="T695" s="4">
        <v>0</v>
      </c>
      <c r="U695" s="2" t="s">
        <v>59</v>
      </c>
      <c r="V695" s="2"/>
    </row>
    <row r="696" spans="1:22" x14ac:dyDescent="0.25">
      <c r="A696" s="2" t="s">
        <v>717</v>
      </c>
      <c r="B696" s="2" t="s">
        <v>1081</v>
      </c>
      <c r="C696" s="2" t="s">
        <v>1654</v>
      </c>
      <c r="D696" s="2" t="s">
        <v>1227</v>
      </c>
      <c r="E696">
        <v>68</v>
      </c>
      <c r="F696" s="2" t="s">
        <v>1263</v>
      </c>
      <c r="G696" s="2" t="s">
        <v>1221</v>
      </c>
      <c r="H696" s="2" t="s">
        <v>1235</v>
      </c>
      <c r="I696" s="1">
        <v>43008</v>
      </c>
      <c r="J696">
        <v>2017</v>
      </c>
      <c r="K696" s="2" t="s">
        <v>1655</v>
      </c>
      <c r="L696" s="4">
        <v>109186</v>
      </c>
      <c r="M696" s="2" t="s">
        <v>1245</v>
      </c>
      <c r="N696" s="2" t="s">
        <v>1224</v>
      </c>
      <c r="O696" s="2" t="s">
        <v>10</v>
      </c>
      <c r="P696" s="3">
        <v>43570</v>
      </c>
      <c r="Q696" s="4">
        <v>5750</v>
      </c>
      <c r="R696">
        <v>665</v>
      </c>
      <c r="S696" t="str">
        <f>IF(Linked[[#This Row],[Credit Score]]&lt;=579,"Poor",IF(Linked[[#This Row],[Credit Score]]&lt;=669,"Fair",IF(Linked[[#This Row],[Credit Score]]&lt;=739,"Good",IF(Linked[[#This Row],[Credit Score]]&lt;=799,"Very Good",IF(Linked[[#This Row],[Credit Score]]&gt;=800,"Excellent")))))</f>
        <v>Fair</v>
      </c>
      <c r="T696" s="4">
        <v>367612</v>
      </c>
      <c r="U696" s="2"/>
      <c r="V696" s="2"/>
    </row>
    <row r="697" spans="1:22" x14ac:dyDescent="0.25">
      <c r="A697" s="2" t="s">
        <v>1048</v>
      </c>
      <c r="B697" s="2" t="s">
        <v>1082</v>
      </c>
      <c r="C697" s="2" t="s">
        <v>1536</v>
      </c>
      <c r="D697" s="2" t="s">
        <v>1219</v>
      </c>
      <c r="E697">
        <v>74</v>
      </c>
      <c r="F697" s="2" t="s">
        <v>1263</v>
      </c>
      <c r="G697" s="2" t="s">
        <v>1249</v>
      </c>
      <c r="H697" s="2" t="s">
        <v>1244</v>
      </c>
      <c r="I697" s="1">
        <v>45439</v>
      </c>
      <c r="J697">
        <v>2024</v>
      </c>
      <c r="K697" s="2" t="s">
        <v>1537</v>
      </c>
      <c r="L697" s="4">
        <v>148232</v>
      </c>
      <c r="M697" s="2" t="s">
        <v>1223</v>
      </c>
      <c r="N697" s="2" t="s">
        <v>1231</v>
      </c>
      <c r="O697" s="2" t="s">
        <v>13</v>
      </c>
      <c r="P697" s="3">
        <v>45254</v>
      </c>
      <c r="Q697" s="4">
        <v>376075</v>
      </c>
      <c r="R697">
        <v>822</v>
      </c>
      <c r="S697" t="str">
        <f>IF(Linked[[#This Row],[Credit Score]]&lt;=579,"Poor",IF(Linked[[#This Row],[Credit Score]]&lt;=669,"Fair",IF(Linked[[#This Row],[Credit Score]]&lt;=739,"Good",IF(Linked[[#This Row],[Credit Score]]&lt;=799,"Very Good",IF(Linked[[#This Row],[Credit Score]]&gt;=800,"Excellent")))))</f>
        <v>Excellent</v>
      </c>
      <c r="T697" s="4">
        <v>396351</v>
      </c>
      <c r="U697" s="2"/>
      <c r="V697" s="2"/>
    </row>
    <row r="698" spans="1:22" x14ac:dyDescent="0.25">
      <c r="A698" s="2" t="s">
        <v>384</v>
      </c>
      <c r="B698" s="2" t="s">
        <v>1083</v>
      </c>
      <c r="C698" s="2" t="s">
        <v>1337</v>
      </c>
      <c r="D698" s="2" t="s">
        <v>1227</v>
      </c>
      <c r="E698">
        <v>74</v>
      </c>
      <c r="F698" s="2" t="s">
        <v>1263</v>
      </c>
      <c r="G698" s="2" t="s">
        <v>1229</v>
      </c>
      <c r="H698" s="2" t="s">
        <v>1253</v>
      </c>
      <c r="I698" s="1">
        <v>44752</v>
      </c>
      <c r="J698">
        <v>2022</v>
      </c>
      <c r="K698" s="2" t="s">
        <v>1338</v>
      </c>
      <c r="L698" s="4">
        <v>132855</v>
      </c>
      <c r="M698" s="2" t="s">
        <v>1245</v>
      </c>
      <c r="N698" s="2" t="s">
        <v>1231</v>
      </c>
      <c r="O698" s="2" t="s">
        <v>10</v>
      </c>
      <c r="P698" s="3">
        <v>45220</v>
      </c>
      <c r="Q698" s="4">
        <v>340912</v>
      </c>
      <c r="R698">
        <v>647</v>
      </c>
      <c r="S698" t="str">
        <f>IF(Linked[[#This Row],[Credit Score]]&lt;=579,"Poor",IF(Linked[[#This Row],[Credit Score]]&lt;=669,"Fair",IF(Linked[[#This Row],[Credit Score]]&lt;=739,"Good",IF(Linked[[#This Row],[Credit Score]]&lt;=799,"Very Good",IF(Linked[[#This Row],[Credit Score]]&gt;=800,"Excellent")))))</f>
        <v>Fair</v>
      </c>
      <c r="T698" s="4">
        <v>0</v>
      </c>
      <c r="U698" s="2" t="s">
        <v>39</v>
      </c>
      <c r="V698" s="2"/>
    </row>
    <row r="699" spans="1:22" x14ac:dyDescent="0.25">
      <c r="A699" s="2" t="s">
        <v>657</v>
      </c>
      <c r="B699" s="2" t="s">
        <v>1084</v>
      </c>
      <c r="C699" s="2" t="s">
        <v>2114</v>
      </c>
      <c r="D699" s="2" t="s">
        <v>1219</v>
      </c>
      <c r="E699">
        <v>40</v>
      </c>
      <c r="F699" s="2" t="s">
        <v>1220</v>
      </c>
      <c r="G699" s="2" t="s">
        <v>1249</v>
      </c>
      <c r="H699" s="2" t="s">
        <v>1244</v>
      </c>
      <c r="I699" s="1">
        <v>44268</v>
      </c>
      <c r="J699">
        <v>2021</v>
      </c>
      <c r="K699" s="2" t="s">
        <v>2115</v>
      </c>
      <c r="L699" s="4">
        <v>77056</v>
      </c>
      <c r="M699" s="2" t="s">
        <v>1245</v>
      </c>
      <c r="N699" s="2" t="s">
        <v>1224</v>
      </c>
      <c r="O699" s="2" t="s">
        <v>13</v>
      </c>
      <c r="P699" s="3">
        <v>44554</v>
      </c>
      <c r="Q699" s="4">
        <v>35903</v>
      </c>
      <c r="R699">
        <v>737</v>
      </c>
      <c r="S699" t="str">
        <f>IF(Linked[[#This Row],[Credit Score]]&lt;=579,"Poor",IF(Linked[[#This Row],[Credit Score]]&lt;=669,"Fair",IF(Linked[[#This Row],[Credit Score]]&lt;=739,"Good",IF(Linked[[#This Row],[Credit Score]]&lt;=799,"Very Good",IF(Linked[[#This Row],[Credit Score]]&gt;=800,"Excellent")))))</f>
        <v>Good</v>
      </c>
      <c r="T699" s="4">
        <v>0</v>
      </c>
      <c r="U699" s="2"/>
      <c r="V699" s="2"/>
    </row>
    <row r="700" spans="1:22" x14ac:dyDescent="0.25">
      <c r="A700" s="2" t="s">
        <v>597</v>
      </c>
      <c r="B700" s="2" t="s">
        <v>1085</v>
      </c>
      <c r="C700" s="2" t="s">
        <v>2061</v>
      </c>
      <c r="D700" s="2" t="s">
        <v>1219</v>
      </c>
      <c r="E700">
        <v>38</v>
      </c>
      <c r="F700" s="2" t="s">
        <v>1220</v>
      </c>
      <c r="G700" s="2" t="s">
        <v>1249</v>
      </c>
      <c r="H700" s="2" t="s">
        <v>1259</v>
      </c>
      <c r="I700" s="1">
        <v>44538</v>
      </c>
      <c r="J700">
        <v>2021</v>
      </c>
      <c r="K700" s="2" t="s">
        <v>2062</v>
      </c>
      <c r="L700" s="4">
        <v>134225</v>
      </c>
      <c r="M700" s="2" t="s">
        <v>1245</v>
      </c>
      <c r="N700" s="2" t="s">
        <v>1231</v>
      </c>
      <c r="O700" s="2" t="s">
        <v>10</v>
      </c>
      <c r="P700" s="3">
        <v>42385</v>
      </c>
      <c r="Q700" s="4">
        <v>203561</v>
      </c>
      <c r="R700">
        <v>514</v>
      </c>
      <c r="S700" t="str">
        <f>IF(Linked[[#This Row],[Credit Score]]&lt;=579,"Poor",IF(Linked[[#This Row],[Credit Score]]&lt;=669,"Fair",IF(Linked[[#This Row],[Credit Score]]&lt;=739,"Good",IF(Linked[[#This Row],[Credit Score]]&lt;=799,"Very Good",IF(Linked[[#This Row],[Credit Score]]&gt;=800,"Excellent")))))</f>
        <v>Poor</v>
      </c>
      <c r="T700" s="4">
        <v>452603</v>
      </c>
      <c r="U700" s="2" t="s">
        <v>39</v>
      </c>
      <c r="V700" s="2"/>
    </row>
    <row r="701" spans="1:22" x14ac:dyDescent="0.25">
      <c r="A701" s="2" t="s">
        <v>652</v>
      </c>
      <c r="B701" s="2" t="s">
        <v>1086</v>
      </c>
      <c r="C701" s="2" t="s">
        <v>2004</v>
      </c>
      <c r="D701" s="2" t="s">
        <v>1219</v>
      </c>
      <c r="E701">
        <v>20</v>
      </c>
      <c r="F701" s="2" t="s">
        <v>1242</v>
      </c>
      <c r="G701" s="2" t="s">
        <v>1221</v>
      </c>
      <c r="H701" s="2" t="s">
        <v>1222</v>
      </c>
      <c r="I701" s="1">
        <v>43727</v>
      </c>
      <c r="J701">
        <v>2019</v>
      </c>
      <c r="K701" s="2" t="s">
        <v>2005</v>
      </c>
      <c r="L701" s="4">
        <v>22356</v>
      </c>
      <c r="M701" s="2" t="s">
        <v>1250</v>
      </c>
      <c r="N701" s="2" t="s">
        <v>1224</v>
      </c>
      <c r="O701" s="2" t="s">
        <v>13</v>
      </c>
      <c r="P701" s="3">
        <v>43847</v>
      </c>
      <c r="Q701" s="4">
        <v>425309</v>
      </c>
      <c r="R701">
        <v>728</v>
      </c>
      <c r="S701" t="str">
        <f>IF(Linked[[#This Row],[Credit Score]]&lt;=579,"Poor",IF(Linked[[#This Row],[Credit Score]]&lt;=669,"Fair",IF(Linked[[#This Row],[Credit Score]]&lt;=739,"Good",IF(Linked[[#This Row],[Credit Score]]&lt;=799,"Very Good",IF(Linked[[#This Row],[Credit Score]]&gt;=800,"Excellent")))))</f>
        <v>Good</v>
      </c>
      <c r="T701" s="4">
        <v>0</v>
      </c>
      <c r="U701" s="2"/>
      <c r="V701" s="2"/>
    </row>
    <row r="702" spans="1:22" x14ac:dyDescent="0.25">
      <c r="A702" s="2" t="s">
        <v>114</v>
      </c>
      <c r="B702" s="2" t="s">
        <v>1087</v>
      </c>
      <c r="C702" s="2" t="s">
        <v>1439</v>
      </c>
      <c r="D702" s="2" t="s">
        <v>1227</v>
      </c>
      <c r="E702">
        <v>57</v>
      </c>
      <c r="F702" s="2" t="s">
        <v>1228</v>
      </c>
      <c r="G702" s="2" t="s">
        <v>1229</v>
      </c>
      <c r="H702" s="2" t="s">
        <v>1244</v>
      </c>
      <c r="I702" s="1">
        <v>42239</v>
      </c>
      <c r="J702">
        <v>2015</v>
      </c>
      <c r="K702" s="2" t="s">
        <v>1440</v>
      </c>
      <c r="L702" s="4">
        <v>160588</v>
      </c>
      <c r="M702" s="2" t="s">
        <v>1223</v>
      </c>
      <c r="N702" s="2" t="s">
        <v>1224</v>
      </c>
      <c r="O702" s="2" t="s">
        <v>10</v>
      </c>
      <c r="P702" s="3">
        <v>44178</v>
      </c>
      <c r="Q702" s="4">
        <v>91036</v>
      </c>
      <c r="R702">
        <v>797</v>
      </c>
      <c r="S702" t="str">
        <f>IF(Linked[[#This Row],[Credit Score]]&lt;=579,"Poor",IF(Linked[[#This Row],[Credit Score]]&lt;=669,"Fair",IF(Linked[[#This Row],[Credit Score]]&lt;=739,"Good",IF(Linked[[#This Row],[Credit Score]]&lt;=799,"Very Good",IF(Linked[[#This Row],[Credit Score]]&gt;=800,"Excellent")))))</f>
        <v>Very Good</v>
      </c>
      <c r="T702" s="4">
        <v>0</v>
      </c>
      <c r="U702" s="2" t="s">
        <v>18</v>
      </c>
      <c r="V702" s="2"/>
    </row>
    <row r="703" spans="1:22" x14ac:dyDescent="0.25">
      <c r="A703" s="2" t="s">
        <v>190</v>
      </c>
      <c r="B703" s="2" t="s">
        <v>1088</v>
      </c>
      <c r="C703" s="2" t="s">
        <v>1881</v>
      </c>
      <c r="D703" s="2" t="s">
        <v>1227</v>
      </c>
      <c r="E703">
        <v>56</v>
      </c>
      <c r="F703" s="2" t="s">
        <v>1228</v>
      </c>
      <c r="G703" s="2" t="s">
        <v>1249</v>
      </c>
      <c r="H703" s="2" t="s">
        <v>1244</v>
      </c>
      <c r="I703" s="1">
        <v>42510</v>
      </c>
      <c r="J703">
        <v>2016</v>
      </c>
      <c r="K703" s="2" t="s">
        <v>1882</v>
      </c>
      <c r="L703" s="4">
        <v>132755</v>
      </c>
      <c r="M703" s="2" t="s">
        <v>1245</v>
      </c>
      <c r="N703" s="2" t="s">
        <v>1224</v>
      </c>
      <c r="O703" s="2" t="s">
        <v>10</v>
      </c>
      <c r="P703" s="3">
        <v>45204</v>
      </c>
      <c r="Q703" s="4">
        <v>87954</v>
      </c>
      <c r="R703">
        <v>839</v>
      </c>
      <c r="S703" t="str">
        <f>IF(Linked[[#This Row],[Credit Score]]&lt;=579,"Poor",IF(Linked[[#This Row],[Credit Score]]&lt;=669,"Fair",IF(Linked[[#This Row],[Credit Score]]&lt;=739,"Good",IF(Linked[[#This Row],[Credit Score]]&lt;=799,"Very Good",IF(Linked[[#This Row],[Credit Score]]&gt;=800,"Excellent")))))</f>
        <v>Excellent</v>
      </c>
      <c r="T703" s="4">
        <v>0</v>
      </c>
      <c r="U703" s="2"/>
      <c r="V703" s="2"/>
    </row>
    <row r="704" spans="1:22" x14ac:dyDescent="0.25">
      <c r="A704" s="2" t="s">
        <v>350</v>
      </c>
      <c r="B704" s="2" t="s">
        <v>1089</v>
      </c>
      <c r="C704" s="2" t="s">
        <v>1978</v>
      </c>
      <c r="D704" s="2" t="s">
        <v>1219</v>
      </c>
      <c r="E704">
        <v>53</v>
      </c>
      <c r="F704" s="2" t="s">
        <v>1228</v>
      </c>
      <c r="G704" s="2" t="s">
        <v>1221</v>
      </c>
      <c r="H704" s="2" t="s">
        <v>1235</v>
      </c>
      <c r="I704" s="1">
        <v>43009</v>
      </c>
      <c r="J704">
        <v>2017</v>
      </c>
      <c r="K704" s="2" t="s">
        <v>1979</v>
      </c>
      <c r="L704" s="4">
        <v>161398</v>
      </c>
      <c r="M704" s="2" t="s">
        <v>1223</v>
      </c>
      <c r="N704" s="2" t="s">
        <v>1224</v>
      </c>
      <c r="O704" s="2" t="s">
        <v>25</v>
      </c>
      <c r="P704" s="3">
        <v>42906</v>
      </c>
      <c r="Q704" s="4">
        <v>427530</v>
      </c>
      <c r="R704">
        <v>666</v>
      </c>
      <c r="S704" t="str">
        <f>IF(Linked[[#This Row],[Credit Score]]&lt;=579,"Poor",IF(Linked[[#This Row],[Credit Score]]&lt;=669,"Fair",IF(Linked[[#This Row],[Credit Score]]&lt;=739,"Good",IF(Linked[[#This Row],[Credit Score]]&lt;=799,"Very Good",IF(Linked[[#This Row],[Credit Score]]&gt;=800,"Excellent")))))</f>
        <v>Fair</v>
      </c>
      <c r="T704" s="4">
        <v>449958</v>
      </c>
      <c r="U704" s="2"/>
      <c r="V704" s="2"/>
    </row>
    <row r="705" spans="1:22" x14ac:dyDescent="0.25">
      <c r="A705" s="2" t="s">
        <v>148</v>
      </c>
      <c r="B705" s="2" t="s">
        <v>1090</v>
      </c>
      <c r="C705" s="2" t="s">
        <v>1776</v>
      </c>
      <c r="D705" s="2" t="s">
        <v>1219</v>
      </c>
      <c r="E705">
        <v>56</v>
      </c>
      <c r="F705" s="2" t="s">
        <v>1228</v>
      </c>
      <c r="G705" s="2" t="s">
        <v>1249</v>
      </c>
      <c r="H705" s="2" t="s">
        <v>1253</v>
      </c>
      <c r="I705" s="1">
        <v>43395</v>
      </c>
      <c r="J705">
        <v>2018</v>
      </c>
      <c r="K705" s="2" t="s">
        <v>1777</v>
      </c>
      <c r="L705" s="4">
        <v>67837</v>
      </c>
      <c r="M705" s="2" t="s">
        <v>1250</v>
      </c>
      <c r="N705" s="2" t="s">
        <v>1231</v>
      </c>
      <c r="O705" s="2" t="s">
        <v>10</v>
      </c>
      <c r="P705" s="3">
        <v>42712</v>
      </c>
      <c r="Q705" s="4">
        <v>441441</v>
      </c>
      <c r="R705">
        <v>612</v>
      </c>
      <c r="S705" t="str">
        <f>IF(Linked[[#This Row],[Credit Score]]&lt;=579,"Poor",IF(Linked[[#This Row],[Credit Score]]&lt;=669,"Fair",IF(Linked[[#This Row],[Credit Score]]&lt;=739,"Good",IF(Linked[[#This Row],[Credit Score]]&lt;=799,"Very Good",IF(Linked[[#This Row],[Credit Score]]&gt;=800,"Excellent")))))</f>
        <v>Fair</v>
      </c>
      <c r="T705" s="4">
        <v>307666</v>
      </c>
      <c r="U705" s="2"/>
      <c r="V705" s="2"/>
    </row>
    <row r="706" spans="1:22" x14ac:dyDescent="0.25">
      <c r="A706" s="2" t="s">
        <v>1092</v>
      </c>
      <c r="B706" s="2" t="s">
        <v>1091</v>
      </c>
      <c r="C706" s="2" t="s">
        <v>2168</v>
      </c>
      <c r="D706" s="2" t="s">
        <v>1219</v>
      </c>
      <c r="E706">
        <v>70</v>
      </c>
      <c r="F706" s="2" t="s">
        <v>1263</v>
      </c>
      <c r="G706" s="2" t="s">
        <v>1229</v>
      </c>
      <c r="H706" s="2" t="s">
        <v>1239</v>
      </c>
      <c r="I706" s="1">
        <v>43774</v>
      </c>
      <c r="J706">
        <v>2019</v>
      </c>
      <c r="K706" s="2" t="s">
        <v>2169</v>
      </c>
      <c r="L706" s="4">
        <v>163660</v>
      </c>
      <c r="M706" s="2" t="s">
        <v>1223</v>
      </c>
      <c r="N706" s="2" t="s">
        <v>1231</v>
      </c>
      <c r="O706" s="2" t="s">
        <v>10</v>
      </c>
      <c r="P706" s="3">
        <v>43503</v>
      </c>
      <c r="Q706" s="4">
        <v>481201</v>
      </c>
      <c r="R706">
        <v>837</v>
      </c>
      <c r="S706" t="str">
        <f>IF(Linked[[#This Row],[Credit Score]]&lt;=579,"Poor",IF(Linked[[#This Row],[Credit Score]]&lt;=669,"Fair",IF(Linked[[#This Row],[Credit Score]]&lt;=739,"Good",IF(Linked[[#This Row],[Credit Score]]&lt;=799,"Very Good",IF(Linked[[#This Row],[Credit Score]]&gt;=800,"Excellent")))))</f>
        <v>Excellent</v>
      </c>
      <c r="T706" s="4">
        <v>0</v>
      </c>
      <c r="U706" s="2"/>
      <c r="V706" s="2"/>
    </row>
    <row r="707" spans="1:22" x14ac:dyDescent="0.25">
      <c r="A707" s="2" t="s">
        <v>43</v>
      </c>
      <c r="B707" s="2" t="s">
        <v>1093</v>
      </c>
      <c r="C707" s="2" t="s">
        <v>1658</v>
      </c>
      <c r="D707" s="2" t="s">
        <v>1219</v>
      </c>
      <c r="E707">
        <v>54</v>
      </c>
      <c r="F707" s="2" t="s">
        <v>1228</v>
      </c>
      <c r="G707" s="2" t="s">
        <v>1249</v>
      </c>
      <c r="H707" s="2" t="s">
        <v>1253</v>
      </c>
      <c r="I707" s="1">
        <v>45891</v>
      </c>
      <c r="J707">
        <v>2025</v>
      </c>
      <c r="K707" s="2" t="s">
        <v>1659</v>
      </c>
      <c r="L707" s="4">
        <v>117768</v>
      </c>
      <c r="M707" s="2" t="s">
        <v>1245</v>
      </c>
      <c r="N707" s="2" t="s">
        <v>1224</v>
      </c>
      <c r="O707" s="2" t="s">
        <v>10</v>
      </c>
      <c r="P707" s="3">
        <v>43221</v>
      </c>
      <c r="Q707" s="4">
        <v>345158</v>
      </c>
      <c r="R707">
        <v>353</v>
      </c>
      <c r="S707" t="str">
        <f>IF(Linked[[#This Row],[Credit Score]]&lt;=579,"Poor",IF(Linked[[#This Row],[Credit Score]]&lt;=669,"Fair",IF(Linked[[#This Row],[Credit Score]]&lt;=739,"Good",IF(Linked[[#This Row],[Credit Score]]&lt;=799,"Very Good",IF(Linked[[#This Row],[Credit Score]]&gt;=800,"Excellent")))))</f>
        <v>Poor</v>
      </c>
      <c r="T707" s="4">
        <v>0</v>
      </c>
      <c r="U707" s="2"/>
      <c r="V707" s="2"/>
    </row>
    <row r="708" spans="1:22" x14ac:dyDescent="0.25">
      <c r="A708" s="2" t="s">
        <v>1095</v>
      </c>
      <c r="B708" s="2" t="s">
        <v>1094</v>
      </c>
      <c r="C708" s="2" t="s">
        <v>1929</v>
      </c>
      <c r="D708" s="2" t="s">
        <v>1219</v>
      </c>
      <c r="E708">
        <v>30</v>
      </c>
      <c r="F708" s="2" t="s">
        <v>1220</v>
      </c>
      <c r="G708" s="2" t="s">
        <v>1229</v>
      </c>
      <c r="H708" s="2" t="s">
        <v>1235</v>
      </c>
      <c r="I708" s="1">
        <v>42381</v>
      </c>
      <c r="J708">
        <v>2016</v>
      </c>
      <c r="K708" s="2" t="s">
        <v>1930</v>
      </c>
      <c r="L708" s="4">
        <v>110827</v>
      </c>
      <c r="M708" s="2" t="s">
        <v>1245</v>
      </c>
      <c r="N708" s="2" t="s">
        <v>1231</v>
      </c>
      <c r="O708" s="2" t="s">
        <v>13</v>
      </c>
      <c r="P708" s="3">
        <v>44760</v>
      </c>
      <c r="Q708" s="4">
        <v>428395</v>
      </c>
      <c r="R708">
        <v>840</v>
      </c>
      <c r="S708" t="str">
        <f>IF(Linked[[#This Row],[Credit Score]]&lt;=579,"Poor",IF(Linked[[#This Row],[Credit Score]]&lt;=669,"Fair",IF(Linked[[#This Row],[Credit Score]]&lt;=739,"Good",IF(Linked[[#This Row],[Credit Score]]&lt;=799,"Very Good",IF(Linked[[#This Row],[Credit Score]]&gt;=800,"Excellent")))))</f>
        <v>Excellent</v>
      </c>
      <c r="T708" s="4">
        <v>0</v>
      </c>
      <c r="U708" s="2"/>
      <c r="V708" s="2"/>
    </row>
    <row r="709" spans="1:22" x14ac:dyDescent="0.25">
      <c r="A709" s="2" t="s">
        <v>235</v>
      </c>
      <c r="B709" s="2" t="s">
        <v>1096</v>
      </c>
      <c r="C709" s="2" t="s">
        <v>1473</v>
      </c>
      <c r="D709" s="2" t="s">
        <v>1227</v>
      </c>
      <c r="E709">
        <v>70</v>
      </c>
      <c r="F709" s="2" t="s">
        <v>1263</v>
      </c>
      <c r="G709" s="2" t="s">
        <v>1243</v>
      </c>
      <c r="H709" s="2" t="s">
        <v>1239</v>
      </c>
      <c r="I709" s="1">
        <v>42940</v>
      </c>
      <c r="J709">
        <v>2017</v>
      </c>
      <c r="K709" s="2" t="s">
        <v>1474</v>
      </c>
      <c r="L709" s="4">
        <v>184202</v>
      </c>
      <c r="M709" s="2" t="s">
        <v>1223</v>
      </c>
      <c r="N709" s="2" t="s">
        <v>1224</v>
      </c>
      <c r="O709" s="2" t="s">
        <v>10</v>
      </c>
      <c r="P709" s="3">
        <v>45272</v>
      </c>
      <c r="Q709" s="4">
        <v>117305</v>
      </c>
      <c r="R709">
        <v>766</v>
      </c>
      <c r="S709" t="str">
        <f>IF(Linked[[#This Row],[Credit Score]]&lt;=579,"Poor",IF(Linked[[#This Row],[Credit Score]]&lt;=669,"Fair",IF(Linked[[#This Row],[Credit Score]]&lt;=739,"Good",IF(Linked[[#This Row],[Credit Score]]&lt;=799,"Very Good",IF(Linked[[#This Row],[Credit Score]]&gt;=800,"Excellent")))))</f>
        <v>Very Good</v>
      </c>
      <c r="T709" s="4">
        <v>0</v>
      </c>
      <c r="U709" s="2" t="s">
        <v>18</v>
      </c>
      <c r="V709" s="2"/>
    </row>
    <row r="710" spans="1:22" x14ac:dyDescent="0.25">
      <c r="A710" s="2" t="s">
        <v>281</v>
      </c>
      <c r="B710" s="2" t="s">
        <v>1097</v>
      </c>
      <c r="C710" s="2" t="s">
        <v>2025</v>
      </c>
      <c r="D710" s="2" t="s">
        <v>1219</v>
      </c>
      <c r="E710">
        <v>18</v>
      </c>
      <c r="F710" s="2" t="s">
        <v>1242</v>
      </c>
      <c r="G710" s="2" t="s">
        <v>1249</v>
      </c>
      <c r="H710" s="2" t="s">
        <v>1230</v>
      </c>
      <c r="I710" s="1">
        <v>42581</v>
      </c>
      <c r="J710">
        <v>2016</v>
      </c>
      <c r="K710" s="2" t="s">
        <v>2026</v>
      </c>
      <c r="L710" s="4">
        <v>99561</v>
      </c>
      <c r="M710" s="2" t="s">
        <v>1245</v>
      </c>
      <c r="N710" s="2" t="s">
        <v>1236</v>
      </c>
      <c r="O710" s="2" t="s">
        <v>13</v>
      </c>
      <c r="P710" s="3">
        <v>42810</v>
      </c>
      <c r="Q710" s="4">
        <v>418554</v>
      </c>
      <c r="R710">
        <v>463</v>
      </c>
      <c r="S710" t="str">
        <f>IF(Linked[[#This Row],[Credit Score]]&lt;=579,"Poor",IF(Linked[[#This Row],[Credit Score]]&lt;=669,"Fair",IF(Linked[[#This Row],[Credit Score]]&lt;=739,"Good",IF(Linked[[#This Row],[Credit Score]]&lt;=799,"Very Good",IF(Linked[[#This Row],[Credit Score]]&gt;=800,"Excellent")))))</f>
        <v>Poor</v>
      </c>
      <c r="T710" s="4">
        <v>366541</v>
      </c>
      <c r="U710" s="2"/>
      <c r="V710" s="2"/>
    </row>
    <row r="711" spans="1:22" x14ac:dyDescent="0.25">
      <c r="A711" s="2" t="s">
        <v>1099</v>
      </c>
      <c r="B711" s="2" t="s">
        <v>1098</v>
      </c>
      <c r="C711" s="2" t="s">
        <v>1914</v>
      </c>
      <c r="D711" s="2" t="s">
        <v>1227</v>
      </c>
      <c r="E711">
        <v>29</v>
      </c>
      <c r="F711" s="2" t="s">
        <v>1220</v>
      </c>
      <c r="G711" s="2" t="s">
        <v>1229</v>
      </c>
      <c r="H711" s="2" t="s">
        <v>1222</v>
      </c>
      <c r="I711" s="1">
        <v>42720</v>
      </c>
      <c r="J711">
        <v>2016</v>
      </c>
      <c r="K711" s="2" t="s">
        <v>1915</v>
      </c>
      <c r="L711" s="4">
        <v>77660</v>
      </c>
      <c r="M711" s="2" t="s">
        <v>1245</v>
      </c>
      <c r="N711" s="2" t="s">
        <v>1224</v>
      </c>
      <c r="O711" s="2" t="s">
        <v>32</v>
      </c>
      <c r="P711" s="3">
        <v>43698</v>
      </c>
      <c r="Q711" s="4">
        <v>485651</v>
      </c>
      <c r="R711">
        <v>633</v>
      </c>
      <c r="S711" t="str">
        <f>IF(Linked[[#This Row],[Credit Score]]&lt;=579,"Poor",IF(Linked[[#This Row],[Credit Score]]&lt;=669,"Fair",IF(Linked[[#This Row],[Credit Score]]&lt;=739,"Good",IF(Linked[[#This Row],[Credit Score]]&lt;=799,"Very Good",IF(Linked[[#This Row],[Credit Score]]&gt;=800,"Excellent")))))</f>
        <v>Fair</v>
      </c>
      <c r="T711" s="4">
        <v>8880</v>
      </c>
      <c r="U711" s="2" t="s">
        <v>59</v>
      </c>
      <c r="V711" s="2"/>
    </row>
    <row r="712" spans="1:22" x14ac:dyDescent="0.25">
      <c r="A712" s="2" t="s">
        <v>662</v>
      </c>
      <c r="B712" s="2" t="s">
        <v>1100</v>
      </c>
      <c r="C712" s="2" t="s">
        <v>2065</v>
      </c>
      <c r="D712" s="2" t="s">
        <v>1227</v>
      </c>
      <c r="E712">
        <v>71</v>
      </c>
      <c r="F712" s="2" t="s">
        <v>1263</v>
      </c>
      <c r="G712" s="2" t="s">
        <v>1221</v>
      </c>
      <c r="H712" s="2" t="s">
        <v>1253</v>
      </c>
      <c r="I712" s="1">
        <v>43995</v>
      </c>
      <c r="J712">
        <v>2020</v>
      </c>
      <c r="K712" s="2" t="s">
        <v>2066</v>
      </c>
      <c r="L712" s="4">
        <v>100818</v>
      </c>
      <c r="M712" s="2" t="s">
        <v>1245</v>
      </c>
      <c r="N712" s="2" t="s">
        <v>1224</v>
      </c>
      <c r="O712" s="2" t="s">
        <v>13</v>
      </c>
      <c r="P712" s="3">
        <v>42305</v>
      </c>
      <c r="Q712" s="4">
        <v>200753</v>
      </c>
      <c r="R712">
        <v>846</v>
      </c>
      <c r="S712" t="str">
        <f>IF(Linked[[#This Row],[Credit Score]]&lt;=579,"Poor",IF(Linked[[#This Row],[Credit Score]]&lt;=669,"Fair",IF(Linked[[#This Row],[Credit Score]]&lt;=739,"Good",IF(Linked[[#This Row],[Credit Score]]&lt;=799,"Very Good",IF(Linked[[#This Row],[Credit Score]]&gt;=800,"Excellent")))))</f>
        <v>Excellent</v>
      </c>
      <c r="T712" s="4">
        <v>0</v>
      </c>
      <c r="U712" s="2"/>
      <c r="V712" s="2"/>
    </row>
    <row r="713" spans="1:22" x14ac:dyDescent="0.25">
      <c r="A713" s="2" t="s">
        <v>1102</v>
      </c>
      <c r="B713" s="2" t="s">
        <v>1101</v>
      </c>
      <c r="C713" s="2" t="s">
        <v>1748</v>
      </c>
      <c r="D713" s="2" t="s">
        <v>1227</v>
      </c>
      <c r="E713">
        <v>53</v>
      </c>
      <c r="F713" s="2" t="s">
        <v>1228</v>
      </c>
      <c r="G713" s="2" t="s">
        <v>1249</v>
      </c>
      <c r="H713" s="2" t="s">
        <v>1244</v>
      </c>
      <c r="I713" s="1">
        <v>42932</v>
      </c>
      <c r="J713">
        <v>2017</v>
      </c>
      <c r="K713" s="2" t="s">
        <v>1749</v>
      </c>
      <c r="L713" s="4">
        <v>105553</v>
      </c>
      <c r="M713" s="2" t="s">
        <v>1245</v>
      </c>
      <c r="N713" s="2" t="s">
        <v>1224</v>
      </c>
      <c r="O713" s="2" t="s">
        <v>10</v>
      </c>
      <c r="P713" s="3">
        <v>44180</v>
      </c>
      <c r="Q713" s="4">
        <v>32101</v>
      </c>
      <c r="R713">
        <v>647</v>
      </c>
      <c r="S713" t="str">
        <f>IF(Linked[[#This Row],[Credit Score]]&lt;=579,"Poor",IF(Linked[[#This Row],[Credit Score]]&lt;=669,"Fair",IF(Linked[[#This Row],[Credit Score]]&lt;=739,"Good",IF(Linked[[#This Row],[Credit Score]]&lt;=799,"Very Good",IF(Linked[[#This Row],[Credit Score]]&gt;=800,"Excellent")))))</f>
        <v>Fair</v>
      </c>
      <c r="T713" s="4">
        <v>453927</v>
      </c>
      <c r="U713" s="2"/>
      <c r="V713" s="2"/>
    </row>
    <row r="714" spans="1:22" x14ac:dyDescent="0.25">
      <c r="A714" s="2" t="s">
        <v>672</v>
      </c>
      <c r="B714" s="2" t="s">
        <v>1103</v>
      </c>
      <c r="C714" s="2" t="s">
        <v>1816</v>
      </c>
      <c r="D714" s="2" t="s">
        <v>1219</v>
      </c>
      <c r="E714">
        <v>39</v>
      </c>
      <c r="F714" s="2" t="s">
        <v>1220</v>
      </c>
      <c r="G714" s="2" t="s">
        <v>1221</v>
      </c>
      <c r="H714" s="2" t="s">
        <v>1244</v>
      </c>
      <c r="I714" s="1">
        <v>44102</v>
      </c>
      <c r="J714">
        <v>2020</v>
      </c>
      <c r="K714" s="2" t="s">
        <v>1817</v>
      </c>
      <c r="L714" s="4">
        <v>103309</v>
      </c>
      <c r="M714" s="2" t="s">
        <v>1245</v>
      </c>
      <c r="N714" s="2" t="s">
        <v>1224</v>
      </c>
      <c r="O714" s="2" t="s">
        <v>10</v>
      </c>
      <c r="P714" s="3">
        <v>43020</v>
      </c>
      <c r="Q714" s="4">
        <v>2775</v>
      </c>
      <c r="R714">
        <v>572</v>
      </c>
      <c r="S714" t="str">
        <f>IF(Linked[[#This Row],[Credit Score]]&lt;=579,"Poor",IF(Linked[[#This Row],[Credit Score]]&lt;=669,"Fair",IF(Linked[[#This Row],[Credit Score]]&lt;=739,"Good",IF(Linked[[#This Row],[Credit Score]]&lt;=799,"Very Good",IF(Linked[[#This Row],[Credit Score]]&gt;=800,"Excellent")))))</f>
        <v>Poor</v>
      </c>
      <c r="T714" s="4">
        <v>0</v>
      </c>
      <c r="U714" s="2"/>
      <c r="V714" s="2"/>
    </row>
    <row r="715" spans="1:22" x14ac:dyDescent="0.25">
      <c r="A715" s="2" t="s">
        <v>433</v>
      </c>
      <c r="B715" s="2" t="s">
        <v>1104</v>
      </c>
      <c r="C715" s="2" t="s">
        <v>1984</v>
      </c>
      <c r="D715" s="2" t="s">
        <v>1227</v>
      </c>
      <c r="E715">
        <v>36</v>
      </c>
      <c r="F715" s="2" t="s">
        <v>1220</v>
      </c>
      <c r="G715" s="2" t="s">
        <v>1229</v>
      </c>
      <c r="H715" s="2" t="s">
        <v>1253</v>
      </c>
      <c r="I715" s="1">
        <v>43052</v>
      </c>
      <c r="J715">
        <v>2017</v>
      </c>
      <c r="K715" s="2" t="s">
        <v>1985</v>
      </c>
      <c r="L715" s="4">
        <v>99148</v>
      </c>
      <c r="M715" s="2" t="s">
        <v>1245</v>
      </c>
      <c r="N715" s="2" t="s">
        <v>1236</v>
      </c>
      <c r="O715" s="2" t="s">
        <v>10</v>
      </c>
      <c r="P715" s="3">
        <v>45063</v>
      </c>
      <c r="Q715" s="4">
        <v>111497</v>
      </c>
      <c r="R715">
        <v>713</v>
      </c>
      <c r="S715" t="str">
        <f>IF(Linked[[#This Row],[Credit Score]]&lt;=579,"Poor",IF(Linked[[#This Row],[Credit Score]]&lt;=669,"Fair",IF(Linked[[#This Row],[Credit Score]]&lt;=739,"Good",IF(Linked[[#This Row],[Credit Score]]&lt;=799,"Very Good",IF(Linked[[#This Row],[Credit Score]]&gt;=800,"Excellent")))))</f>
        <v>Good</v>
      </c>
      <c r="T715" s="4">
        <v>0</v>
      </c>
      <c r="U715" s="2"/>
      <c r="V715" s="2"/>
    </row>
    <row r="716" spans="1:22" x14ac:dyDescent="0.25">
      <c r="A716" s="2" t="s">
        <v>1106</v>
      </c>
      <c r="B716" s="2" t="s">
        <v>1105</v>
      </c>
      <c r="C716" s="2" t="s">
        <v>1325</v>
      </c>
      <c r="D716" s="2" t="s">
        <v>1227</v>
      </c>
      <c r="E716">
        <v>52</v>
      </c>
      <c r="F716" s="2" t="s">
        <v>1228</v>
      </c>
      <c r="G716" s="2" t="s">
        <v>1229</v>
      </c>
      <c r="H716" s="2" t="s">
        <v>1235</v>
      </c>
      <c r="I716" s="1">
        <v>42922</v>
      </c>
      <c r="J716">
        <v>2017</v>
      </c>
      <c r="K716" s="2" t="s">
        <v>1326</v>
      </c>
      <c r="L716" s="4">
        <v>50448</v>
      </c>
      <c r="M716" s="2" t="s">
        <v>1250</v>
      </c>
      <c r="N716" s="2" t="s">
        <v>1224</v>
      </c>
      <c r="O716" s="2" t="s">
        <v>13</v>
      </c>
      <c r="P716" s="3">
        <v>44894</v>
      </c>
      <c r="Q716" s="4">
        <v>490399</v>
      </c>
      <c r="R716">
        <v>799</v>
      </c>
      <c r="S716" t="str">
        <f>IF(Linked[[#This Row],[Credit Score]]&lt;=579,"Poor",IF(Linked[[#This Row],[Credit Score]]&lt;=669,"Fair",IF(Linked[[#This Row],[Credit Score]]&lt;=739,"Good",IF(Linked[[#This Row],[Credit Score]]&lt;=799,"Very Good",IF(Linked[[#This Row],[Credit Score]]&gt;=800,"Excellent")))))</f>
        <v>Very Good</v>
      </c>
      <c r="T716" s="4">
        <v>466537</v>
      </c>
      <c r="U716" s="2" t="s">
        <v>18</v>
      </c>
      <c r="V716" s="2"/>
    </row>
    <row r="717" spans="1:22" x14ac:dyDescent="0.25">
      <c r="A717" s="2" t="s">
        <v>9</v>
      </c>
      <c r="B717" s="2" t="s">
        <v>1107</v>
      </c>
      <c r="C717" s="2" t="s">
        <v>1904</v>
      </c>
      <c r="D717" s="2" t="s">
        <v>1227</v>
      </c>
      <c r="E717">
        <v>46</v>
      </c>
      <c r="F717" s="2" t="s">
        <v>1228</v>
      </c>
      <c r="G717" s="2" t="s">
        <v>1243</v>
      </c>
      <c r="H717" s="2" t="s">
        <v>1230</v>
      </c>
      <c r="I717" s="1">
        <v>43041</v>
      </c>
      <c r="J717">
        <v>2017</v>
      </c>
      <c r="K717" s="2" t="s">
        <v>1905</v>
      </c>
      <c r="L717" s="4">
        <v>29078</v>
      </c>
      <c r="M717" s="2" t="s">
        <v>1250</v>
      </c>
      <c r="N717" s="2" t="s">
        <v>1231</v>
      </c>
      <c r="O717" s="2" t="s">
        <v>10</v>
      </c>
      <c r="P717" s="3">
        <v>44170</v>
      </c>
      <c r="Q717" s="4">
        <v>45619</v>
      </c>
      <c r="R717">
        <v>392</v>
      </c>
      <c r="S717" t="str">
        <f>IF(Linked[[#This Row],[Credit Score]]&lt;=579,"Poor",IF(Linked[[#This Row],[Credit Score]]&lt;=669,"Fair",IF(Linked[[#This Row],[Credit Score]]&lt;=739,"Good",IF(Linked[[#This Row],[Credit Score]]&lt;=799,"Very Good",IF(Linked[[#This Row],[Credit Score]]&gt;=800,"Excellent")))))</f>
        <v>Poor</v>
      </c>
      <c r="T717" s="4">
        <v>0</v>
      </c>
      <c r="U717" s="2"/>
      <c r="V717" s="2"/>
    </row>
    <row r="718" spans="1:22" x14ac:dyDescent="0.25">
      <c r="A718" s="2" t="s">
        <v>727</v>
      </c>
      <c r="B718" s="2" t="s">
        <v>1108</v>
      </c>
      <c r="C718" s="2" t="s">
        <v>1333</v>
      </c>
      <c r="D718" s="2" t="s">
        <v>1219</v>
      </c>
      <c r="E718">
        <v>30</v>
      </c>
      <c r="F718" s="2" t="s">
        <v>1220</v>
      </c>
      <c r="G718" s="2" t="s">
        <v>1249</v>
      </c>
      <c r="H718" s="2" t="s">
        <v>1259</v>
      </c>
      <c r="I718" s="1">
        <v>42853</v>
      </c>
      <c r="J718">
        <v>2017</v>
      </c>
      <c r="K718" s="2" t="s">
        <v>1334</v>
      </c>
      <c r="L718" s="4">
        <v>176497</v>
      </c>
      <c r="M718" s="2" t="s">
        <v>1223</v>
      </c>
      <c r="N718" s="2" t="s">
        <v>1231</v>
      </c>
      <c r="O718" s="2" t="s">
        <v>10</v>
      </c>
      <c r="P718" s="3">
        <v>43459</v>
      </c>
      <c r="Q718" s="4">
        <v>439054</v>
      </c>
      <c r="R718">
        <v>378</v>
      </c>
      <c r="S718" t="str">
        <f>IF(Linked[[#This Row],[Credit Score]]&lt;=579,"Poor",IF(Linked[[#This Row],[Credit Score]]&lt;=669,"Fair",IF(Linked[[#This Row],[Credit Score]]&lt;=739,"Good",IF(Linked[[#This Row],[Credit Score]]&lt;=799,"Very Good",IF(Linked[[#This Row],[Credit Score]]&gt;=800,"Excellent")))))</f>
        <v>Poor</v>
      </c>
      <c r="T718" s="4">
        <v>0</v>
      </c>
      <c r="U718" s="2"/>
      <c r="V718" s="2"/>
    </row>
    <row r="719" spans="1:22" x14ac:dyDescent="0.25">
      <c r="A719" s="2" t="s">
        <v>393</v>
      </c>
      <c r="B719" s="2" t="s">
        <v>1109</v>
      </c>
      <c r="C719" s="2" t="s">
        <v>1280</v>
      </c>
      <c r="D719" s="2" t="s">
        <v>1227</v>
      </c>
      <c r="E719">
        <v>64</v>
      </c>
      <c r="F719" s="2" t="s">
        <v>1263</v>
      </c>
      <c r="G719" s="2" t="s">
        <v>1249</v>
      </c>
      <c r="H719" s="2" t="s">
        <v>1239</v>
      </c>
      <c r="I719" s="1">
        <v>44375</v>
      </c>
      <c r="J719">
        <v>2021</v>
      </c>
      <c r="K719" s="2" t="s">
        <v>1281</v>
      </c>
      <c r="L719" s="4">
        <v>199352</v>
      </c>
      <c r="M719" s="2" t="s">
        <v>1223</v>
      </c>
      <c r="N719" s="2" t="s">
        <v>1224</v>
      </c>
      <c r="O719" s="2" t="s">
        <v>25</v>
      </c>
      <c r="P719" s="3">
        <v>43635</v>
      </c>
      <c r="Q719" s="4">
        <v>252388</v>
      </c>
      <c r="R719">
        <v>516</v>
      </c>
      <c r="S719" t="str">
        <f>IF(Linked[[#This Row],[Credit Score]]&lt;=579,"Poor",IF(Linked[[#This Row],[Credit Score]]&lt;=669,"Fair",IF(Linked[[#This Row],[Credit Score]]&lt;=739,"Good",IF(Linked[[#This Row],[Credit Score]]&lt;=799,"Very Good",IF(Linked[[#This Row],[Credit Score]]&gt;=800,"Excellent")))))</f>
        <v>Poor</v>
      </c>
      <c r="T719" s="4">
        <v>0</v>
      </c>
      <c r="U719" s="2"/>
      <c r="V719" s="2"/>
    </row>
    <row r="720" spans="1:22" x14ac:dyDescent="0.25">
      <c r="A720" s="2" t="s">
        <v>433</v>
      </c>
      <c r="B720" s="2" t="s">
        <v>1110</v>
      </c>
      <c r="C720" s="2" t="s">
        <v>1984</v>
      </c>
      <c r="D720" s="2" t="s">
        <v>1227</v>
      </c>
      <c r="E720">
        <v>36</v>
      </c>
      <c r="F720" s="2" t="s">
        <v>1220</v>
      </c>
      <c r="G720" s="2" t="s">
        <v>1229</v>
      </c>
      <c r="H720" s="2" t="s">
        <v>1253</v>
      </c>
      <c r="I720" s="1">
        <v>43052</v>
      </c>
      <c r="J720">
        <v>2017</v>
      </c>
      <c r="K720" s="2" t="s">
        <v>1985</v>
      </c>
      <c r="L720" s="4">
        <v>99148</v>
      </c>
      <c r="M720" s="2" t="s">
        <v>1245</v>
      </c>
      <c r="N720" s="2" t="s">
        <v>1236</v>
      </c>
      <c r="O720" s="2" t="s">
        <v>13</v>
      </c>
      <c r="P720" s="3">
        <v>42305</v>
      </c>
      <c r="Q720" s="4">
        <v>412755</v>
      </c>
      <c r="R720">
        <v>657</v>
      </c>
      <c r="S720" t="str">
        <f>IF(Linked[[#This Row],[Credit Score]]&lt;=579,"Poor",IF(Linked[[#This Row],[Credit Score]]&lt;=669,"Fair",IF(Linked[[#This Row],[Credit Score]]&lt;=739,"Good",IF(Linked[[#This Row],[Credit Score]]&lt;=799,"Very Good",IF(Linked[[#This Row],[Credit Score]]&gt;=800,"Excellent")))))</f>
        <v>Fair</v>
      </c>
      <c r="T720" s="4">
        <v>458318</v>
      </c>
      <c r="U720" s="2"/>
      <c r="V720" s="2"/>
    </row>
    <row r="721" spans="1:22" x14ac:dyDescent="0.25">
      <c r="A721" s="2" t="s">
        <v>458</v>
      </c>
      <c r="B721" s="2" t="s">
        <v>1111</v>
      </c>
      <c r="C721" s="2" t="s">
        <v>1841</v>
      </c>
      <c r="D721" s="2" t="s">
        <v>1219</v>
      </c>
      <c r="E721">
        <v>31</v>
      </c>
      <c r="F721" s="2" t="s">
        <v>1220</v>
      </c>
      <c r="G721" s="2" t="s">
        <v>1243</v>
      </c>
      <c r="H721" s="2" t="s">
        <v>1239</v>
      </c>
      <c r="I721" s="1">
        <v>43083</v>
      </c>
      <c r="J721">
        <v>2017</v>
      </c>
      <c r="K721" s="2" t="s">
        <v>1842</v>
      </c>
      <c r="L721" s="4">
        <v>89298</v>
      </c>
      <c r="M721" s="2" t="s">
        <v>1245</v>
      </c>
      <c r="N721" s="2" t="s">
        <v>1224</v>
      </c>
      <c r="O721" s="2" t="s">
        <v>10</v>
      </c>
      <c r="P721" s="3">
        <v>44241</v>
      </c>
      <c r="Q721" s="4">
        <v>233346</v>
      </c>
      <c r="R721">
        <v>806</v>
      </c>
      <c r="S721" t="str">
        <f>IF(Linked[[#This Row],[Credit Score]]&lt;=579,"Poor",IF(Linked[[#This Row],[Credit Score]]&lt;=669,"Fair",IF(Linked[[#This Row],[Credit Score]]&lt;=739,"Good",IF(Linked[[#This Row],[Credit Score]]&lt;=799,"Very Good",IF(Linked[[#This Row],[Credit Score]]&gt;=800,"Excellent")))))</f>
        <v>Excellent</v>
      </c>
      <c r="T721" s="4">
        <v>0</v>
      </c>
      <c r="U721" s="2" t="s">
        <v>39</v>
      </c>
      <c r="V721" s="2"/>
    </row>
    <row r="722" spans="1:22" x14ac:dyDescent="0.25">
      <c r="A722" s="2" t="s">
        <v>535</v>
      </c>
      <c r="B722" s="2" t="s">
        <v>1112</v>
      </c>
      <c r="C722" s="2" t="s">
        <v>1909</v>
      </c>
      <c r="D722" s="2" t="s">
        <v>1227</v>
      </c>
      <c r="E722">
        <v>28</v>
      </c>
      <c r="F722" s="2" t="s">
        <v>1242</v>
      </c>
      <c r="G722" s="2" t="s">
        <v>1243</v>
      </c>
      <c r="H722" s="2" t="s">
        <v>1235</v>
      </c>
      <c r="I722" s="1">
        <v>42293</v>
      </c>
      <c r="J722">
        <v>2015</v>
      </c>
      <c r="K722" s="2" t="s">
        <v>1910</v>
      </c>
      <c r="L722" s="4">
        <v>82768</v>
      </c>
      <c r="M722" s="2" t="s">
        <v>1245</v>
      </c>
      <c r="N722" s="2" t="s">
        <v>1224</v>
      </c>
      <c r="O722" s="2" t="s">
        <v>10</v>
      </c>
      <c r="P722" s="3">
        <v>45536</v>
      </c>
      <c r="Q722" s="4">
        <v>319268</v>
      </c>
      <c r="R722">
        <v>480</v>
      </c>
      <c r="S722" t="str">
        <f>IF(Linked[[#This Row],[Credit Score]]&lt;=579,"Poor",IF(Linked[[#This Row],[Credit Score]]&lt;=669,"Fair",IF(Linked[[#This Row],[Credit Score]]&lt;=739,"Good",IF(Linked[[#This Row],[Credit Score]]&lt;=799,"Very Good",IF(Linked[[#This Row],[Credit Score]]&gt;=800,"Excellent")))))</f>
        <v>Poor</v>
      </c>
      <c r="T722" s="4">
        <v>0</v>
      </c>
      <c r="U722" s="2"/>
      <c r="V722" s="2"/>
    </row>
    <row r="723" spans="1:22" x14ac:dyDescent="0.25">
      <c r="A723" s="2" t="s">
        <v>443</v>
      </c>
      <c r="B723" s="2" t="s">
        <v>1113</v>
      </c>
      <c r="C723" s="2" t="s">
        <v>1374</v>
      </c>
      <c r="D723" s="2" t="s">
        <v>1219</v>
      </c>
      <c r="E723">
        <v>49</v>
      </c>
      <c r="F723" s="2" t="s">
        <v>1228</v>
      </c>
      <c r="G723" s="2" t="s">
        <v>1249</v>
      </c>
      <c r="H723" s="2" t="s">
        <v>1253</v>
      </c>
      <c r="I723" s="1">
        <v>45360</v>
      </c>
      <c r="J723">
        <v>2024</v>
      </c>
      <c r="K723" s="2" t="s">
        <v>1375</v>
      </c>
      <c r="L723" s="4">
        <v>85160</v>
      </c>
      <c r="M723" s="2" t="s">
        <v>1245</v>
      </c>
      <c r="N723" s="2" t="s">
        <v>1231</v>
      </c>
      <c r="O723" s="2" t="s">
        <v>10</v>
      </c>
      <c r="P723" s="3">
        <v>42583</v>
      </c>
      <c r="Q723" s="4">
        <v>65149</v>
      </c>
      <c r="R723">
        <v>545</v>
      </c>
      <c r="S723" t="str">
        <f>IF(Linked[[#This Row],[Credit Score]]&lt;=579,"Poor",IF(Linked[[#This Row],[Credit Score]]&lt;=669,"Fair",IF(Linked[[#This Row],[Credit Score]]&lt;=739,"Good",IF(Linked[[#This Row],[Credit Score]]&lt;=799,"Very Good",IF(Linked[[#This Row],[Credit Score]]&gt;=800,"Excellent")))))</f>
        <v>Poor</v>
      </c>
      <c r="T723" s="4">
        <v>0</v>
      </c>
      <c r="U723" s="2"/>
      <c r="V723" s="2"/>
    </row>
    <row r="724" spans="1:22" x14ac:dyDescent="0.25">
      <c r="A724" s="2" t="s">
        <v>388</v>
      </c>
      <c r="B724" s="2" t="s">
        <v>1114</v>
      </c>
      <c r="C724" s="2" t="s">
        <v>2151</v>
      </c>
      <c r="D724" s="2" t="s">
        <v>1227</v>
      </c>
      <c r="E724">
        <v>45</v>
      </c>
      <c r="F724" s="2" t="s">
        <v>1228</v>
      </c>
      <c r="G724" s="2" t="s">
        <v>1249</v>
      </c>
      <c r="H724" s="2" t="s">
        <v>1235</v>
      </c>
      <c r="I724" s="1">
        <v>44513</v>
      </c>
      <c r="J724">
        <v>2021</v>
      </c>
      <c r="K724" s="2" t="s">
        <v>1320</v>
      </c>
      <c r="L724" s="4">
        <v>65893</v>
      </c>
      <c r="M724" s="2" t="s">
        <v>1250</v>
      </c>
      <c r="N724" s="2" t="s">
        <v>1231</v>
      </c>
      <c r="O724" s="2" t="s">
        <v>10</v>
      </c>
      <c r="P724" s="3">
        <v>43405</v>
      </c>
      <c r="Q724" s="4">
        <v>26616</v>
      </c>
      <c r="R724">
        <v>543</v>
      </c>
      <c r="S724" t="str">
        <f>IF(Linked[[#This Row],[Credit Score]]&lt;=579,"Poor",IF(Linked[[#This Row],[Credit Score]]&lt;=669,"Fair",IF(Linked[[#This Row],[Credit Score]]&lt;=739,"Good",IF(Linked[[#This Row],[Credit Score]]&lt;=799,"Very Good",IF(Linked[[#This Row],[Credit Score]]&gt;=800,"Excellent")))))</f>
        <v>Poor</v>
      </c>
      <c r="T724" s="4">
        <v>0</v>
      </c>
      <c r="U724" s="2"/>
      <c r="V724" s="2"/>
    </row>
    <row r="725" spans="1:22" x14ac:dyDescent="0.25">
      <c r="A725" s="2" t="s">
        <v>55</v>
      </c>
      <c r="B725" s="2" t="s">
        <v>1115</v>
      </c>
      <c r="C725" s="2" t="s">
        <v>1638</v>
      </c>
      <c r="D725" s="2" t="s">
        <v>1227</v>
      </c>
      <c r="E725">
        <v>37</v>
      </c>
      <c r="F725" s="2" t="s">
        <v>1220</v>
      </c>
      <c r="G725" s="2" t="s">
        <v>1229</v>
      </c>
      <c r="H725" s="2" t="s">
        <v>1244</v>
      </c>
      <c r="I725" s="1">
        <v>43202</v>
      </c>
      <c r="J725">
        <v>2018</v>
      </c>
      <c r="K725" s="2" t="s">
        <v>1639</v>
      </c>
      <c r="L725" s="4">
        <v>49241</v>
      </c>
      <c r="M725" s="2" t="s">
        <v>1250</v>
      </c>
      <c r="N725" s="2" t="s">
        <v>1224</v>
      </c>
      <c r="O725" s="2" t="s">
        <v>10</v>
      </c>
      <c r="P725" s="3">
        <v>45139</v>
      </c>
      <c r="Q725" s="4">
        <v>472871</v>
      </c>
      <c r="R725">
        <v>805</v>
      </c>
      <c r="S725" t="str">
        <f>IF(Linked[[#This Row],[Credit Score]]&lt;=579,"Poor",IF(Linked[[#This Row],[Credit Score]]&lt;=669,"Fair",IF(Linked[[#This Row],[Credit Score]]&lt;=739,"Good",IF(Linked[[#This Row],[Credit Score]]&lt;=799,"Very Good",IF(Linked[[#This Row],[Credit Score]]&gt;=800,"Excellent")))))</f>
        <v>Excellent</v>
      </c>
      <c r="T725" s="4">
        <v>0</v>
      </c>
      <c r="U725" s="2"/>
      <c r="V725" s="2"/>
    </row>
    <row r="726" spans="1:22" x14ac:dyDescent="0.25">
      <c r="A726" s="2" t="s">
        <v>727</v>
      </c>
      <c r="B726" s="2" t="s">
        <v>1116</v>
      </c>
      <c r="C726" s="2" t="s">
        <v>1333</v>
      </c>
      <c r="D726" s="2" t="s">
        <v>1219</v>
      </c>
      <c r="E726">
        <v>30</v>
      </c>
      <c r="F726" s="2" t="s">
        <v>1220</v>
      </c>
      <c r="G726" s="2" t="s">
        <v>1249</v>
      </c>
      <c r="H726" s="2" t="s">
        <v>1259</v>
      </c>
      <c r="I726" s="1">
        <v>42853</v>
      </c>
      <c r="J726">
        <v>2017</v>
      </c>
      <c r="K726" s="2" t="s">
        <v>1334</v>
      </c>
      <c r="L726" s="4">
        <v>176497</v>
      </c>
      <c r="M726" s="2" t="s">
        <v>1223</v>
      </c>
      <c r="N726" s="2" t="s">
        <v>1231</v>
      </c>
      <c r="O726" s="2" t="s">
        <v>13</v>
      </c>
      <c r="P726" s="3">
        <v>44638</v>
      </c>
      <c r="Q726" s="4">
        <v>221767</v>
      </c>
      <c r="R726">
        <v>721</v>
      </c>
      <c r="S726" t="str">
        <f>IF(Linked[[#This Row],[Credit Score]]&lt;=579,"Poor",IF(Linked[[#This Row],[Credit Score]]&lt;=669,"Fair",IF(Linked[[#This Row],[Credit Score]]&lt;=739,"Good",IF(Linked[[#This Row],[Credit Score]]&lt;=799,"Very Good",IF(Linked[[#This Row],[Credit Score]]&gt;=800,"Excellent")))))</f>
        <v>Good</v>
      </c>
      <c r="T726" s="4">
        <v>0</v>
      </c>
      <c r="U726" s="2"/>
      <c r="V726" s="2"/>
    </row>
    <row r="727" spans="1:22" x14ac:dyDescent="0.25">
      <c r="A727" s="2" t="s">
        <v>806</v>
      </c>
      <c r="B727" s="2" t="s">
        <v>1117</v>
      </c>
      <c r="C727" s="2" t="s">
        <v>1329</v>
      </c>
      <c r="D727" s="2" t="s">
        <v>1219</v>
      </c>
      <c r="E727">
        <v>42</v>
      </c>
      <c r="F727" s="2" t="s">
        <v>1220</v>
      </c>
      <c r="G727" s="2" t="s">
        <v>1221</v>
      </c>
      <c r="H727" s="2" t="s">
        <v>1230</v>
      </c>
      <c r="I727" s="1">
        <v>44074</v>
      </c>
      <c r="J727">
        <v>2020</v>
      </c>
      <c r="K727" s="2" t="s">
        <v>1330</v>
      </c>
      <c r="L727" s="4">
        <v>193946</v>
      </c>
      <c r="M727" s="2" t="s">
        <v>1223</v>
      </c>
      <c r="N727" s="2" t="s">
        <v>1231</v>
      </c>
      <c r="O727" s="2" t="s">
        <v>13</v>
      </c>
      <c r="P727" s="3">
        <v>44573</v>
      </c>
      <c r="Q727" s="4">
        <v>185639</v>
      </c>
      <c r="R727">
        <v>619</v>
      </c>
      <c r="S727" t="str">
        <f>IF(Linked[[#This Row],[Credit Score]]&lt;=579,"Poor",IF(Linked[[#This Row],[Credit Score]]&lt;=669,"Fair",IF(Linked[[#This Row],[Credit Score]]&lt;=739,"Good",IF(Linked[[#This Row],[Credit Score]]&lt;=799,"Very Good",IF(Linked[[#This Row],[Credit Score]]&gt;=800,"Excellent")))))</f>
        <v>Fair</v>
      </c>
      <c r="T727" s="4">
        <v>0</v>
      </c>
      <c r="U727" s="2"/>
      <c r="V727" s="2"/>
    </row>
    <row r="728" spans="1:22" x14ac:dyDescent="0.25">
      <c r="A728" s="2" t="s">
        <v>1119</v>
      </c>
      <c r="B728" s="2" t="s">
        <v>1118</v>
      </c>
      <c r="C728" s="2" t="s">
        <v>2099</v>
      </c>
      <c r="D728" s="2" t="s">
        <v>1227</v>
      </c>
      <c r="E728">
        <v>48</v>
      </c>
      <c r="F728" s="2" t="s">
        <v>1228</v>
      </c>
      <c r="G728" s="2" t="s">
        <v>1243</v>
      </c>
      <c r="H728" s="2" t="s">
        <v>1259</v>
      </c>
      <c r="I728" s="1">
        <v>44176</v>
      </c>
      <c r="J728">
        <v>2020</v>
      </c>
      <c r="K728" s="2" t="s">
        <v>2100</v>
      </c>
      <c r="L728" s="4">
        <v>196313</v>
      </c>
      <c r="M728" s="2" t="s">
        <v>1223</v>
      </c>
      <c r="N728" s="2" t="s">
        <v>1231</v>
      </c>
      <c r="O728" s="2" t="s">
        <v>13</v>
      </c>
      <c r="P728" s="3">
        <v>45082</v>
      </c>
      <c r="Q728" s="4">
        <v>168171</v>
      </c>
      <c r="R728">
        <v>386</v>
      </c>
      <c r="S728" t="str">
        <f>IF(Linked[[#This Row],[Credit Score]]&lt;=579,"Poor",IF(Linked[[#This Row],[Credit Score]]&lt;=669,"Fair",IF(Linked[[#This Row],[Credit Score]]&lt;=739,"Good",IF(Linked[[#This Row],[Credit Score]]&lt;=799,"Very Good",IF(Linked[[#This Row],[Credit Score]]&gt;=800,"Excellent")))))</f>
        <v>Poor</v>
      </c>
      <c r="T728" s="4">
        <v>0</v>
      </c>
      <c r="U728" s="2" t="s">
        <v>18</v>
      </c>
      <c r="V728" s="2"/>
    </row>
    <row r="729" spans="1:22" x14ac:dyDescent="0.25">
      <c r="A729" s="2" t="s">
        <v>43</v>
      </c>
      <c r="B729" s="2" t="s">
        <v>1120</v>
      </c>
      <c r="C729" s="2" t="s">
        <v>1658</v>
      </c>
      <c r="D729" s="2" t="s">
        <v>1219</v>
      </c>
      <c r="E729">
        <v>54</v>
      </c>
      <c r="F729" s="2" t="s">
        <v>1228</v>
      </c>
      <c r="G729" s="2" t="s">
        <v>1249</v>
      </c>
      <c r="H729" s="2" t="s">
        <v>1253</v>
      </c>
      <c r="I729" s="1">
        <v>45891</v>
      </c>
      <c r="J729">
        <v>2025</v>
      </c>
      <c r="K729" s="2" t="s">
        <v>1659</v>
      </c>
      <c r="L729" s="4">
        <v>117768</v>
      </c>
      <c r="M729" s="2" t="s">
        <v>1245</v>
      </c>
      <c r="N729" s="2" t="s">
        <v>1224</v>
      </c>
      <c r="O729" s="2" t="s">
        <v>13</v>
      </c>
      <c r="P729" s="3">
        <v>42697</v>
      </c>
      <c r="Q729" s="4">
        <v>206903</v>
      </c>
      <c r="R729">
        <v>516</v>
      </c>
      <c r="S729" t="str">
        <f>IF(Linked[[#This Row],[Credit Score]]&lt;=579,"Poor",IF(Linked[[#This Row],[Credit Score]]&lt;=669,"Fair",IF(Linked[[#This Row],[Credit Score]]&lt;=739,"Good",IF(Linked[[#This Row],[Credit Score]]&lt;=799,"Very Good",IF(Linked[[#This Row],[Credit Score]]&gt;=800,"Excellent")))))</f>
        <v>Poor</v>
      </c>
      <c r="T729" s="4">
        <v>0</v>
      </c>
      <c r="U729" s="2"/>
      <c r="V729" s="2"/>
    </row>
    <row r="730" spans="1:22" x14ac:dyDescent="0.25">
      <c r="A730" s="2" t="s">
        <v>537</v>
      </c>
      <c r="B730" s="2" t="s">
        <v>1121</v>
      </c>
      <c r="C730" s="2" t="s">
        <v>1820</v>
      </c>
      <c r="D730" s="2" t="s">
        <v>1227</v>
      </c>
      <c r="E730">
        <v>36</v>
      </c>
      <c r="F730" s="2" t="s">
        <v>1220</v>
      </c>
      <c r="G730" s="2" t="s">
        <v>1229</v>
      </c>
      <c r="H730" s="2" t="s">
        <v>1253</v>
      </c>
      <c r="I730" s="1">
        <v>44437</v>
      </c>
      <c r="J730">
        <v>2021</v>
      </c>
      <c r="K730" s="2" t="s">
        <v>1821</v>
      </c>
      <c r="L730" s="4">
        <v>126661</v>
      </c>
      <c r="M730" s="2" t="s">
        <v>1245</v>
      </c>
      <c r="N730" s="2" t="s">
        <v>1224</v>
      </c>
      <c r="O730" s="2" t="s">
        <v>10</v>
      </c>
      <c r="P730" s="3">
        <v>44314</v>
      </c>
      <c r="Q730" s="4">
        <v>231318</v>
      </c>
      <c r="R730">
        <v>789</v>
      </c>
      <c r="S730" t="str">
        <f>IF(Linked[[#This Row],[Credit Score]]&lt;=579,"Poor",IF(Linked[[#This Row],[Credit Score]]&lt;=669,"Fair",IF(Linked[[#This Row],[Credit Score]]&lt;=739,"Good",IF(Linked[[#This Row],[Credit Score]]&lt;=799,"Very Good",IF(Linked[[#This Row],[Credit Score]]&gt;=800,"Excellent")))))</f>
        <v>Very Good</v>
      </c>
      <c r="T730" s="4">
        <v>417289</v>
      </c>
      <c r="U730" s="2"/>
      <c r="V730" s="2"/>
    </row>
    <row r="731" spans="1:22" x14ac:dyDescent="0.25">
      <c r="A731" s="2" t="s">
        <v>399</v>
      </c>
      <c r="B731" s="2" t="s">
        <v>1122</v>
      </c>
      <c r="C731" s="2" t="s">
        <v>2296</v>
      </c>
      <c r="D731" s="2" t="s">
        <v>1227</v>
      </c>
      <c r="E731">
        <v>27</v>
      </c>
      <c r="F731" s="2" t="s">
        <v>1242</v>
      </c>
      <c r="G731" s="2" t="s">
        <v>1249</v>
      </c>
      <c r="H731" s="2" t="s">
        <v>1239</v>
      </c>
      <c r="I731" s="1">
        <v>44267</v>
      </c>
      <c r="J731">
        <v>2021</v>
      </c>
      <c r="K731" s="2" t="s">
        <v>2297</v>
      </c>
      <c r="L731" s="4">
        <v>32115</v>
      </c>
      <c r="M731" s="2" t="s">
        <v>1250</v>
      </c>
      <c r="N731" s="2" t="s">
        <v>1224</v>
      </c>
      <c r="O731" s="2" t="s">
        <v>10</v>
      </c>
      <c r="P731" s="3">
        <v>42800</v>
      </c>
      <c r="Q731" s="4">
        <v>323943</v>
      </c>
      <c r="R731">
        <v>818</v>
      </c>
      <c r="S731" t="str">
        <f>IF(Linked[[#This Row],[Credit Score]]&lt;=579,"Poor",IF(Linked[[#This Row],[Credit Score]]&lt;=669,"Fair",IF(Linked[[#This Row],[Credit Score]]&lt;=739,"Good",IF(Linked[[#This Row],[Credit Score]]&lt;=799,"Very Good",IF(Linked[[#This Row],[Credit Score]]&gt;=800,"Excellent")))))</f>
        <v>Excellent</v>
      </c>
      <c r="T731" s="4">
        <v>369543</v>
      </c>
      <c r="U731" s="2"/>
      <c r="V731" s="2"/>
    </row>
    <row r="732" spans="1:22" x14ac:dyDescent="0.25">
      <c r="A732" s="2" t="s">
        <v>844</v>
      </c>
      <c r="B732" s="2" t="s">
        <v>1123</v>
      </c>
      <c r="C732" s="2" t="s">
        <v>1560</v>
      </c>
      <c r="D732" s="2" t="s">
        <v>1219</v>
      </c>
      <c r="E732">
        <v>29</v>
      </c>
      <c r="F732" s="2" t="s">
        <v>1220</v>
      </c>
      <c r="G732" s="2" t="s">
        <v>1249</v>
      </c>
      <c r="H732" s="2" t="s">
        <v>1222</v>
      </c>
      <c r="I732" s="1">
        <v>43888</v>
      </c>
      <c r="J732">
        <v>2020</v>
      </c>
      <c r="K732" s="2" t="s">
        <v>1561</v>
      </c>
      <c r="L732" s="4">
        <v>193279</v>
      </c>
      <c r="M732" s="2" t="s">
        <v>1223</v>
      </c>
      <c r="N732" s="2" t="s">
        <v>1236</v>
      </c>
      <c r="O732" s="2" t="s">
        <v>13</v>
      </c>
      <c r="P732" s="3">
        <v>43067</v>
      </c>
      <c r="Q732" s="4">
        <v>352365</v>
      </c>
      <c r="R732">
        <v>577</v>
      </c>
      <c r="S732" t="str">
        <f>IF(Linked[[#This Row],[Credit Score]]&lt;=579,"Poor",IF(Linked[[#This Row],[Credit Score]]&lt;=669,"Fair",IF(Linked[[#This Row],[Credit Score]]&lt;=739,"Good",IF(Linked[[#This Row],[Credit Score]]&lt;=799,"Very Good",IF(Linked[[#This Row],[Credit Score]]&gt;=800,"Excellent")))))</f>
        <v>Poor</v>
      </c>
      <c r="T732" s="4">
        <v>0</v>
      </c>
      <c r="U732" s="2"/>
      <c r="V732" s="2"/>
    </row>
    <row r="733" spans="1:22" x14ac:dyDescent="0.25">
      <c r="A733" s="2" t="s">
        <v>616</v>
      </c>
      <c r="B733" s="2" t="s">
        <v>1124</v>
      </c>
      <c r="C733" s="2" t="s">
        <v>2096</v>
      </c>
      <c r="D733" s="2" t="s">
        <v>1219</v>
      </c>
      <c r="E733">
        <v>31</v>
      </c>
      <c r="F733" s="2" t="s">
        <v>1220</v>
      </c>
      <c r="G733" s="2" t="s">
        <v>1249</v>
      </c>
      <c r="H733" s="2" t="s">
        <v>1239</v>
      </c>
      <c r="I733" s="1">
        <v>45372</v>
      </c>
      <c r="J733">
        <v>2024</v>
      </c>
      <c r="K733" s="2" t="s">
        <v>2097</v>
      </c>
      <c r="L733" s="4">
        <v>49426</v>
      </c>
      <c r="M733" s="2" t="s">
        <v>1250</v>
      </c>
      <c r="N733" s="2" t="s">
        <v>1224</v>
      </c>
      <c r="O733" s="2" t="s">
        <v>32</v>
      </c>
      <c r="P733" s="3">
        <v>44420</v>
      </c>
      <c r="Q733" s="4">
        <v>377023</v>
      </c>
      <c r="R733">
        <v>468</v>
      </c>
      <c r="S733" t="str">
        <f>IF(Linked[[#This Row],[Credit Score]]&lt;=579,"Poor",IF(Linked[[#This Row],[Credit Score]]&lt;=669,"Fair",IF(Linked[[#This Row],[Credit Score]]&lt;=739,"Good",IF(Linked[[#This Row],[Credit Score]]&lt;=799,"Very Good",IF(Linked[[#This Row],[Credit Score]]&gt;=800,"Excellent")))))</f>
        <v>Poor</v>
      </c>
      <c r="T733" s="4">
        <v>0</v>
      </c>
      <c r="U733" s="2"/>
      <c r="V733" s="2"/>
    </row>
    <row r="734" spans="1:22" x14ac:dyDescent="0.25">
      <c r="A734" s="2" t="s">
        <v>813</v>
      </c>
      <c r="B734" s="2" t="s">
        <v>1125</v>
      </c>
      <c r="C734" s="2" t="s">
        <v>1961</v>
      </c>
      <c r="D734" s="2" t="s">
        <v>1227</v>
      </c>
      <c r="E734">
        <v>18</v>
      </c>
      <c r="F734" s="2" t="s">
        <v>1242</v>
      </c>
      <c r="G734" s="2" t="s">
        <v>1249</v>
      </c>
      <c r="H734" s="2" t="s">
        <v>1253</v>
      </c>
      <c r="I734" s="1">
        <v>42347</v>
      </c>
      <c r="J734">
        <v>2015</v>
      </c>
      <c r="K734" s="2" t="s">
        <v>1962</v>
      </c>
      <c r="L734" s="4">
        <v>53662</v>
      </c>
      <c r="M734" s="2" t="s">
        <v>1250</v>
      </c>
      <c r="N734" s="2" t="s">
        <v>1224</v>
      </c>
      <c r="O734" s="2" t="s">
        <v>13</v>
      </c>
      <c r="P734" s="3">
        <v>45195</v>
      </c>
      <c r="Q734" s="4">
        <v>287623</v>
      </c>
      <c r="R734">
        <v>629</v>
      </c>
      <c r="S734" t="str">
        <f>IF(Linked[[#This Row],[Credit Score]]&lt;=579,"Poor",IF(Linked[[#This Row],[Credit Score]]&lt;=669,"Fair",IF(Linked[[#This Row],[Credit Score]]&lt;=739,"Good",IF(Linked[[#This Row],[Credit Score]]&lt;=799,"Very Good",IF(Linked[[#This Row],[Credit Score]]&gt;=800,"Excellent")))))</f>
        <v>Fair</v>
      </c>
      <c r="T734" s="4">
        <v>0</v>
      </c>
      <c r="U734" s="2"/>
      <c r="V734" s="2"/>
    </row>
    <row r="735" spans="1:22" x14ac:dyDescent="0.25">
      <c r="A735" s="2" t="s">
        <v>297</v>
      </c>
      <c r="B735" s="2" t="s">
        <v>1126</v>
      </c>
      <c r="C735" s="2" t="s">
        <v>1517</v>
      </c>
      <c r="D735" s="2" t="s">
        <v>1227</v>
      </c>
      <c r="E735">
        <v>46</v>
      </c>
      <c r="F735" s="2" t="s">
        <v>1228</v>
      </c>
      <c r="G735" s="2" t="s">
        <v>1249</v>
      </c>
      <c r="H735" s="2" t="s">
        <v>1222</v>
      </c>
      <c r="I735" s="1">
        <v>42374</v>
      </c>
      <c r="J735">
        <v>2016</v>
      </c>
      <c r="K735" s="2" t="s">
        <v>1518</v>
      </c>
      <c r="L735" s="4">
        <v>112241</v>
      </c>
      <c r="M735" s="2" t="s">
        <v>1245</v>
      </c>
      <c r="N735" s="2" t="s">
        <v>1231</v>
      </c>
      <c r="O735" s="2" t="s">
        <v>25</v>
      </c>
      <c r="P735" s="3">
        <v>45387</v>
      </c>
      <c r="Q735" s="4">
        <v>439388</v>
      </c>
      <c r="R735">
        <v>740</v>
      </c>
      <c r="S735" t="str">
        <f>IF(Linked[[#This Row],[Credit Score]]&lt;=579,"Poor",IF(Linked[[#This Row],[Credit Score]]&lt;=669,"Fair",IF(Linked[[#This Row],[Credit Score]]&lt;=739,"Good",IF(Linked[[#This Row],[Credit Score]]&lt;=799,"Very Good",IF(Linked[[#This Row],[Credit Score]]&gt;=800,"Excellent")))))</f>
        <v>Very Good</v>
      </c>
      <c r="T735" s="4">
        <v>0</v>
      </c>
      <c r="U735" s="2"/>
      <c r="V735" s="2"/>
    </row>
    <row r="736" spans="1:22" x14ac:dyDescent="0.25">
      <c r="A736" s="2" t="s">
        <v>834</v>
      </c>
      <c r="B736" s="2" t="s">
        <v>1127</v>
      </c>
      <c r="C736" s="2" t="s">
        <v>1343</v>
      </c>
      <c r="D736" s="2" t="s">
        <v>1227</v>
      </c>
      <c r="E736">
        <v>37</v>
      </c>
      <c r="F736" s="2" t="s">
        <v>1220</v>
      </c>
      <c r="G736" s="2" t="s">
        <v>1249</v>
      </c>
      <c r="H736" s="2" t="s">
        <v>1259</v>
      </c>
      <c r="I736" s="1">
        <v>44323</v>
      </c>
      <c r="J736">
        <v>2021</v>
      </c>
      <c r="K736" s="2" t="s">
        <v>1344</v>
      </c>
      <c r="L736" s="4">
        <v>27906</v>
      </c>
      <c r="M736" s="2" t="s">
        <v>1250</v>
      </c>
      <c r="N736" s="2" t="s">
        <v>1224</v>
      </c>
      <c r="O736" s="2" t="s">
        <v>10</v>
      </c>
      <c r="P736" s="3">
        <v>44258</v>
      </c>
      <c r="Q736" s="4">
        <v>361309</v>
      </c>
      <c r="R736">
        <v>690</v>
      </c>
      <c r="S736" t="str">
        <f>IF(Linked[[#This Row],[Credit Score]]&lt;=579,"Poor",IF(Linked[[#This Row],[Credit Score]]&lt;=669,"Fair",IF(Linked[[#This Row],[Credit Score]]&lt;=739,"Good",IF(Linked[[#This Row],[Credit Score]]&lt;=799,"Very Good",IF(Linked[[#This Row],[Credit Score]]&gt;=800,"Excellent")))))</f>
        <v>Good</v>
      </c>
      <c r="T736" s="4">
        <v>0</v>
      </c>
      <c r="U736" s="2"/>
      <c r="V736" s="2"/>
    </row>
    <row r="737" spans="1:22" x14ac:dyDescent="0.25">
      <c r="A737" s="2" t="s">
        <v>1129</v>
      </c>
      <c r="B737" s="2" t="s">
        <v>1128</v>
      </c>
      <c r="C737" s="2" t="s">
        <v>1341</v>
      </c>
      <c r="D737" s="2" t="s">
        <v>1227</v>
      </c>
      <c r="E737">
        <v>62</v>
      </c>
      <c r="F737" s="2" t="s">
        <v>1263</v>
      </c>
      <c r="G737" s="2" t="s">
        <v>1229</v>
      </c>
      <c r="H737" s="2" t="s">
        <v>1244</v>
      </c>
      <c r="I737" s="1">
        <v>43636</v>
      </c>
      <c r="J737">
        <v>2019</v>
      </c>
      <c r="K737" s="2" t="s">
        <v>1342</v>
      </c>
      <c r="L737" s="4">
        <v>179903</v>
      </c>
      <c r="M737" s="2" t="s">
        <v>1223</v>
      </c>
      <c r="N737" s="2" t="s">
        <v>1224</v>
      </c>
      <c r="O737" s="2" t="s">
        <v>13</v>
      </c>
      <c r="P737" s="3">
        <v>45798</v>
      </c>
      <c r="Q737" s="4">
        <v>55863</v>
      </c>
      <c r="R737">
        <v>795</v>
      </c>
      <c r="S737" t="str">
        <f>IF(Linked[[#This Row],[Credit Score]]&lt;=579,"Poor",IF(Linked[[#This Row],[Credit Score]]&lt;=669,"Fair",IF(Linked[[#This Row],[Credit Score]]&lt;=739,"Good",IF(Linked[[#This Row],[Credit Score]]&lt;=799,"Very Good",IF(Linked[[#This Row],[Credit Score]]&gt;=800,"Excellent")))))</f>
        <v>Very Good</v>
      </c>
      <c r="T737" s="4">
        <v>0</v>
      </c>
      <c r="U737" s="2"/>
      <c r="V737" s="2"/>
    </row>
    <row r="738" spans="1:22" x14ac:dyDescent="0.25">
      <c r="A738" s="2" t="s">
        <v>773</v>
      </c>
      <c r="B738" s="2" t="s">
        <v>1130</v>
      </c>
      <c r="C738" s="2" t="s">
        <v>1218</v>
      </c>
      <c r="D738" s="2" t="s">
        <v>1219</v>
      </c>
      <c r="E738">
        <v>38</v>
      </c>
      <c r="F738" s="2" t="s">
        <v>1220</v>
      </c>
      <c r="G738" s="2" t="s">
        <v>1221</v>
      </c>
      <c r="H738" s="2" t="s">
        <v>1222</v>
      </c>
      <c r="I738" s="1">
        <v>45041</v>
      </c>
      <c r="J738">
        <v>2023</v>
      </c>
      <c r="K738" s="2" t="s">
        <v>1225</v>
      </c>
      <c r="L738" s="4">
        <v>191672</v>
      </c>
      <c r="M738" s="2" t="s">
        <v>1223</v>
      </c>
      <c r="N738" s="2" t="s">
        <v>1224</v>
      </c>
      <c r="O738" s="2" t="s">
        <v>13</v>
      </c>
      <c r="P738" s="3">
        <v>45036</v>
      </c>
      <c r="Q738" s="4">
        <v>173115</v>
      </c>
      <c r="R738">
        <v>680</v>
      </c>
      <c r="S738" t="str">
        <f>IF(Linked[[#This Row],[Credit Score]]&lt;=579,"Poor",IF(Linked[[#This Row],[Credit Score]]&lt;=669,"Fair",IF(Linked[[#This Row],[Credit Score]]&lt;=739,"Good",IF(Linked[[#This Row],[Credit Score]]&lt;=799,"Very Good",IF(Linked[[#This Row],[Credit Score]]&gt;=800,"Excellent")))))</f>
        <v>Good</v>
      </c>
      <c r="T738" s="4">
        <v>0</v>
      </c>
      <c r="U738" s="2"/>
      <c r="V738" s="2"/>
    </row>
    <row r="739" spans="1:22" x14ac:dyDescent="0.25">
      <c r="A739" s="2" t="s">
        <v>489</v>
      </c>
      <c r="B739" s="2" t="s">
        <v>1131</v>
      </c>
      <c r="C739" s="2" t="s">
        <v>1605</v>
      </c>
      <c r="D739" s="2" t="s">
        <v>1219</v>
      </c>
      <c r="E739">
        <v>49</v>
      </c>
      <c r="F739" s="2" t="s">
        <v>1228</v>
      </c>
      <c r="G739" s="2" t="s">
        <v>1249</v>
      </c>
      <c r="H739" s="2" t="s">
        <v>1259</v>
      </c>
      <c r="I739" s="1">
        <v>43786</v>
      </c>
      <c r="J739">
        <v>2019</v>
      </c>
      <c r="K739" s="2" t="s">
        <v>1606</v>
      </c>
      <c r="L739" s="4">
        <v>135374</v>
      </c>
      <c r="M739" s="2" t="s">
        <v>1245</v>
      </c>
      <c r="N739" s="2" t="s">
        <v>1224</v>
      </c>
      <c r="O739" s="2" t="s">
        <v>10</v>
      </c>
      <c r="P739" s="3">
        <v>43862</v>
      </c>
      <c r="Q739" s="4">
        <v>344713</v>
      </c>
      <c r="R739">
        <v>605</v>
      </c>
      <c r="S739" t="str">
        <f>IF(Linked[[#This Row],[Credit Score]]&lt;=579,"Poor",IF(Linked[[#This Row],[Credit Score]]&lt;=669,"Fair",IF(Linked[[#This Row],[Credit Score]]&lt;=739,"Good",IF(Linked[[#This Row],[Credit Score]]&lt;=799,"Very Good",IF(Linked[[#This Row],[Credit Score]]&gt;=800,"Excellent")))))</f>
        <v>Fair</v>
      </c>
      <c r="T739" s="4">
        <v>0</v>
      </c>
      <c r="U739" s="2" t="s">
        <v>18</v>
      </c>
      <c r="V739" s="2"/>
    </row>
    <row r="740" spans="1:22" x14ac:dyDescent="0.25">
      <c r="A740" s="2" t="s">
        <v>743</v>
      </c>
      <c r="B740" s="2" t="s">
        <v>1132</v>
      </c>
      <c r="C740" s="2" t="s">
        <v>1477</v>
      </c>
      <c r="D740" s="2" t="s">
        <v>1227</v>
      </c>
      <c r="E740">
        <v>26</v>
      </c>
      <c r="F740" s="2" t="s">
        <v>1242</v>
      </c>
      <c r="G740" s="2" t="s">
        <v>1243</v>
      </c>
      <c r="H740" s="2" t="s">
        <v>1259</v>
      </c>
      <c r="I740" s="1">
        <v>44224</v>
      </c>
      <c r="J740">
        <v>2021</v>
      </c>
      <c r="K740" s="2" t="s">
        <v>1478</v>
      </c>
      <c r="L740" s="4">
        <v>177364</v>
      </c>
      <c r="M740" s="2" t="s">
        <v>1223</v>
      </c>
      <c r="N740" s="2" t="s">
        <v>1224</v>
      </c>
      <c r="O740" s="2" t="s">
        <v>13</v>
      </c>
      <c r="P740" s="3">
        <v>45889</v>
      </c>
      <c r="Q740" s="4">
        <v>495654</v>
      </c>
      <c r="R740">
        <v>812</v>
      </c>
      <c r="S740" t="str">
        <f>IF(Linked[[#This Row],[Credit Score]]&lt;=579,"Poor",IF(Linked[[#This Row],[Credit Score]]&lt;=669,"Fair",IF(Linked[[#This Row],[Credit Score]]&lt;=739,"Good",IF(Linked[[#This Row],[Credit Score]]&lt;=799,"Very Good",IF(Linked[[#This Row],[Credit Score]]&gt;=800,"Excellent")))))</f>
        <v>Excellent</v>
      </c>
      <c r="T740" s="4">
        <v>361004</v>
      </c>
      <c r="U740" s="2"/>
      <c r="V740" s="2"/>
    </row>
    <row r="741" spans="1:22" x14ac:dyDescent="0.25">
      <c r="A741" s="2" t="s">
        <v>45</v>
      </c>
      <c r="B741" s="2" t="s">
        <v>1133</v>
      </c>
      <c r="C741" s="2" t="s">
        <v>1285</v>
      </c>
      <c r="D741" s="2" t="s">
        <v>1227</v>
      </c>
      <c r="E741">
        <v>40</v>
      </c>
      <c r="F741" s="2" t="s">
        <v>1220</v>
      </c>
      <c r="G741" s="2" t="s">
        <v>1249</v>
      </c>
      <c r="H741" s="2" t="s">
        <v>1235</v>
      </c>
      <c r="I741" s="1">
        <v>44456</v>
      </c>
      <c r="J741">
        <v>2021</v>
      </c>
      <c r="K741" s="2" t="s">
        <v>1286</v>
      </c>
      <c r="L741" s="4">
        <v>100435</v>
      </c>
      <c r="M741" s="2" t="s">
        <v>1245</v>
      </c>
      <c r="N741" s="2" t="s">
        <v>1231</v>
      </c>
      <c r="O741" s="2" t="s">
        <v>32</v>
      </c>
      <c r="P741" s="3">
        <v>45572</v>
      </c>
      <c r="Q741" s="4">
        <v>408624</v>
      </c>
      <c r="R741">
        <v>487</v>
      </c>
      <c r="S741" t="str">
        <f>IF(Linked[[#This Row],[Credit Score]]&lt;=579,"Poor",IF(Linked[[#This Row],[Credit Score]]&lt;=669,"Fair",IF(Linked[[#This Row],[Credit Score]]&lt;=739,"Good",IF(Linked[[#This Row],[Credit Score]]&lt;=799,"Very Good",IF(Linked[[#This Row],[Credit Score]]&gt;=800,"Excellent")))))</f>
        <v>Poor</v>
      </c>
      <c r="T741" s="4">
        <v>29624</v>
      </c>
      <c r="U741" s="2"/>
      <c r="V741" s="2"/>
    </row>
    <row r="742" spans="1:22" x14ac:dyDescent="0.25">
      <c r="A742" s="2" t="s">
        <v>983</v>
      </c>
      <c r="B742" s="2" t="s">
        <v>1134</v>
      </c>
      <c r="C742" s="2" t="s">
        <v>1959</v>
      </c>
      <c r="D742" s="2" t="s">
        <v>1219</v>
      </c>
      <c r="E742">
        <v>62</v>
      </c>
      <c r="F742" s="2" t="s">
        <v>1263</v>
      </c>
      <c r="G742" s="2" t="s">
        <v>1243</v>
      </c>
      <c r="H742" s="2" t="s">
        <v>1222</v>
      </c>
      <c r="I742" s="1">
        <v>44448</v>
      </c>
      <c r="J742">
        <v>2021</v>
      </c>
      <c r="K742" s="2" t="s">
        <v>1960</v>
      </c>
      <c r="L742" s="4">
        <v>101941</v>
      </c>
      <c r="M742" s="2" t="s">
        <v>1245</v>
      </c>
      <c r="N742" s="2" t="s">
        <v>1224</v>
      </c>
      <c r="O742" s="2" t="s">
        <v>10</v>
      </c>
      <c r="P742" s="3">
        <v>45374</v>
      </c>
      <c r="Q742" s="4">
        <v>253347</v>
      </c>
      <c r="R742">
        <v>815</v>
      </c>
      <c r="S742" t="str">
        <f>IF(Linked[[#This Row],[Credit Score]]&lt;=579,"Poor",IF(Linked[[#This Row],[Credit Score]]&lt;=669,"Fair",IF(Linked[[#This Row],[Credit Score]]&lt;=739,"Good",IF(Linked[[#This Row],[Credit Score]]&lt;=799,"Very Good",IF(Linked[[#This Row],[Credit Score]]&gt;=800,"Excellent")))))</f>
        <v>Excellent</v>
      </c>
      <c r="T742" s="4">
        <v>0</v>
      </c>
      <c r="U742" s="2"/>
      <c r="V742" s="2"/>
    </row>
    <row r="743" spans="1:22" x14ac:dyDescent="0.25">
      <c r="A743" s="2" t="s">
        <v>553</v>
      </c>
      <c r="B743" s="2" t="s">
        <v>1135</v>
      </c>
      <c r="C743" s="2" t="s">
        <v>1401</v>
      </c>
      <c r="D743" s="2" t="s">
        <v>1227</v>
      </c>
      <c r="E743">
        <v>60</v>
      </c>
      <c r="F743" s="2" t="s">
        <v>1228</v>
      </c>
      <c r="G743" s="2" t="s">
        <v>1221</v>
      </c>
      <c r="H743" s="2" t="s">
        <v>1222</v>
      </c>
      <c r="I743" s="1">
        <v>42457</v>
      </c>
      <c r="J743">
        <v>2016</v>
      </c>
      <c r="K743" s="2" t="s">
        <v>1402</v>
      </c>
      <c r="L743" s="4">
        <v>45559</v>
      </c>
      <c r="M743" s="2" t="s">
        <v>1250</v>
      </c>
      <c r="N743" s="2" t="s">
        <v>1231</v>
      </c>
      <c r="O743" s="2" t="s">
        <v>32</v>
      </c>
      <c r="P743" s="3">
        <v>45147</v>
      </c>
      <c r="Q743" s="4">
        <v>189052</v>
      </c>
      <c r="R743">
        <v>726</v>
      </c>
      <c r="S743" t="str">
        <f>IF(Linked[[#This Row],[Credit Score]]&lt;=579,"Poor",IF(Linked[[#This Row],[Credit Score]]&lt;=669,"Fair",IF(Linked[[#This Row],[Credit Score]]&lt;=739,"Good",IF(Linked[[#This Row],[Credit Score]]&lt;=799,"Very Good",IF(Linked[[#This Row],[Credit Score]]&gt;=800,"Excellent")))))</f>
        <v>Good</v>
      </c>
      <c r="T743" s="4">
        <v>239784</v>
      </c>
      <c r="U743" s="2"/>
      <c r="V743" s="2"/>
    </row>
    <row r="744" spans="1:22" x14ac:dyDescent="0.25">
      <c r="A744" s="2" t="s">
        <v>508</v>
      </c>
      <c r="B744" s="2" t="s">
        <v>1136</v>
      </c>
      <c r="C744" s="2" t="s">
        <v>2215</v>
      </c>
      <c r="D744" s="2" t="s">
        <v>1219</v>
      </c>
      <c r="E744">
        <v>73</v>
      </c>
      <c r="F744" s="2" t="s">
        <v>1263</v>
      </c>
      <c r="G744" s="2" t="s">
        <v>1229</v>
      </c>
      <c r="H744" s="2" t="s">
        <v>1235</v>
      </c>
      <c r="I744" s="1">
        <v>42386</v>
      </c>
      <c r="J744">
        <v>2016</v>
      </c>
      <c r="K744" s="2" t="s">
        <v>2216</v>
      </c>
      <c r="L744" s="4">
        <v>46155</v>
      </c>
      <c r="M744" s="2" t="s">
        <v>1250</v>
      </c>
      <c r="N744" s="2" t="s">
        <v>1224</v>
      </c>
      <c r="O744" s="2" t="s">
        <v>13</v>
      </c>
      <c r="P744" s="3">
        <v>42268</v>
      </c>
      <c r="Q744" s="4">
        <v>476172</v>
      </c>
      <c r="R744">
        <v>801</v>
      </c>
      <c r="S744" t="str">
        <f>IF(Linked[[#This Row],[Credit Score]]&lt;=579,"Poor",IF(Linked[[#This Row],[Credit Score]]&lt;=669,"Fair",IF(Linked[[#This Row],[Credit Score]]&lt;=739,"Good",IF(Linked[[#This Row],[Credit Score]]&lt;=799,"Very Good",IF(Linked[[#This Row],[Credit Score]]&gt;=800,"Excellent")))))</f>
        <v>Excellent</v>
      </c>
      <c r="T744" s="4">
        <v>0</v>
      </c>
      <c r="U744" s="2"/>
      <c r="V744" s="2"/>
    </row>
    <row r="745" spans="1:22" x14ac:dyDescent="0.25">
      <c r="A745" s="2" t="s">
        <v>355</v>
      </c>
      <c r="B745" s="2" t="s">
        <v>1137</v>
      </c>
      <c r="C745" s="2" t="s">
        <v>2192</v>
      </c>
      <c r="D745" s="2" t="s">
        <v>1227</v>
      </c>
      <c r="E745">
        <v>22</v>
      </c>
      <c r="F745" s="2" t="s">
        <v>1242</v>
      </c>
      <c r="G745" s="2" t="s">
        <v>1221</v>
      </c>
      <c r="H745" s="2" t="s">
        <v>1230</v>
      </c>
      <c r="I745" s="1">
        <v>44666</v>
      </c>
      <c r="J745">
        <v>2022</v>
      </c>
      <c r="K745" s="2" t="s">
        <v>2193</v>
      </c>
      <c r="L745" s="4">
        <v>157348</v>
      </c>
      <c r="M745" s="2" t="s">
        <v>1223</v>
      </c>
      <c r="N745" s="2" t="s">
        <v>1231</v>
      </c>
      <c r="O745" s="2" t="s">
        <v>25</v>
      </c>
      <c r="P745" s="3">
        <v>44660</v>
      </c>
      <c r="Q745" s="4">
        <v>278495</v>
      </c>
      <c r="R745">
        <v>559</v>
      </c>
      <c r="S745" t="str">
        <f>IF(Linked[[#This Row],[Credit Score]]&lt;=579,"Poor",IF(Linked[[#This Row],[Credit Score]]&lt;=669,"Fair",IF(Linked[[#This Row],[Credit Score]]&lt;=739,"Good",IF(Linked[[#This Row],[Credit Score]]&lt;=799,"Very Good",IF(Linked[[#This Row],[Credit Score]]&gt;=800,"Excellent")))))</f>
        <v>Poor</v>
      </c>
      <c r="T745" s="4">
        <v>0</v>
      </c>
      <c r="U745" s="2"/>
      <c r="V745" s="2"/>
    </row>
    <row r="746" spans="1:22" x14ac:dyDescent="0.25">
      <c r="A746" s="2" t="s">
        <v>24</v>
      </c>
      <c r="B746" s="2" t="s">
        <v>1138</v>
      </c>
      <c r="C746" s="2" t="s">
        <v>1479</v>
      </c>
      <c r="D746" s="2" t="s">
        <v>1227</v>
      </c>
      <c r="E746">
        <v>29</v>
      </c>
      <c r="F746" s="2" t="s">
        <v>1220</v>
      </c>
      <c r="G746" s="2" t="s">
        <v>1221</v>
      </c>
      <c r="H746" s="2" t="s">
        <v>1253</v>
      </c>
      <c r="I746" s="1">
        <v>44077</v>
      </c>
      <c r="J746">
        <v>2020</v>
      </c>
      <c r="K746" s="2" t="s">
        <v>1480</v>
      </c>
      <c r="L746" s="4">
        <v>131785</v>
      </c>
      <c r="M746" s="2" t="s">
        <v>1245</v>
      </c>
      <c r="N746" s="2" t="s">
        <v>1231</v>
      </c>
      <c r="O746" s="2" t="s">
        <v>10</v>
      </c>
      <c r="P746" s="3">
        <v>45654</v>
      </c>
      <c r="Q746" s="4">
        <v>135203</v>
      </c>
      <c r="R746">
        <v>812</v>
      </c>
      <c r="S746" t="str">
        <f>IF(Linked[[#This Row],[Credit Score]]&lt;=579,"Poor",IF(Linked[[#This Row],[Credit Score]]&lt;=669,"Fair",IF(Linked[[#This Row],[Credit Score]]&lt;=739,"Good",IF(Linked[[#This Row],[Credit Score]]&lt;=799,"Very Good",IF(Linked[[#This Row],[Credit Score]]&gt;=800,"Excellent")))))</f>
        <v>Excellent</v>
      </c>
      <c r="T746" s="4">
        <v>0</v>
      </c>
      <c r="U746" s="2" t="s">
        <v>39</v>
      </c>
      <c r="V746" s="2"/>
    </row>
    <row r="747" spans="1:22" x14ac:dyDescent="0.25">
      <c r="A747" s="2" t="s">
        <v>539</v>
      </c>
      <c r="B747" s="2" t="s">
        <v>1139</v>
      </c>
      <c r="C747" s="2" t="s">
        <v>1822</v>
      </c>
      <c r="D747" s="2" t="s">
        <v>1227</v>
      </c>
      <c r="E747">
        <v>66</v>
      </c>
      <c r="F747" s="2" t="s">
        <v>1263</v>
      </c>
      <c r="G747" s="2" t="s">
        <v>1229</v>
      </c>
      <c r="H747" s="2" t="s">
        <v>1239</v>
      </c>
      <c r="I747" s="1">
        <v>43819</v>
      </c>
      <c r="J747">
        <v>2019</v>
      </c>
      <c r="K747" s="2" t="s">
        <v>1823</v>
      </c>
      <c r="L747" s="4">
        <v>177215</v>
      </c>
      <c r="M747" s="2" t="s">
        <v>1223</v>
      </c>
      <c r="N747" s="2" t="s">
        <v>1224</v>
      </c>
      <c r="O747" s="2" t="s">
        <v>25</v>
      </c>
      <c r="P747" s="3">
        <v>45267</v>
      </c>
      <c r="Q747" s="4">
        <v>247908</v>
      </c>
      <c r="R747">
        <v>370</v>
      </c>
      <c r="S747" t="str">
        <f>IF(Linked[[#This Row],[Credit Score]]&lt;=579,"Poor",IF(Linked[[#This Row],[Credit Score]]&lt;=669,"Fair",IF(Linked[[#This Row],[Credit Score]]&lt;=739,"Good",IF(Linked[[#This Row],[Credit Score]]&lt;=799,"Very Good",IF(Linked[[#This Row],[Credit Score]]&gt;=800,"Excellent")))))</f>
        <v>Poor</v>
      </c>
      <c r="T747" s="4">
        <v>424972</v>
      </c>
      <c r="U747" s="2"/>
      <c r="V747" s="2"/>
    </row>
    <row r="748" spans="1:22" x14ac:dyDescent="0.25">
      <c r="A748" s="2" t="s">
        <v>355</v>
      </c>
      <c r="B748" s="2" t="s">
        <v>1140</v>
      </c>
      <c r="C748" s="2" t="s">
        <v>2192</v>
      </c>
      <c r="D748" s="2" t="s">
        <v>1227</v>
      </c>
      <c r="E748">
        <v>22</v>
      </c>
      <c r="F748" s="2" t="s">
        <v>1242</v>
      </c>
      <c r="G748" s="2" t="s">
        <v>1221</v>
      </c>
      <c r="H748" s="2" t="s">
        <v>1230</v>
      </c>
      <c r="I748" s="1">
        <v>44666</v>
      </c>
      <c r="J748">
        <v>2022</v>
      </c>
      <c r="K748" s="2" t="s">
        <v>2193</v>
      </c>
      <c r="L748" s="4">
        <v>157348</v>
      </c>
      <c r="M748" s="2" t="s">
        <v>1223</v>
      </c>
      <c r="N748" s="2" t="s">
        <v>1231</v>
      </c>
      <c r="O748" s="2" t="s">
        <v>13</v>
      </c>
      <c r="P748" s="3">
        <v>45127</v>
      </c>
      <c r="Q748" s="4">
        <v>306969</v>
      </c>
      <c r="R748">
        <v>777</v>
      </c>
      <c r="S748" t="str">
        <f>IF(Linked[[#This Row],[Credit Score]]&lt;=579,"Poor",IF(Linked[[#This Row],[Credit Score]]&lt;=669,"Fair",IF(Linked[[#This Row],[Credit Score]]&lt;=739,"Good",IF(Linked[[#This Row],[Credit Score]]&lt;=799,"Very Good",IF(Linked[[#This Row],[Credit Score]]&gt;=800,"Excellent")))))</f>
        <v>Very Good</v>
      </c>
      <c r="T748" s="4">
        <v>0</v>
      </c>
      <c r="U748" s="2"/>
      <c r="V748" s="2"/>
    </row>
    <row r="749" spans="1:22" x14ac:dyDescent="0.25">
      <c r="A749" s="2" t="s">
        <v>94</v>
      </c>
      <c r="B749" s="2" t="s">
        <v>1141</v>
      </c>
      <c r="C749" s="2" t="s">
        <v>1764</v>
      </c>
      <c r="D749" s="2" t="s">
        <v>1227</v>
      </c>
      <c r="E749">
        <v>52</v>
      </c>
      <c r="F749" s="2" t="s">
        <v>1228</v>
      </c>
      <c r="G749" s="2" t="s">
        <v>1249</v>
      </c>
      <c r="H749" s="2" t="s">
        <v>1253</v>
      </c>
      <c r="I749" s="1">
        <v>44544</v>
      </c>
      <c r="J749">
        <v>2021</v>
      </c>
      <c r="K749" s="2" t="s">
        <v>1765</v>
      </c>
      <c r="L749" s="4">
        <v>72098</v>
      </c>
      <c r="M749" s="2" t="s">
        <v>1250</v>
      </c>
      <c r="N749" s="2" t="s">
        <v>1224</v>
      </c>
      <c r="O749" s="2" t="s">
        <v>10</v>
      </c>
      <c r="P749" s="3">
        <v>43852</v>
      </c>
      <c r="Q749" s="4">
        <v>273493</v>
      </c>
      <c r="R749">
        <v>477</v>
      </c>
      <c r="S749" t="str">
        <f>IF(Linked[[#This Row],[Credit Score]]&lt;=579,"Poor",IF(Linked[[#This Row],[Credit Score]]&lt;=669,"Fair",IF(Linked[[#This Row],[Credit Score]]&lt;=739,"Good",IF(Linked[[#This Row],[Credit Score]]&lt;=799,"Very Good",IF(Linked[[#This Row],[Credit Score]]&gt;=800,"Excellent")))))</f>
        <v>Poor</v>
      </c>
      <c r="T749" s="4">
        <v>0</v>
      </c>
      <c r="U749" s="2"/>
      <c r="V749" s="2"/>
    </row>
    <row r="750" spans="1:22" x14ac:dyDescent="0.25">
      <c r="A750" s="2" t="s">
        <v>291</v>
      </c>
      <c r="B750" s="2" t="s">
        <v>1142</v>
      </c>
      <c r="C750" s="2" t="s">
        <v>2140</v>
      </c>
      <c r="D750" s="2" t="s">
        <v>1219</v>
      </c>
      <c r="E750">
        <v>25</v>
      </c>
      <c r="F750" s="2" t="s">
        <v>1242</v>
      </c>
      <c r="G750" s="2" t="s">
        <v>1221</v>
      </c>
      <c r="H750" s="2" t="s">
        <v>1235</v>
      </c>
      <c r="I750" s="1">
        <v>45595</v>
      </c>
      <c r="J750">
        <v>2024</v>
      </c>
      <c r="K750" s="2" t="s">
        <v>2141</v>
      </c>
      <c r="L750" s="4">
        <v>186205</v>
      </c>
      <c r="M750" s="2" t="s">
        <v>1223</v>
      </c>
      <c r="N750" s="2" t="s">
        <v>1236</v>
      </c>
      <c r="O750" s="2" t="s">
        <v>10</v>
      </c>
      <c r="P750" s="3">
        <v>45637</v>
      </c>
      <c r="Q750" s="4">
        <v>192003</v>
      </c>
      <c r="R750">
        <v>756</v>
      </c>
      <c r="S750" t="str">
        <f>IF(Linked[[#This Row],[Credit Score]]&lt;=579,"Poor",IF(Linked[[#This Row],[Credit Score]]&lt;=669,"Fair",IF(Linked[[#This Row],[Credit Score]]&lt;=739,"Good",IF(Linked[[#This Row],[Credit Score]]&lt;=799,"Very Good",IF(Linked[[#This Row],[Credit Score]]&gt;=800,"Excellent")))))</f>
        <v>Very Good</v>
      </c>
      <c r="T750" s="4">
        <v>0</v>
      </c>
      <c r="U750" s="2"/>
      <c r="V750" s="2"/>
    </row>
    <row r="751" spans="1:22" x14ac:dyDescent="0.25">
      <c r="A751" s="2" t="s">
        <v>82</v>
      </c>
      <c r="B751" s="2" t="s">
        <v>1143</v>
      </c>
      <c r="C751" s="2" t="s">
        <v>1896</v>
      </c>
      <c r="D751" s="2" t="s">
        <v>1219</v>
      </c>
      <c r="E751">
        <v>48</v>
      </c>
      <c r="F751" s="2" t="s">
        <v>1228</v>
      </c>
      <c r="G751" s="2" t="s">
        <v>1249</v>
      </c>
      <c r="H751" s="2" t="s">
        <v>1222</v>
      </c>
      <c r="I751" s="1">
        <v>45334</v>
      </c>
      <c r="J751">
        <v>2024</v>
      </c>
      <c r="K751" s="2" t="s">
        <v>1897</v>
      </c>
      <c r="L751" s="4">
        <v>70861</v>
      </c>
      <c r="M751" s="2" t="s">
        <v>1250</v>
      </c>
      <c r="N751" s="2" t="s">
        <v>1224</v>
      </c>
      <c r="O751" s="2" t="s">
        <v>25</v>
      </c>
      <c r="P751" s="3">
        <v>45162</v>
      </c>
      <c r="Q751" s="4">
        <v>306398</v>
      </c>
      <c r="R751">
        <v>488</v>
      </c>
      <c r="S751" t="str">
        <f>IF(Linked[[#This Row],[Credit Score]]&lt;=579,"Poor",IF(Linked[[#This Row],[Credit Score]]&lt;=669,"Fair",IF(Linked[[#This Row],[Credit Score]]&lt;=739,"Good",IF(Linked[[#This Row],[Credit Score]]&lt;=799,"Very Good",IF(Linked[[#This Row],[Credit Score]]&gt;=800,"Excellent")))))</f>
        <v>Poor</v>
      </c>
      <c r="T751" s="4">
        <v>0</v>
      </c>
      <c r="U751" s="2"/>
      <c r="V751" s="2"/>
    </row>
    <row r="752" spans="1:22" x14ac:dyDescent="0.25">
      <c r="A752" s="2" t="s">
        <v>114</v>
      </c>
      <c r="B752" s="2" t="s">
        <v>1144</v>
      </c>
      <c r="C752" s="2" t="s">
        <v>1439</v>
      </c>
      <c r="D752" s="2" t="s">
        <v>1227</v>
      </c>
      <c r="E752">
        <v>57</v>
      </c>
      <c r="F752" s="2" t="s">
        <v>1228</v>
      </c>
      <c r="G752" s="2" t="s">
        <v>1229</v>
      </c>
      <c r="H752" s="2" t="s">
        <v>1244</v>
      </c>
      <c r="I752" s="1">
        <v>42239</v>
      </c>
      <c r="J752">
        <v>2015</v>
      </c>
      <c r="K752" s="2" t="s">
        <v>1440</v>
      </c>
      <c r="L752" s="4">
        <v>160588</v>
      </c>
      <c r="M752" s="2" t="s">
        <v>1223</v>
      </c>
      <c r="N752" s="2" t="s">
        <v>1224</v>
      </c>
      <c r="O752" s="2" t="s">
        <v>13</v>
      </c>
      <c r="P752" s="3">
        <v>45168</v>
      </c>
      <c r="Q752" s="4">
        <v>300369</v>
      </c>
      <c r="R752">
        <v>590</v>
      </c>
      <c r="S752" t="str">
        <f>IF(Linked[[#This Row],[Credit Score]]&lt;=579,"Poor",IF(Linked[[#This Row],[Credit Score]]&lt;=669,"Fair",IF(Linked[[#This Row],[Credit Score]]&lt;=739,"Good",IF(Linked[[#This Row],[Credit Score]]&lt;=799,"Very Good",IF(Linked[[#This Row],[Credit Score]]&gt;=800,"Excellent")))))</f>
        <v>Fair</v>
      </c>
      <c r="T752" s="4">
        <v>0</v>
      </c>
      <c r="U752" s="2"/>
      <c r="V752" s="2"/>
    </row>
    <row r="753" spans="1:22" x14ac:dyDescent="0.25">
      <c r="A753" s="2" t="s">
        <v>1146</v>
      </c>
      <c r="B753" s="2" t="s">
        <v>1145</v>
      </c>
      <c r="C753" s="2" t="s">
        <v>1467</v>
      </c>
      <c r="D753" s="2" t="s">
        <v>1227</v>
      </c>
      <c r="E753">
        <v>43</v>
      </c>
      <c r="F753" s="2" t="s">
        <v>1220</v>
      </c>
      <c r="G753" s="2" t="s">
        <v>1243</v>
      </c>
      <c r="H753" s="2" t="s">
        <v>1244</v>
      </c>
      <c r="I753" s="1">
        <v>44706</v>
      </c>
      <c r="J753">
        <v>2022</v>
      </c>
      <c r="K753" s="2" t="s">
        <v>1468</v>
      </c>
      <c r="L753" s="4">
        <v>27314</v>
      </c>
      <c r="M753" s="2" t="s">
        <v>1250</v>
      </c>
      <c r="N753" s="2" t="s">
        <v>1231</v>
      </c>
      <c r="O753" s="2" t="s">
        <v>25</v>
      </c>
      <c r="P753" s="3">
        <v>45317</v>
      </c>
      <c r="Q753" s="4">
        <v>497599</v>
      </c>
      <c r="R753">
        <v>819</v>
      </c>
      <c r="S753" t="str">
        <f>IF(Linked[[#This Row],[Credit Score]]&lt;=579,"Poor",IF(Linked[[#This Row],[Credit Score]]&lt;=669,"Fair",IF(Linked[[#This Row],[Credit Score]]&lt;=739,"Good",IF(Linked[[#This Row],[Credit Score]]&lt;=799,"Very Good",IF(Linked[[#This Row],[Credit Score]]&gt;=800,"Excellent")))))</f>
        <v>Excellent</v>
      </c>
      <c r="T753" s="4">
        <v>0</v>
      </c>
      <c r="U753" s="2"/>
      <c r="V753" s="2"/>
    </row>
    <row r="754" spans="1:22" x14ac:dyDescent="0.25">
      <c r="A754" s="2" t="s">
        <v>71</v>
      </c>
      <c r="B754" s="2" t="s">
        <v>1147</v>
      </c>
      <c r="C754" s="2" t="s">
        <v>2258</v>
      </c>
      <c r="D754" s="2" t="s">
        <v>1227</v>
      </c>
      <c r="E754">
        <v>18</v>
      </c>
      <c r="F754" s="2" t="s">
        <v>1242</v>
      </c>
      <c r="G754" s="2" t="s">
        <v>1243</v>
      </c>
      <c r="H754" s="2" t="s">
        <v>1244</v>
      </c>
      <c r="I754" s="1">
        <v>43488</v>
      </c>
      <c r="J754">
        <v>2019</v>
      </c>
      <c r="K754" s="2" t="s">
        <v>2259</v>
      </c>
      <c r="L754" s="4">
        <v>53997</v>
      </c>
      <c r="M754" s="2" t="s">
        <v>1250</v>
      </c>
      <c r="N754" s="2" t="s">
        <v>1224</v>
      </c>
      <c r="O754" s="2" t="s">
        <v>13</v>
      </c>
      <c r="P754" s="3">
        <v>45136</v>
      </c>
      <c r="Q754" s="4">
        <v>274597</v>
      </c>
      <c r="R754">
        <v>591</v>
      </c>
      <c r="S754" t="str">
        <f>IF(Linked[[#This Row],[Credit Score]]&lt;=579,"Poor",IF(Linked[[#This Row],[Credit Score]]&lt;=669,"Fair",IF(Linked[[#This Row],[Credit Score]]&lt;=739,"Good",IF(Linked[[#This Row],[Credit Score]]&lt;=799,"Very Good",IF(Linked[[#This Row],[Credit Score]]&gt;=800,"Excellent")))))</f>
        <v>Fair</v>
      </c>
      <c r="T754" s="4">
        <v>0</v>
      </c>
      <c r="U754" s="2"/>
      <c r="V754" s="2"/>
    </row>
    <row r="755" spans="1:22" x14ac:dyDescent="0.25">
      <c r="A755" s="2" t="s">
        <v>279</v>
      </c>
      <c r="B755" s="2" t="s">
        <v>1148</v>
      </c>
      <c r="C755" s="2" t="s">
        <v>1786</v>
      </c>
      <c r="D755" s="2" t="s">
        <v>1219</v>
      </c>
      <c r="E755">
        <v>54</v>
      </c>
      <c r="F755" s="2" t="s">
        <v>1228</v>
      </c>
      <c r="G755" s="2" t="s">
        <v>1249</v>
      </c>
      <c r="H755" s="2" t="s">
        <v>1230</v>
      </c>
      <c r="I755" s="1">
        <v>43294</v>
      </c>
      <c r="J755">
        <v>2018</v>
      </c>
      <c r="K755" s="2" t="s">
        <v>1787</v>
      </c>
      <c r="L755" s="4">
        <v>28712</v>
      </c>
      <c r="M755" s="2" t="s">
        <v>1250</v>
      </c>
      <c r="N755" s="2" t="s">
        <v>1224</v>
      </c>
      <c r="O755" s="2" t="s">
        <v>25</v>
      </c>
      <c r="P755" s="3">
        <v>44551</v>
      </c>
      <c r="Q755" s="4">
        <v>149886</v>
      </c>
      <c r="R755">
        <v>582</v>
      </c>
      <c r="S755" t="str">
        <f>IF(Linked[[#This Row],[Credit Score]]&lt;=579,"Poor",IF(Linked[[#This Row],[Credit Score]]&lt;=669,"Fair",IF(Linked[[#This Row],[Credit Score]]&lt;=739,"Good",IF(Linked[[#This Row],[Credit Score]]&lt;=799,"Very Good",IF(Linked[[#This Row],[Credit Score]]&gt;=800,"Excellent")))))</f>
        <v>Fair</v>
      </c>
      <c r="T755" s="4">
        <v>180858</v>
      </c>
      <c r="U755" s="2"/>
      <c r="V755" s="2"/>
    </row>
    <row r="756" spans="1:22" x14ac:dyDescent="0.25">
      <c r="A756" s="2" t="s">
        <v>1150</v>
      </c>
      <c r="B756" s="2" t="s">
        <v>1149</v>
      </c>
      <c r="C756" s="2" t="s">
        <v>2210</v>
      </c>
      <c r="D756" s="2" t="s">
        <v>1227</v>
      </c>
      <c r="E756">
        <v>62</v>
      </c>
      <c r="F756" s="2" t="s">
        <v>1263</v>
      </c>
      <c r="G756" s="2" t="s">
        <v>1249</v>
      </c>
      <c r="H756" s="2" t="s">
        <v>1235</v>
      </c>
      <c r="I756" s="1">
        <v>43669</v>
      </c>
      <c r="J756">
        <v>2019</v>
      </c>
      <c r="K756" s="2" t="s">
        <v>2211</v>
      </c>
      <c r="L756" s="4">
        <v>35563</v>
      </c>
      <c r="M756" s="2" t="s">
        <v>1250</v>
      </c>
      <c r="N756" s="2" t="s">
        <v>1224</v>
      </c>
      <c r="O756" s="2" t="s">
        <v>25</v>
      </c>
      <c r="P756" s="3">
        <v>45733</v>
      </c>
      <c r="Q756" s="4">
        <v>149335</v>
      </c>
      <c r="R756">
        <v>843</v>
      </c>
      <c r="S756" t="str">
        <f>IF(Linked[[#This Row],[Credit Score]]&lt;=579,"Poor",IF(Linked[[#This Row],[Credit Score]]&lt;=669,"Fair",IF(Linked[[#This Row],[Credit Score]]&lt;=739,"Good",IF(Linked[[#This Row],[Credit Score]]&lt;=799,"Very Good",IF(Linked[[#This Row],[Credit Score]]&gt;=800,"Excellent")))))</f>
        <v>Excellent</v>
      </c>
      <c r="T756" s="4">
        <v>0</v>
      </c>
      <c r="U756" s="2"/>
      <c r="V756" s="2"/>
    </row>
    <row r="757" spans="1:22" x14ac:dyDescent="0.25">
      <c r="A757" s="2" t="s">
        <v>542</v>
      </c>
      <c r="B757" s="2" t="s">
        <v>1151</v>
      </c>
      <c r="C757" s="2" t="s">
        <v>1255</v>
      </c>
      <c r="D757" s="2" t="s">
        <v>1219</v>
      </c>
      <c r="E757">
        <v>59</v>
      </c>
      <c r="F757" s="2" t="s">
        <v>1228</v>
      </c>
      <c r="G757" s="2" t="s">
        <v>1221</v>
      </c>
      <c r="H757" s="2" t="s">
        <v>1253</v>
      </c>
      <c r="I757" s="1">
        <v>45448</v>
      </c>
      <c r="J757">
        <v>2024</v>
      </c>
      <c r="K757" s="2" t="s">
        <v>1256</v>
      </c>
      <c r="L757" s="4">
        <v>144988</v>
      </c>
      <c r="M757" s="2" t="s">
        <v>1223</v>
      </c>
      <c r="N757" s="2" t="s">
        <v>1224</v>
      </c>
      <c r="O757" s="2" t="s">
        <v>25</v>
      </c>
      <c r="P757" s="3">
        <v>45211</v>
      </c>
      <c r="Q757" s="4">
        <v>77694</v>
      </c>
      <c r="R757">
        <v>676</v>
      </c>
      <c r="S757" t="str">
        <f>IF(Linked[[#This Row],[Credit Score]]&lt;=579,"Poor",IF(Linked[[#This Row],[Credit Score]]&lt;=669,"Fair",IF(Linked[[#This Row],[Credit Score]]&lt;=739,"Good",IF(Linked[[#This Row],[Credit Score]]&lt;=799,"Very Good",IF(Linked[[#This Row],[Credit Score]]&gt;=800,"Excellent")))))</f>
        <v>Good</v>
      </c>
      <c r="T757" s="4">
        <v>0</v>
      </c>
      <c r="U757" s="2"/>
      <c r="V757" s="2"/>
    </row>
    <row r="758" spans="1:22" x14ac:dyDescent="0.25">
      <c r="A758" s="2" t="s">
        <v>1039</v>
      </c>
      <c r="B758" s="2" t="s">
        <v>1152</v>
      </c>
      <c r="C758" s="2" t="s">
        <v>1573</v>
      </c>
      <c r="D758" s="2" t="s">
        <v>1219</v>
      </c>
      <c r="E758">
        <v>56</v>
      </c>
      <c r="F758" s="2" t="s">
        <v>1228</v>
      </c>
      <c r="G758" s="2" t="s">
        <v>1243</v>
      </c>
      <c r="H758" s="2" t="s">
        <v>1259</v>
      </c>
      <c r="I758" s="1">
        <v>42365</v>
      </c>
      <c r="J758">
        <v>2015</v>
      </c>
      <c r="K758" s="2" t="s">
        <v>1574</v>
      </c>
      <c r="L758" s="4">
        <v>156156</v>
      </c>
      <c r="M758" s="2" t="s">
        <v>1223</v>
      </c>
      <c r="N758" s="2" t="s">
        <v>1231</v>
      </c>
      <c r="O758" s="2" t="s">
        <v>10</v>
      </c>
      <c r="P758" s="3">
        <v>45024</v>
      </c>
      <c r="Q758" s="4">
        <v>15735</v>
      </c>
      <c r="R758">
        <v>455</v>
      </c>
      <c r="S758" t="str">
        <f>IF(Linked[[#This Row],[Credit Score]]&lt;=579,"Poor",IF(Linked[[#This Row],[Credit Score]]&lt;=669,"Fair",IF(Linked[[#This Row],[Credit Score]]&lt;=739,"Good",IF(Linked[[#This Row],[Credit Score]]&lt;=799,"Very Good",IF(Linked[[#This Row],[Credit Score]]&gt;=800,"Excellent")))))</f>
        <v>Poor</v>
      </c>
      <c r="T758" s="4">
        <v>0</v>
      </c>
      <c r="U758" s="2"/>
      <c r="V758" s="2"/>
    </row>
    <row r="759" spans="1:22" x14ac:dyDescent="0.25">
      <c r="A759" s="2" t="s">
        <v>750</v>
      </c>
      <c r="B759" s="2" t="s">
        <v>1153</v>
      </c>
      <c r="C759" s="2" t="s">
        <v>1991</v>
      </c>
      <c r="D759" s="2" t="s">
        <v>1219</v>
      </c>
      <c r="E759">
        <v>56</v>
      </c>
      <c r="F759" s="2" t="s">
        <v>1228</v>
      </c>
      <c r="G759" s="2" t="s">
        <v>1249</v>
      </c>
      <c r="H759" s="2" t="s">
        <v>1253</v>
      </c>
      <c r="I759" s="1">
        <v>45560</v>
      </c>
      <c r="J759">
        <v>2024</v>
      </c>
      <c r="K759" s="2" t="s">
        <v>1550</v>
      </c>
      <c r="L759" s="4">
        <v>182962</v>
      </c>
      <c r="M759" s="2" t="s">
        <v>1223</v>
      </c>
      <c r="N759" s="2" t="s">
        <v>1231</v>
      </c>
      <c r="O759" s="2" t="s">
        <v>10</v>
      </c>
      <c r="P759" s="3">
        <v>44684</v>
      </c>
      <c r="Q759" s="4">
        <v>409046</v>
      </c>
      <c r="R759">
        <v>807</v>
      </c>
      <c r="S759" t="str">
        <f>IF(Linked[[#This Row],[Credit Score]]&lt;=579,"Poor",IF(Linked[[#This Row],[Credit Score]]&lt;=669,"Fair",IF(Linked[[#This Row],[Credit Score]]&lt;=739,"Good",IF(Linked[[#This Row],[Credit Score]]&lt;=799,"Very Good",IF(Linked[[#This Row],[Credit Score]]&gt;=800,"Excellent")))))</f>
        <v>Excellent</v>
      </c>
      <c r="T759" s="4">
        <v>0</v>
      </c>
      <c r="U759" s="2"/>
      <c r="V759" s="2"/>
    </row>
    <row r="760" spans="1:22" x14ac:dyDescent="0.25">
      <c r="A760" s="2" t="s">
        <v>209</v>
      </c>
      <c r="B760" s="2" t="s">
        <v>1154</v>
      </c>
      <c r="C760" s="2" t="s">
        <v>1619</v>
      </c>
      <c r="D760" s="2" t="s">
        <v>1227</v>
      </c>
      <c r="E760">
        <v>33</v>
      </c>
      <c r="F760" s="2" t="s">
        <v>1220</v>
      </c>
      <c r="G760" s="2" t="s">
        <v>1243</v>
      </c>
      <c r="H760" s="2" t="s">
        <v>1259</v>
      </c>
      <c r="I760" s="1">
        <v>43767</v>
      </c>
      <c r="J760">
        <v>2019</v>
      </c>
      <c r="K760" s="2" t="s">
        <v>1620</v>
      </c>
      <c r="L760" s="4">
        <v>120732</v>
      </c>
      <c r="M760" s="2" t="s">
        <v>1245</v>
      </c>
      <c r="N760" s="2" t="s">
        <v>1231</v>
      </c>
      <c r="O760" s="2" t="s">
        <v>32</v>
      </c>
      <c r="P760" s="3">
        <v>42955</v>
      </c>
      <c r="Q760" s="4">
        <v>310037</v>
      </c>
      <c r="R760">
        <v>712</v>
      </c>
      <c r="S760" t="str">
        <f>IF(Linked[[#This Row],[Credit Score]]&lt;=579,"Poor",IF(Linked[[#This Row],[Credit Score]]&lt;=669,"Fair",IF(Linked[[#This Row],[Credit Score]]&lt;=739,"Good",IF(Linked[[#This Row],[Credit Score]]&lt;=799,"Very Good",IF(Linked[[#This Row],[Credit Score]]&gt;=800,"Excellent")))))</f>
        <v>Good</v>
      </c>
      <c r="T760" s="4">
        <v>0</v>
      </c>
      <c r="U760" s="2"/>
      <c r="V760" s="2"/>
    </row>
    <row r="761" spans="1:22" x14ac:dyDescent="0.25">
      <c r="A761" s="2" t="s">
        <v>777</v>
      </c>
      <c r="B761" s="2" t="s">
        <v>1155</v>
      </c>
      <c r="C761" s="2" t="s">
        <v>1982</v>
      </c>
      <c r="D761" s="2" t="s">
        <v>1219</v>
      </c>
      <c r="E761">
        <v>48</v>
      </c>
      <c r="F761" s="2" t="s">
        <v>1228</v>
      </c>
      <c r="G761" s="2" t="s">
        <v>1221</v>
      </c>
      <c r="H761" s="2" t="s">
        <v>1253</v>
      </c>
      <c r="I761" s="1">
        <v>43154</v>
      </c>
      <c r="J761">
        <v>2018</v>
      </c>
      <c r="K761" s="2" t="s">
        <v>1983</v>
      </c>
      <c r="L761" s="4">
        <v>152632</v>
      </c>
      <c r="M761" s="2" t="s">
        <v>1223</v>
      </c>
      <c r="N761" s="2" t="s">
        <v>1224</v>
      </c>
      <c r="O761" s="2" t="s">
        <v>13</v>
      </c>
      <c r="P761" s="3">
        <v>43172</v>
      </c>
      <c r="Q761" s="4">
        <v>175745</v>
      </c>
      <c r="R761">
        <v>827</v>
      </c>
      <c r="S761" t="str">
        <f>IF(Linked[[#This Row],[Credit Score]]&lt;=579,"Poor",IF(Linked[[#This Row],[Credit Score]]&lt;=669,"Fair",IF(Linked[[#This Row],[Credit Score]]&lt;=739,"Good",IF(Linked[[#This Row],[Credit Score]]&lt;=799,"Very Good",IF(Linked[[#This Row],[Credit Score]]&gt;=800,"Excellent")))))</f>
        <v>Excellent</v>
      </c>
      <c r="T761" s="4">
        <v>0</v>
      </c>
      <c r="U761" s="2"/>
      <c r="V761" s="2"/>
    </row>
    <row r="762" spans="1:22" x14ac:dyDescent="0.25">
      <c r="A762" s="2" t="s">
        <v>629</v>
      </c>
      <c r="B762" s="2" t="s">
        <v>1156</v>
      </c>
      <c r="C762" s="2" t="s">
        <v>1584</v>
      </c>
      <c r="D762" s="2" t="s">
        <v>1227</v>
      </c>
      <c r="E762">
        <v>40</v>
      </c>
      <c r="F762" s="2" t="s">
        <v>1220</v>
      </c>
      <c r="G762" s="2" t="s">
        <v>1221</v>
      </c>
      <c r="H762" s="2" t="s">
        <v>1253</v>
      </c>
      <c r="I762" s="1">
        <v>45774</v>
      </c>
      <c r="J762">
        <v>2025</v>
      </c>
      <c r="K762" s="2" t="s">
        <v>1585</v>
      </c>
      <c r="L762" s="4">
        <v>158563</v>
      </c>
      <c r="M762" s="2" t="s">
        <v>1223</v>
      </c>
      <c r="N762" s="2" t="s">
        <v>1224</v>
      </c>
      <c r="O762" s="2" t="s">
        <v>10</v>
      </c>
      <c r="P762" s="3">
        <v>45336</v>
      </c>
      <c r="Q762" s="4">
        <v>389150</v>
      </c>
      <c r="R762">
        <v>654</v>
      </c>
      <c r="S762" t="str">
        <f>IF(Linked[[#This Row],[Credit Score]]&lt;=579,"Poor",IF(Linked[[#This Row],[Credit Score]]&lt;=669,"Fair",IF(Linked[[#This Row],[Credit Score]]&lt;=739,"Good",IF(Linked[[#This Row],[Credit Score]]&lt;=799,"Very Good",IF(Linked[[#This Row],[Credit Score]]&gt;=800,"Excellent")))))</f>
        <v>Fair</v>
      </c>
      <c r="T762" s="4">
        <v>0</v>
      </c>
      <c r="U762" s="2"/>
      <c r="V762" s="2"/>
    </row>
    <row r="763" spans="1:22" x14ac:dyDescent="0.25">
      <c r="A763" s="2" t="s">
        <v>139</v>
      </c>
      <c r="B763" s="2" t="s">
        <v>1157</v>
      </c>
      <c r="C763" s="2" t="s">
        <v>2294</v>
      </c>
      <c r="D763" s="2" t="s">
        <v>1219</v>
      </c>
      <c r="E763">
        <v>27</v>
      </c>
      <c r="F763" s="2" t="s">
        <v>1242</v>
      </c>
      <c r="G763" s="2" t="s">
        <v>1243</v>
      </c>
      <c r="H763" s="2" t="s">
        <v>1222</v>
      </c>
      <c r="I763" s="1">
        <v>45393</v>
      </c>
      <c r="J763">
        <v>2024</v>
      </c>
      <c r="K763" s="2" t="s">
        <v>2295</v>
      </c>
      <c r="L763" s="4">
        <v>99141</v>
      </c>
      <c r="M763" s="2" t="s">
        <v>1245</v>
      </c>
      <c r="N763" s="2" t="s">
        <v>1224</v>
      </c>
      <c r="O763" s="2" t="s">
        <v>10</v>
      </c>
      <c r="P763" s="3">
        <v>44959</v>
      </c>
      <c r="Q763" s="4">
        <v>220534</v>
      </c>
      <c r="R763">
        <v>486</v>
      </c>
      <c r="S763" t="str">
        <f>IF(Linked[[#This Row],[Credit Score]]&lt;=579,"Poor",IF(Linked[[#This Row],[Credit Score]]&lt;=669,"Fair",IF(Linked[[#This Row],[Credit Score]]&lt;=739,"Good",IF(Linked[[#This Row],[Credit Score]]&lt;=799,"Very Good",IF(Linked[[#This Row],[Credit Score]]&gt;=800,"Excellent")))))</f>
        <v>Poor</v>
      </c>
      <c r="T763" s="4">
        <v>0</v>
      </c>
      <c r="U763" s="2"/>
      <c r="V763" s="2"/>
    </row>
    <row r="764" spans="1:22" x14ac:dyDescent="0.25">
      <c r="A764" s="2" t="s">
        <v>690</v>
      </c>
      <c r="B764" s="2" t="s">
        <v>1158</v>
      </c>
      <c r="C764" s="2" t="s">
        <v>2164</v>
      </c>
      <c r="D764" s="2" t="s">
        <v>1219</v>
      </c>
      <c r="E764">
        <v>26</v>
      </c>
      <c r="F764" s="2" t="s">
        <v>1242</v>
      </c>
      <c r="G764" s="2" t="s">
        <v>1243</v>
      </c>
      <c r="H764" s="2" t="s">
        <v>1230</v>
      </c>
      <c r="I764" s="1">
        <v>45133</v>
      </c>
      <c r="J764">
        <v>2023</v>
      </c>
      <c r="K764" s="2" t="s">
        <v>2165</v>
      </c>
      <c r="L764" s="4">
        <v>106475</v>
      </c>
      <c r="M764" s="2" t="s">
        <v>1245</v>
      </c>
      <c r="N764" s="2" t="s">
        <v>1224</v>
      </c>
      <c r="O764" s="2" t="s">
        <v>25</v>
      </c>
      <c r="P764" s="3">
        <v>42567</v>
      </c>
      <c r="Q764" s="4">
        <v>45066</v>
      </c>
      <c r="R764">
        <v>330</v>
      </c>
      <c r="S764" t="str">
        <f>IF(Linked[[#This Row],[Credit Score]]&lt;=579,"Poor",IF(Linked[[#This Row],[Credit Score]]&lt;=669,"Fair",IF(Linked[[#This Row],[Credit Score]]&lt;=739,"Good",IF(Linked[[#This Row],[Credit Score]]&lt;=799,"Very Good",IF(Linked[[#This Row],[Credit Score]]&gt;=800,"Excellent")))))</f>
        <v>Poor</v>
      </c>
      <c r="T764" s="4">
        <v>0</v>
      </c>
      <c r="U764" s="2"/>
      <c r="V764" s="2"/>
    </row>
    <row r="765" spans="1:22" x14ac:dyDescent="0.25">
      <c r="A765" s="2" t="s">
        <v>857</v>
      </c>
      <c r="B765" s="2" t="s">
        <v>1159</v>
      </c>
      <c r="C765" s="2" t="s">
        <v>1709</v>
      </c>
      <c r="D765" s="2" t="s">
        <v>1219</v>
      </c>
      <c r="E765">
        <v>43</v>
      </c>
      <c r="F765" s="2" t="s">
        <v>1220</v>
      </c>
      <c r="G765" s="2" t="s">
        <v>1221</v>
      </c>
      <c r="H765" s="2" t="s">
        <v>1230</v>
      </c>
      <c r="I765" s="1">
        <v>43877</v>
      </c>
      <c r="J765">
        <v>2020</v>
      </c>
      <c r="K765" s="2" t="s">
        <v>1710</v>
      </c>
      <c r="L765" s="4">
        <v>171054</v>
      </c>
      <c r="M765" s="2" t="s">
        <v>1223</v>
      </c>
      <c r="N765" s="2" t="s">
        <v>1224</v>
      </c>
      <c r="O765" s="2" t="s">
        <v>13</v>
      </c>
      <c r="P765" s="3">
        <v>44569</v>
      </c>
      <c r="Q765" s="4">
        <v>231387</v>
      </c>
      <c r="R765">
        <v>559</v>
      </c>
      <c r="S765" t="str">
        <f>IF(Linked[[#This Row],[Credit Score]]&lt;=579,"Poor",IF(Linked[[#This Row],[Credit Score]]&lt;=669,"Fair",IF(Linked[[#This Row],[Credit Score]]&lt;=739,"Good",IF(Linked[[#This Row],[Credit Score]]&lt;=799,"Very Good",IF(Linked[[#This Row],[Credit Score]]&gt;=800,"Excellent")))))</f>
        <v>Poor</v>
      </c>
      <c r="T765" s="4">
        <v>0</v>
      </c>
      <c r="U765" s="2"/>
      <c r="V765" s="2"/>
    </row>
    <row r="766" spans="1:22" x14ac:dyDescent="0.25">
      <c r="A766" s="2" t="s">
        <v>391</v>
      </c>
      <c r="B766" s="2" t="s">
        <v>1160</v>
      </c>
      <c r="C766" s="2" t="s">
        <v>1625</v>
      </c>
      <c r="D766" s="2" t="s">
        <v>1219</v>
      </c>
      <c r="E766">
        <v>72</v>
      </c>
      <c r="F766" s="2" t="s">
        <v>1263</v>
      </c>
      <c r="G766" s="2" t="s">
        <v>1249</v>
      </c>
      <c r="H766" s="2" t="s">
        <v>1244</v>
      </c>
      <c r="I766" s="1">
        <v>45538</v>
      </c>
      <c r="J766">
        <v>2024</v>
      </c>
      <c r="K766" s="2" t="s">
        <v>1626</v>
      </c>
      <c r="L766" s="4">
        <v>143786</v>
      </c>
      <c r="M766" s="2" t="s">
        <v>1223</v>
      </c>
      <c r="N766" s="2" t="s">
        <v>1224</v>
      </c>
      <c r="O766" s="2" t="s">
        <v>10</v>
      </c>
      <c r="P766" s="3">
        <v>43688</v>
      </c>
      <c r="Q766" s="4">
        <v>134445</v>
      </c>
      <c r="R766">
        <v>720</v>
      </c>
      <c r="S766" t="str">
        <f>IF(Linked[[#This Row],[Credit Score]]&lt;=579,"Poor",IF(Linked[[#This Row],[Credit Score]]&lt;=669,"Fair",IF(Linked[[#This Row],[Credit Score]]&lt;=739,"Good",IF(Linked[[#This Row],[Credit Score]]&lt;=799,"Very Good",IF(Linked[[#This Row],[Credit Score]]&gt;=800,"Excellent")))))</f>
        <v>Good</v>
      </c>
      <c r="T766" s="4">
        <v>0</v>
      </c>
      <c r="U766" s="2"/>
      <c r="V766" s="2"/>
    </row>
    <row r="767" spans="1:22" x14ac:dyDescent="0.25">
      <c r="A767" s="2" t="s">
        <v>1162</v>
      </c>
      <c r="B767" s="2" t="s">
        <v>1161</v>
      </c>
      <c r="C767" s="2" t="s">
        <v>1621</v>
      </c>
      <c r="D767" s="2" t="s">
        <v>1227</v>
      </c>
      <c r="E767">
        <v>41</v>
      </c>
      <c r="F767" s="2" t="s">
        <v>1220</v>
      </c>
      <c r="G767" s="2" t="s">
        <v>1249</v>
      </c>
      <c r="H767" s="2" t="s">
        <v>1235</v>
      </c>
      <c r="I767" s="1">
        <v>43046</v>
      </c>
      <c r="J767">
        <v>2017</v>
      </c>
      <c r="K767" s="2" t="s">
        <v>1622</v>
      </c>
      <c r="L767" s="4">
        <v>47083</v>
      </c>
      <c r="M767" s="2" t="s">
        <v>1250</v>
      </c>
      <c r="N767" s="2" t="s">
        <v>1224</v>
      </c>
      <c r="O767" s="2" t="s">
        <v>25</v>
      </c>
      <c r="P767" s="3">
        <v>45014</v>
      </c>
      <c r="Q767" s="4">
        <v>403551</v>
      </c>
      <c r="R767">
        <v>828</v>
      </c>
      <c r="S767" t="str">
        <f>IF(Linked[[#This Row],[Credit Score]]&lt;=579,"Poor",IF(Linked[[#This Row],[Credit Score]]&lt;=669,"Fair",IF(Linked[[#This Row],[Credit Score]]&lt;=739,"Good",IF(Linked[[#This Row],[Credit Score]]&lt;=799,"Very Good",IF(Linked[[#This Row],[Credit Score]]&gt;=800,"Excellent")))))</f>
        <v>Excellent</v>
      </c>
      <c r="T767" s="4">
        <v>0</v>
      </c>
      <c r="U767" s="2"/>
      <c r="V767" s="2"/>
    </row>
    <row r="768" spans="1:22" x14ac:dyDescent="0.25">
      <c r="A768" s="2" t="s">
        <v>1070</v>
      </c>
      <c r="B768" s="2" t="s">
        <v>1163</v>
      </c>
      <c r="C768" s="2" t="s">
        <v>1976</v>
      </c>
      <c r="D768" s="2" t="s">
        <v>1227</v>
      </c>
      <c r="E768">
        <v>21</v>
      </c>
      <c r="F768" s="2" t="s">
        <v>1242</v>
      </c>
      <c r="G768" s="2" t="s">
        <v>1221</v>
      </c>
      <c r="H768" s="2" t="s">
        <v>1235</v>
      </c>
      <c r="I768" s="1">
        <v>42927</v>
      </c>
      <c r="J768">
        <v>2017</v>
      </c>
      <c r="K768" s="2" t="s">
        <v>1977</v>
      </c>
      <c r="L768" s="4">
        <v>92715</v>
      </c>
      <c r="M768" s="2" t="s">
        <v>1245</v>
      </c>
      <c r="N768" s="2" t="s">
        <v>1224</v>
      </c>
      <c r="O768" s="2" t="s">
        <v>13</v>
      </c>
      <c r="P768" s="3">
        <v>44649</v>
      </c>
      <c r="Q768" s="4">
        <v>416957</v>
      </c>
      <c r="R768">
        <v>603</v>
      </c>
      <c r="S768" t="str">
        <f>IF(Linked[[#This Row],[Credit Score]]&lt;=579,"Poor",IF(Linked[[#This Row],[Credit Score]]&lt;=669,"Fair",IF(Linked[[#This Row],[Credit Score]]&lt;=739,"Good",IF(Linked[[#This Row],[Credit Score]]&lt;=799,"Very Good",IF(Linked[[#This Row],[Credit Score]]&gt;=800,"Excellent")))))</f>
        <v>Fair</v>
      </c>
      <c r="T768" s="4">
        <v>0</v>
      </c>
      <c r="U768" s="2" t="s">
        <v>18</v>
      </c>
      <c r="V768" s="2"/>
    </row>
    <row r="769" spans="1:22" x14ac:dyDescent="0.25">
      <c r="A769" s="2" t="s">
        <v>277</v>
      </c>
      <c r="B769" s="2" t="s">
        <v>1164</v>
      </c>
      <c r="C769" s="2" t="s">
        <v>1971</v>
      </c>
      <c r="D769" s="2" t="s">
        <v>1219</v>
      </c>
      <c r="E769">
        <v>42</v>
      </c>
      <c r="F769" s="2" t="s">
        <v>1220</v>
      </c>
      <c r="G769" s="2" t="s">
        <v>1221</v>
      </c>
      <c r="H769" s="2" t="s">
        <v>1235</v>
      </c>
      <c r="I769" s="1">
        <v>44868</v>
      </c>
      <c r="J769">
        <v>2022</v>
      </c>
      <c r="K769" s="2" t="s">
        <v>1972</v>
      </c>
      <c r="L769" s="4">
        <v>131562</v>
      </c>
      <c r="M769" s="2" t="s">
        <v>1245</v>
      </c>
      <c r="N769" s="2" t="s">
        <v>1224</v>
      </c>
      <c r="O769" s="2" t="s">
        <v>32</v>
      </c>
      <c r="P769" s="3">
        <v>44363</v>
      </c>
      <c r="Q769" s="4">
        <v>272836</v>
      </c>
      <c r="R769">
        <v>338</v>
      </c>
      <c r="S769" t="str">
        <f>IF(Linked[[#This Row],[Credit Score]]&lt;=579,"Poor",IF(Linked[[#This Row],[Credit Score]]&lt;=669,"Fair",IF(Linked[[#This Row],[Credit Score]]&lt;=739,"Good",IF(Linked[[#This Row],[Credit Score]]&lt;=799,"Very Good",IF(Linked[[#This Row],[Credit Score]]&gt;=800,"Excellent")))))</f>
        <v>Poor</v>
      </c>
      <c r="T769" s="4">
        <v>37930</v>
      </c>
      <c r="U769" s="2"/>
      <c r="V769" s="2"/>
    </row>
    <row r="770" spans="1:22" x14ac:dyDescent="0.25">
      <c r="A770" s="2" t="s">
        <v>63</v>
      </c>
      <c r="B770" s="2" t="s">
        <v>1165</v>
      </c>
      <c r="C770" s="2" t="s">
        <v>1558</v>
      </c>
      <c r="D770" s="2" t="s">
        <v>1219</v>
      </c>
      <c r="E770">
        <v>22</v>
      </c>
      <c r="F770" s="2" t="s">
        <v>1242</v>
      </c>
      <c r="G770" s="2" t="s">
        <v>1221</v>
      </c>
      <c r="H770" s="2" t="s">
        <v>1235</v>
      </c>
      <c r="I770" s="1">
        <v>44029</v>
      </c>
      <c r="J770">
        <v>2020</v>
      </c>
      <c r="K770" s="2" t="s">
        <v>1559</v>
      </c>
      <c r="L770" s="4">
        <v>49257</v>
      </c>
      <c r="M770" s="2" t="s">
        <v>1250</v>
      </c>
      <c r="N770" s="2" t="s">
        <v>1224</v>
      </c>
      <c r="O770" s="2" t="s">
        <v>13</v>
      </c>
      <c r="P770" s="3">
        <v>42291</v>
      </c>
      <c r="Q770" s="4">
        <v>440511</v>
      </c>
      <c r="R770">
        <v>788</v>
      </c>
      <c r="S770" t="str">
        <f>IF(Linked[[#This Row],[Credit Score]]&lt;=579,"Poor",IF(Linked[[#This Row],[Credit Score]]&lt;=669,"Fair",IF(Linked[[#This Row],[Credit Score]]&lt;=739,"Good",IF(Linked[[#This Row],[Credit Score]]&lt;=799,"Very Good",IF(Linked[[#This Row],[Credit Score]]&gt;=800,"Excellent")))))</f>
        <v>Very Good</v>
      </c>
      <c r="T770" s="4">
        <v>0</v>
      </c>
      <c r="U770" s="2"/>
      <c r="V770" s="2"/>
    </row>
    <row r="771" spans="1:22" x14ac:dyDescent="0.25">
      <c r="A771" s="2" t="s">
        <v>688</v>
      </c>
      <c r="B771" s="2" t="s">
        <v>1166</v>
      </c>
      <c r="C771" s="2" t="s">
        <v>2203</v>
      </c>
      <c r="D771" s="2" t="s">
        <v>1227</v>
      </c>
      <c r="E771">
        <v>73</v>
      </c>
      <c r="F771" s="2" t="s">
        <v>1263</v>
      </c>
      <c r="G771" s="2" t="s">
        <v>1249</v>
      </c>
      <c r="H771" s="2" t="s">
        <v>1235</v>
      </c>
      <c r="I771" s="1">
        <v>45486</v>
      </c>
      <c r="J771">
        <v>2024</v>
      </c>
      <c r="K771" s="2" t="s">
        <v>2204</v>
      </c>
      <c r="L771" s="4">
        <v>127803</v>
      </c>
      <c r="M771" s="2" t="s">
        <v>1245</v>
      </c>
      <c r="N771" s="2" t="s">
        <v>1224</v>
      </c>
      <c r="O771" s="2" t="s">
        <v>13</v>
      </c>
      <c r="P771" s="3">
        <v>43909</v>
      </c>
      <c r="Q771" s="4">
        <v>45541</v>
      </c>
      <c r="R771">
        <v>841</v>
      </c>
      <c r="S771" t="str">
        <f>IF(Linked[[#This Row],[Credit Score]]&lt;=579,"Poor",IF(Linked[[#This Row],[Credit Score]]&lt;=669,"Fair",IF(Linked[[#This Row],[Credit Score]]&lt;=739,"Good",IF(Linked[[#This Row],[Credit Score]]&lt;=799,"Very Good",IF(Linked[[#This Row],[Credit Score]]&gt;=800,"Excellent")))))</f>
        <v>Excellent</v>
      </c>
      <c r="T771" s="4">
        <v>0</v>
      </c>
      <c r="U771" s="2"/>
      <c r="V771" s="2"/>
    </row>
    <row r="772" spans="1:22" x14ac:dyDescent="0.25">
      <c r="A772" s="2" t="s">
        <v>968</v>
      </c>
      <c r="B772" s="2" t="s">
        <v>1167</v>
      </c>
      <c r="C772" s="2" t="s">
        <v>1944</v>
      </c>
      <c r="D772" s="2" t="s">
        <v>1227</v>
      </c>
      <c r="E772">
        <v>19</v>
      </c>
      <c r="F772" s="2" t="s">
        <v>1242</v>
      </c>
      <c r="G772" s="2" t="s">
        <v>1221</v>
      </c>
      <c r="H772" s="2" t="s">
        <v>1253</v>
      </c>
      <c r="I772" s="1">
        <v>42817</v>
      </c>
      <c r="J772">
        <v>2017</v>
      </c>
      <c r="K772" s="2" t="s">
        <v>1541</v>
      </c>
      <c r="L772" s="4">
        <v>81550</v>
      </c>
      <c r="M772" s="2" t="s">
        <v>1245</v>
      </c>
      <c r="N772" s="2" t="s">
        <v>1231</v>
      </c>
      <c r="O772" s="2" t="s">
        <v>13</v>
      </c>
      <c r="P772" s="3">
        <v>43164</v>
      </c>
      <c r="Q772" s="4">
        <v>165129</v>
      </c>
      <c r="R772">
        <v>577</v>
      </c>
      <c r="S772" t="str">
        <f>IF(Linked[[#This Row],[Credit Score]]&lt;=579,"Poor",IF(Linked[[#This Row],[Credit Score]]&lt;=669,"Fair",IF(Linked[[#This Row],[Credit Score]]&lt;=739,"Good",IF(Linked[[#This Row],[Credit Score]]&lt;=799,"Very Good",IF(Linked[[#This Row],[Credit Score]]&gt;=800,"Excellent")))))</f>
        <v>Poor</v>
      </c>
      <c r="T772" s="4">
        <v>0</v>
      </c>
      <c r="U772" s="2"/>
      <c r="V772" s="2"/>
    </row>
    <row r="773" spans="1:22" x14ac:dyDescent="0.25">
      <c r="A773" s="2" t="s">
        <v>604</v>
      </c>
      <c r="B773" s="2" t="s">
        <v>1168</v>
      </c>
      <c r="C773" s="2" t="s">
        <v>2262</v>
      </c>
      <c r="D773" s="2" t="s">
        <v>1227</v>
      </c>
      <c r="E773">
        <v>65</v>
      </c>
      <c r="F773" s="2" t="s">
        <v>1263</v>
      </c>
      <c r="G773" s="2" t="s">
        <v>1249</v>
      </c>
      <c r="H773" s="2" t="s">
        <v>1230</v>
      </c>
      <c r="I773" s="1">
        <v>42602</v>
      </c>
      <c r="J773">
        <v>2016</v>
      </c>
      <c r="K773" s="2" t="s">
        <v>2263</v>
      </c>
      <c r="L773" s="4">
        <v>139273</v>
      </c>
      <c r="M773" s="2" t="s">
        <v>1245</v>
      </c>
      <c r="N773" s="2" t="s">
        <v>1231</v>
      </c>
      <c r="O773" s="2" t="s">
        <v>13</v>
      </c>
      <c r="P773" s="3">
        <v>44127</v>
      </c>
      <c r="Q773" s="4">
        <v>66983</v>
      </c>
      <c r="R773">
        <v>502</v>
      </c>
      <c r="S773" t="str">
        <f>IF(Linked[[#This Row],[Credit Score]]&lt;=579,"Poor",IF(Linked[[#This Row],[Credit Score]]&lt;=669,"Fair",IF(Linked[[#This Row],[Credit Score]]&lt;=739,"Good",IF(Linked[[#This Row],[Credit Score]]&lt;=799,"Very Good",IF(Linked[[#This Row],[Credit Score]]&gt;=800,"Excellent")))))</f>
        <v>Poor</v>
      </c>
      <c r="T773" s="4">
        <v>0</v>
      </c>
      <c r="U773" s="2" t="s">
        <v>18</v>
      </c>
      <c r="V773" s="2"/>
    </row>
    <row r="774" spans="1:22" x14ac:dyDescent="0.25">
      <c r="A774" s="2" t="s">
        <v>84</v>
      </c>
      <c r="B774" s="2" t="s">
        <v>1169</v>
      </c>
      <c r="C774" s="2" t="s">
        <v>1590</v>
      </c>
      <c r="D774" s="2" t="s">
        <v>1219</v>
      </c>
      <c r="E774">
        <v>22</v>
      </c>
      <c r="F774" s="2" t="s">
        <v>1242</v>
      </c>
      <c r="G774" s="2" t="s">
        <v>1229</v>
      </c>
      <c r="H774" s="2" t="s">
        <v>1222</v>
      </c>
      <c r="I774" s="1">
        <v>44252</v>
      </c>
      <c r="J774">
        <v>2021</v>
      </c>
      <c r="K774" s="2" t="s">
        <v>1591</v>
      </c>
      <c r="L774" s="4">
        <v>93609</v>
      </c>
      <c r="M774" s="2" t="s">
        <v>1245</v>
      </c>
      <c r="N774" s="2" t="s">
        <v>1224</v>
      </c>
      <c r="O774" s="2" t="s">
        <v>32</v>
      </c>
      <c r="P774" s="3">
        <v>42631</v>
      </c>
      <c r="Q774" s="4">
        <v>150655</v>
      </c>
      <c r="R774">
        <v>365</v>
      </c>
      <c r="S774" t="str">
        <f>IF(Linked[[#This Row],[Credit Score]]&lt;=579,"Poor",IF(Linked[[#This Row],[Credit Score]]&lt;=669,"Fair",IF(Linked[[#This Row],[Credit Score]]&lt;=739,"Good",IF(Linked[[#This Row],[Credit Score]]&lt;=799,"Very Good",IF(Linked[[#This Row],[Credit Score]]&gt;=800,"Excellent")))))</f>
        <v>Poor</v>
      </c>
      <c r="T774" s="4">
        <v>0</v>
      </c>
      <c r="U774" s="2" t="s">
        <v>39</v>
      </c>
      <c r="V774" s="2"/>
    </row>
    <row r="775" spans="1:22" x14ac:dyDescent="0.25">
      <c r="A775" s="2" t="s">
        <v>297</v>
      </c>
      <c r="B775" s="2" t="s">
        <v>1170</v>
      </c>
      <c r="C775" s="2" t="s">
        <v>1517</v>
      </c>
      <c r="D775" s="2" t="s">
        <v>1227</v>
      </c>
      <c r="E775">
        <v>46</v>
      </c>
      <c r="F775" s="2" t="s">
        <v>1228</v>
      </c>
      <c r="G775" s="2" t="s">
        <v>1249</v>
      </c>
      <c r="H775" s="2" t="s">
        <v>1222</v>
      </c>
      <c r="I775" s="1">
        <v>42374</v>
      </c>
      <c r="J775">
        <v>2016</v>
      </c>
      <c r="K775" s="2" t="s">
        <v>1518</v>
      </c>
      <c r="L775" s="4">
        <v>112241</v>
      </c>
      <c r="M775" s="2" t="s">
        <v>1245</v>
      </c>
      <c r="N775" s="2" t="s">
        <v>1231</v>
      </c>
      <c r="O775" s="2" t="s">
        <v>13</v>
      </c>
      <c r="P775" s="3">
        <v>42794</v>
      </c>
      <c r="Q775" s="4">
        <v>153837</v>
      </c>
      <c r="R775">
        <v>407</v>
      </c>
      <c r="S775" t="str">
        <f>IF(Linked[[#This Row],[Credit Score]]&lt;=579,"Poor",IF(Linked[[#This Row],[Credit Score]]&lt;=669,"Fair",IF(Linked[[#This Row],[Credit Score]]&lt;=739,"Good",IF(Linked[[#This Row],[Credit Score]]&lt;=799,"Very Good",IF(Linked[[#This Row],[Credit Score]]&gt;=800,"Excellent")))))</f>
        <v>Poor</v>
      </c>
      <c r="T775" s="4">
        <v>0</v>
      </c>
      <c r="U775" s="2"/>
      <c r="V775" s="2"/>
    </row>
    <row r="776" spans="1:22" x14ac:dyDescent="0.25">
      <c r="A776" s="2" t="s">
        <v>1172</v>
      </c>
      <c r="B776" s="2" t="s">
        <v>1171</v>
      </c>
      <c r="C776" s="2" t="s">
        <v>2146</v>
      </c>
      <c r="D776" s="2" t="s">
        <v>1227</v>
      </c>
      <c r="E776">
        <v>43</v>
      </c>
      <c r="F776" s="2" t="s">
        <v>1220</v>
      </c>
      <c r="G776" s="2" t="s">
        <v>1229</v>
      </c>
      <c r="H776" s="2" t="s">
        <v>1230</v>
      </c>
      <c r="I776" s="1">
        <v>44313</v>
      </c>
      <c r="J776">
        <v>2021</v>
      </c>
      <c r="K776" s="2" t="s">
        <v>2147</v>
      </c>
      <c r="L776" s="4">
        <v>55046</v>
      </c>
      <c r="M776" s="2" t="s">
        <v>1250</v>
      </c>
      <c r="N776" s="2" t="s">
        <v>1224</v>
      </c>
      <c r="O776" s="2" t="s">
        <v>10</v>
      </c>
      <c r="P776" s="3">
        <v>44686</v>
      </c>
      <c r="Q776" s="4">
        <v>190359</v>
      </c>
      <c r="R776">
        <v>567</v>
      </c>
      <c r="S776" t="str">
        <f>IF(Linked[[#This Row],[Credit Score]]&lt;=579,"Poor",IF(Linked[[#This Row],[Credit Score]]&lt;=669,"Fair",IF(Linked[[#This Row],[Credit Score]]&lt;=739,"Good",IF(Linked[[#This Row],[Credit Score]]&lt;=799,"Very Good",IF(Linked[[#This Row],[Credit Score]]&gt;=800,"Excellent")))))</f>
        <v>Poor</v>
      </c>
      <c r="T776" s="4">
        <v>0</v>
      </c>
      <c r="U776" s="2"/>
      <c r="V776" s="2"/>
    </row>
    <row r="777" spans="1:22" x14ac:dyDescent="0.25">
      <c r="A777" s="2" t="s">
        <v>333</v>
      </c>
      <c r="B777" s="2" t="s">
        <v>1173</v>
      </c>
      <c r="C777" s="2" t="s">
        <v>1422</v>
      </c>
      <c r="D777" s="2" t="s">
        <v>1227</v>
      </c>
      <c r="E777">
        <v>23</v>
      </c>
      <c r="F777" s="2" t="s">
        <v>1242</v>
      </c>
      <c r="G777" s="2" t="s">
        <v>1243</v>
      </c>
      <c r="H777" s="2" t="s">
        <v>1230</v>
      </c>
      <c r="I777" s="1">
        <v>45791</v>
      </c>
      <c r="J777">
        <v>2025</v>
      </c>
      <c r="K777" s="2" t="s">
        <v>1423</v>
      </c>
      <c r="L777" s="4">
        <v>146267</v>
      </c>
      <c r="M777" s="2" t="s">
        <v>1223</v>
      </c>
      <c r="N777" s="2" t="s">
        <v>1236</v>
      </c>
      <c r="O777" s="2" t="s">
        <v>13</v>
      </c>
      <c r="P777" s="3">
        <v>42864</v>
      </c>
      <c r="Q777" s="4">
        <v>417122</v>
      </c>
      <c r="R777">
        <v>521</v>
      </c>
      <c r="S777" t="str">
        <f>IF(Linked[[#This Row],[Credit Score]]&lt;=579,"Poor",IF(Linked[[#This Row],[Credit Score]]&lt;=669,"Fair",IF(Linked[[#This Row],[Credit Score]]&lt;=739,"Good",IF(Linked[[#This Row],[Credit Score]]&lt;=799,"Very Good",IF(Linked[[#This Row],[Credit Score]]&gt;=800,"Excellent")))))</f>
        <v>Poor</v>
      </c>
      <c r="T777" s="4">
        <v>0</v>
      </c>
      <c r="U777" s="2"/>
      <c r="V777" s="2"/>
    </row>
    <row r="778" spans="1:22" x14ac:dyDescent="0.25">
      <c r="A778" s="2" t="s">
        <v>549</v>
      </c>
      <c r="B778" s="2" t="s">
        <v>1174</v>
      </c>
      <c r="C778" s="2" t="s">
        <v>2275</v>
      </c>
      <c r="D778" s="2" t="s">
        <v>1219</v>
      </c>
      <c r="E778">
        <v>22</v>
      </c>
      <c r="F778" s="2" t="s">
        <v>1242</v>
      </c>
      <c r="G778" s="2" t="s">
        <v>1249</v>
      </c>
      <c r="H778" s="2" t="s">
        <v>1253</v>
      </c>
      <c r="I778" s="1">
        <v>43346</v>
      </c>
      <c r="J778">
        <v>2018</v>
      </c>
      <c r="K778" s="2" t="s">
        <v>2276</v>
      </c>
      <c r="L778" s="4">
        <v>81212</v>
      </c>
      <c r="M778" s="2" t="s">
        <v>1245</v>
      </c>
      <c r="N778" s="2" t="s">
        <v>1231</v>
      </c>
      <c r="O778" s="2" t="s">
        <v>10</v>
      </c>
      <c r="P778" s="3">
        <v>42605</v>
      </c>
      <c r="Q778" s="4">
        <v>382891</v>
      </c>
      <c r="R778">
        <v>829</v>
      </c>
      <c r="S778" t="str">
        <f>IF(Linked[[#This Row],[Credit Score]]&lt;=579,"Poor",IF(Linked[[#This Row],[Credit Score]]&lt;=669,"Fair",IF(Linked[[#This Row],[Credit Score]]&lt;=739,"Good",IF(Linked[[#This Row],[Credit Score]]&lt;=799,"Very Good",IF(Linked[[#This Row],[Credit Score]]&gt;=800,"Excellent")))))</f>
        <v>Excellent</v>
      </c>
      <c r="T778" s="4">
        <v>0</v>
      </c>
      <c r="U778" s="2" t="s">
        <v>18</v>
      </c>
      <c r="V778" s="2"/>
    </row>
    <row r="779" spans="1:22" x14ac:dyDescent="0.25">
      <c r="A779" s="2" t="s">
        <v>844</v>
      </c>
      <c r="B779" s="2" t="s">
        <v>1175</v>
      </c>
      <c r="C779" s="2" t="s">
        <v>1560</v>
      </c>
      <c r="D779" s="2" t="s">
        <v>1219</v>
      </c>
      <c r="E779">
        <v>29</v>
      </c>
      <c r="F779" s="2" t="s">
        <v>1220</v>
      </c>
      <c r="G779" s="2" t="s">
        <v>1249</v>
      </c>
      <c r="H779" s="2" t="s">
        <v>1222</v>
      </c>
      <c r="I779" s="1">
        <v>43888</v>
      </c>
      <c r="J779">
        <v>2020</v>
      </c>
      <c r="K779" s="2" t="s">
        <v>1561</v>
      </c>
      <c r="L779" s="4">
        <v>193279</v>
      </c>
      <c r="M779" s="2" t="s">
        <v>1223</v>
      </c>
      <c r="N779" s="2" t="s">
        <v>1236</v>
      </c>
      <c r="O779" s="2" t="s">
        <v>10</v>
      </c>
      <c r="P779" s="3">
        <v>45382</v>
      </c>
      <c r="Q779" s="4">
        <v>347247</v>
      </c>
      <c r="R779">
        <v>389</v>
      </c>
      <c r="S779" t="str">
        <f>IF(Linked[[#This Row],[Credit Score]]&lt;=579,"Poor",IF(Linked[[#This Row],[Credit Score]]&lt;=669,"Fair",IF(Linked[[#This Row],[Credit Score]]&lt;=739,"Good",IF(Linked[[#This Row],[Credit Score]]&lt;=799,"Very Good",IF(Linked[[#This Row],[Credit Score]]&gt;=800,"Excellent")))))</f>
        <v>Poor</v>
      </c>
      <c r="T779" s="4">
        <v>0</v>
      </c>
      <c r="U779" s="2" t="s">
        <v>39</v>
      </c>
      <c r="V779" s="2"/>
    </row>
    <row r="780" spans="1:22" x14ac:dyDescent="0.25">
      <c r="A780" s="2" t="s">
        <v>1177</v>
      </c>
      <c r="B780" s="2" t="s">
        <v>1176</v>
      </c>
      <c r="C780" s="2" t="s">
        <v>1762</v>
      </c>
      <c r="D780" s="2" t="s">
        <v>1219</v>
      </c>
      <c r="E780">
        <v>66</v>
      </c>
      <c r="F780" s="2" t="s">
        <v>1263</v>
      </c>
      <c r="G780" s="2" t="s">
        <v>1243</v>
      </c>
      <c r="H780" s="2" t="s">
        <v>1244</v>
      </c>
      <c r="I780" s="1">
        <v>45601</v>
      </c>
      <c r="J780">
        <v>2024</v>
      </c>
      <c r="K780" s="2" t="s">
        <v>1763</v>
      </c>
      <c r="L780" s="4">
        <v>64859</v>
      </c>
      <c r="M780" s="2" t="s">
        <v>1250</v>
      </c>
      <c r="N780" s="2" t="s">
        <v>1224</v>
      </c>
      <c r="O780" s="2" t="s">
        <v>13</v>
      </c>
      <c r="P780" s="3">
        <v>45712</v>
      </c>
      <c r="Q780" s="4">
        <v>210747</v>
      </c>
      <c r="R780">
        <v>554</v>
      </c>
      <c r="S780" t="str">
        <f>IF(Linked[[#This Row],[Credit Score]]&lt;=579,"Poor",IF(Linked[[#This Row],[Credit Score]]&lt;=669,"Fair",IF(Linked[[#This Row],[Credit Score]]&lt;=739,"Good",IF(Linked[[#This Row],[Credit Score]]&lt;=799,"Very Good",IF(Linked[[#This Row],[Credit Score]]&gt;=800,"Excellent")))))</f>
        <v>Poor</v>
      </c>
      <c r="T780" s="4">
        <v>0</v>
      </c>
      <c r="U780" s="2"/>
      <c r="V780" s="2"/>
    </row>
    <row r="781" spans="1:22" x14ac:dyDescent="0.25">
      <c r="A781" s="2" t="s">
        <v>636</v>
      </c>
      <c r="B781" s="2" t="s">
        <v>1178</v>
      </c>
      <c r="C781" s="2" t="s">
        <v>2130</v>
      </c>
      <c r="D781" s="2" t="s">
        <v>1227</v>
      </c>
      <c r="E781">
        <v>55</v>
      </c>
      <c r="F781" s="2" t="s">
        <v>1228</v>
      </c>
      <c r="G781" s="2" t="s">
        <v>1221</v>
      </c>
      <c r="H781" s="2" t="s">
        <v>1222</v>
      </c>
      <c r="I781" s="1">
        <v>45608</v>
      </c>
      <c r="J781">
        <v>2024</v>
      </c>
      <c r="K781" s="2" t="s">
        <v>2131</v>
      </c>
      <c r="L781" s="4">
        <v>46916</v>
      </c>
      <c r="M781" s="2" t="s">
        <v>1250</v>
      </c>
      <c r="N781" s="2" t="s">
        <v>1231</v>
      </c>
      <c r="O781" s="2" t="s">
        <v>13</v>
      </c>
      <c r="P781" s="3">
        <v>45714</v>
      </c>
      <c r="Q781" s="4">
        <v>177597</v>
      </c>
      <c r="R781">
        <v>754</v>
      </c>
      <c r="S781" t="str">
        <f>IF(Linked[[#This Row],[Credit Score]]&lt;=579,"Poor",IF(Linked[[#This Row],[Credit Score]]&lt;=669,"Fair",IF(Linked[[#This Row],[Credit Score]]&lt;=739,"Good",IF(Linked[[#This Row],[Credit Score]]&lt;=799,"Very Good",IF(Linked[[#This Row],[Credit Score]]&gt;=800,"Excellent")))))</f>
        <v>Very Good</v>
      </c>
      <c r="T781" s="4">
        <v>0</v>
      </c>
      <c r="U781" s="2"/>
      <c r="V781" s="2"/>
    </row>
    <row r="782" spans="1:22" x14ac:dyDescent="0.25">
      <c r="A782" s="2" t="s">
        <v>437</v>
      </c>
      <c r="B782" s="2" t="s">
        <v>1179</v>
      </c>
      <c r="C782" s="2" t="s">
        <v>2151</v>
      </c>
      <c r="D782" s="2" t="s">
        <v>1219</v>
      </c>
      <c r="E782">
        <v>45</v>
      </c>
      <c r="F782" s="2" t="s">
        <v>1228</v>
      </c>
      <c r="G782" s="2" t="s">
        <v>1249</v>
      </c>
      <c r="H782" s="2" t="s">
        <v>1222</v>
      </c>
      <c r="I782" s="1">
        <v>44111</v>
      </c>
      <c r="J782">
        <v>2020</v>
      </c>
      <c r="K782" s="2" t="s">
        <v>2152</v>
      </c>
      <c r="L782" s="4">
        <v>121520</v>
      </c>
      <c r="M782" s="2" t="s">
        <v>1245</v>
      </c>
      <c r="N782" s="2" t="s">
        <v>1231</v>
      </c>
      <c r="O782" s="2" t="s">
        <v>25</v>
      </c>
      <c r="P782" s="3">
        <v>44038</v>
      </c>
      <c r="Q782" s="4">
        <v>169302</v>
      </c>
      <c r="R782">
        <v>552</v>
      </c>
      <c r="S782" t="str">
        <f>IF(Linked[[#This Row],[Credit Score]]&lt;=579,"Poor",IF(Linked[[#This Row],[Credit Score]]&lt;=669,"Fair",IF(Linked[[#This Row],[Credit Score]]&lt;=739,"Good",IF(Linked[[#This Row],[Credit Score]]&lt;=799,"Very Good",IF(Linked[[#This Row],[Credit Score]]&gt;=800,"Excellent")))))</f>
        <v>Poor</v>
      </c>
      <c r="T782" s="4">
        <v>0</v>
      </c>
      <c r="U782" s="2"/>
      <c r="V782" s="2"/>
    </row>
    <row r="783" spans="1:22" x14ac:dyDescent="0.25">
      <c r="A783" s="2" t="s">
        <v>221</v>
      </c>
      <c r="B783" s="2" t="s">
        <v>1180</v>
      </c>
      <c r="C783" s="2" t="s">
        <v>1426</v>
      </c>
      <c r="D783" s="2" t="s">
        <v>1227</v>
      </c>
      <c r="E783">
        <v>49</v>
      </c>
      <c r="F783" s="2" t="s">
        <v>1228</v>
      </c>
      <c r="G783" s="2" t="s">
        <v>1249</v>
      </c>
      <c r="H783" s="2" t="s">
        <v>1239</v>
      </c>
      <c r="I783" s="1">
        <v>44288</v>
      </c>
      <c r="J783">
        <v>2021</v>
      </c>
      <c r="K783" s="2" t="s">
        <v>1427</v>
      </c>
      <c r="L783" s="4">
        <v>154092</v>
      </c>
      <c r="M783" s="2" t="s">
        <v>1223</v>
      </c>
      <c r="N783" s="2" t="s">
        <v>1236</v>
      </c>
      <c r="O783" s="2" t="s">
        <v>13</v>
      </c>
      <c r="P783" s="3">
        <v>43288</v>
      </c>
      <c r="Q783" s="4">
        <v>412736</v>
      </c>
      <c r="R783">
        <v>556</v>
      </c>
      <c r="S783" t="str">
        <f>IF(Linked[[#This Row],[Credit Score]]&lt;=579,"Poor",IF(Linked[[#This Row],[Credit Score]]&lt;=669,"Fair",IF(Linked[[#This Row],[Credit Score]]&lt;=739,"Good",IF(Linked[[#This Row],[Credit Score]]&lt;=799,"Very Good",IF(Linked[[#This Row],[Credit Score]]&gt;=800,"Excellent")))))</f>
        <v>Poor</v>
      </c>
      <c r="T783" s="4">
        <v>0</v>
      </c>
      <c r="U783" s="2"/>
      <c r="V783" s="2"/>
    </row>
    <row r="784" spans="1:22" x14ac:dyDescent="0.25">
      <c r="A784" s="2" t="s">
        <v>57</v>
      </c>
      <c r="B784" s="2" t="s">
        <v>1181</v>
      </c>
      <c r="C784" s="2" t="s">
        <v>1488</v>
      </c>
      <c r="D784" s="2" t="s">
        <v>1227</v>
      </c>
      <c r="E784">
        <v>64</v>
      </c>
      <c r="F784" s="2" t="s">
        <v>1263</v>
      </c>
      <c r="G784" s="2" t="s">
        <v>1229</v>
      </c>
      <c r="H784" s="2" t="s">
        <v>1222</v>
      </c>
      <c r="I784" s="1">
        <v>42445</v>
      </c>
      <c r="J784">
        <v>2016</v>
      </c>
      <c r="K784" s="2" t="s">
        <v>1489</v>
      </c>
      <c r="L784" s="4">
        <v>73947</v>
      </c>
      <c r="M784" s="2" t="s">
        <v>1250</v>
      </c>
      <c r="N784" s="2" t="s">
        <v>1236</v>
      </c>
      <c r="O784" s="2" t="s">
        <v>10</v>
      </c>
      <c r="P784" s="3">
        <v>43136</v>
      </c>
      <c r="Q784" s="4">
        <v>478454</v>
      </c>
      <c r="R784">
        <v>682</v>
      </c>
      <c r="S784" t="str">
        <f>IF(Linked[[#This Row],[Credit Score]]&lt;=579,"Poor",IF(Linked[[#This Row],[Credit Score]]&lt;=669,"Fair",IF(Linked[[#This Row],[Credit Score]]&lt;=739,"Good",IF(Linked[[#This Row],[Credit Score]]&lt;=799,"Very Good",IF(Linked[[#This Row],[Credit Score]]&gt;=800,"Excellent")))))</f>
        <v>Good</v>
      </c>
      <c r="T784" s="4">
        <v>0</v>
      </c>
      <c r="U784" s="2"/>
      <c r="V784" s="2"/>
    </row>
    <row r="785" spans="1:22" x14ac:dyDescent="0.25">
      <c r="A785" s="2" t="s">
        <v>820</v>
      </c>
      <c r="B785" s="2" t="s">
        <v>1182</v>
      </c>
      <c r="C785" s="2" t="s">
        <v>1730</v>
      </c>
      <c r="D785" s="2" t="s">
        <v>1227</v>
      </c>
      <c r="E785">
        <v>62</v>
      </c>
      <c r="F785" s="2" t="s">
        <v>1263</v>
      </c>
      <c r="G785" s="2" t="s">
        <v>1249</v>
      </c>
      <c r="H785" s="2" t="s">
        <v>1230</v>
      </c>
      <c r="I785" s="1">
        <v>43070</v>
      </c>
      <c r="J785">
        <v>2017</v>
      </c>
      <c r="K785" s="2" t="s">
        <v>1731</v>
      </c>
      <c r="L785" s="4">
        <v>105530</v>
      </c>
      <c r="M785" s="2" t="s">
        <v>1245</v>
      </c>
      <c r="N785" s="2" t="s">
        <v>1236</v>
      </c>
      <c r="O785" s="2" t="s">
        <v>13</v>
      </c>
      <c r="P785" s="3">
        <v>42778</v>
      </c>
      <c r="Q785" s="4">
        <v>445150</v>
      </c>
      <c r="R785">
        <v>741</v>
      </c>
      <c r="S785" t="str">
        <f>IF(Linked[[#This Row],[Credit Score]]&lt;=579,"Poor",IF(Linked[[#This Row],[Credit Score]]&lt;=669,"Fair",IF(Linked[[#This Row],[Credit Score]]&lt;=739,"Good",IF(Linked[[#This Row],[Credit Score]]&lt;=799,"Very Good",IF(Linked[[#This Row],[Credit Score]]&gt;=800,"Excellent")))))</f>
        <v>Very Good</v>
      </c>
      <c r="T785" s="4">
        <v>0</v>
      </c>
      <c r="U785" s="2" t="s">
        <v>18</v>
      </c>
      <c r="V785" s="2"/>
    </row>
    <row r="786" spans="1:22" x14ac:dyDescent="0.25">
      <c r="A786" s="2" t="s">
        <v>983</v>
      </c>
      <c r="B786" s="2" t="s">
        <v>1183</v>
      </c>
      <c r="C786" s="2" t="s">
        <v>1959</v>
      </c>
      <c r="D786" s="2" t="s">
        <v>1219</v>
      </c>
      <c r="E786">
        <v>62</v>
      </c>
      <c r="F786" s="2" t="s">
        <v>1263</v>
      </c>
      <c r="G786" s="2" t="s">
        <v>1243</v>
      </c>
      <c r="H786" s="2" t="s">
        <v>1222</v>
      </c>
      <c r="I786" s="1">
        <v>44448</v>
      </c>
      <c r="J786">
        <v>2021</v>
      </c>
      <c r="K786" s="2" t="s">
        <v>1960</v>
      </c>
      <c r="L786" s="4">
        <v>101941</v>
      </c>
      <c r="M786" s="2" t="s">
        <v>1245</v>
      </c>
      <c r="N786" s="2" t="s">
        <v>1224</v>
      </c>
      <c r="O786" s="2" t="s">
        <v>25</v>
      </c>
      <c r="P786" s="3">
        <v>45608</v>
      </c>
      <c r="Q786" s="4">
        <v>287710</v>
      </c>
      <c r="R786">
        <v>389</v>
      </c>
      <c r="S786" t="str">
        <f>IF(Linked[[#This Row],[Credit Score]]&lt;=579,"Poor",IF(Linked[[#This Row],[Credit Score]]&lt;=669,"Fair",IF(Linked[[#This Row],[Credit Score]]&lt;=739,"Good",IF(Linked[[#This Row],[Credit Score]]&lt;=799,"Very Good",IF(Linked[[#This Row],[Credit Score]]&gt;=800,"Excellent")))))</f>
        <v>Poor</v>
      </c>
      <c r="T786" s="4">
        <v>0</v>
      </c>
      <c r="U786" s="2" t="s">
        <v>39</v>
      </c>
      <c r="V786" s="2"/>
    </row>
    <row r="787" spans="1:22" x14ac:dyDescent="0.25">
      <c r="A787" s="2" t="s">
        <v>1185</v>
      </c>
      <c r="B787" s="2" t="s">
        <v>1184</v>
      </c>
      <c r="C787" s="2" t="s">
        <v>2057</v>
      </c>
      <c r="D787" s="2" t="s">
        <v>1219</v>
      </c>
      <c r="E787">
        <v>62</v>
      </c>
      <c r="F787" s="2" t="s">
        <v>1263</v>
      </c>
      <c r="G787" s="2" t="s">
        <v>1249</v>
      </c>
      <c r="H787" s="2" t="s">
        <v>1244</v>
      </c>
      <c r="I787" s="1">
        <v>42731</v>
      </c>
      <c r="J787">
        <v>2016</v>
      </c>
      <c r="K787" s="2" t="s">
        <v>2058</v>
      </c>
      <c r="L787" s="4">
        <v>119259</v>
      </c>
      <c r="M787" s="2" t="s">
        <v>1245</v>
      </c>
      <c r="N787" s="2" t="s">
        <v>1236</v>
      </c>
      <c r="O787" s="2" t="s">
        <v>13</v>
      </c>
      <c r="P787" s="3">
        <v>43793</v>
      </c>
      <c r="Q787" s="4">
        <v>335337</v>
      </c>
      <c r="R787">
        <v>689</v>
      </c>
      <c r="S787" t="str">
        <f>IF(Linked[[#This Row],[Credit Score]]&lt;=579,"Poor",IF(Linked[[#This Row],[Credit Score]]&lt;=669,"Fair",IF(Linked[[#This Row],[Credit Score]]&lt;=739,"Good",IF(Linked[[#This Row],[Credit Score]]&lt;=799,"Very Good",IF(Linked[[#This Row],[Credit Score]]&gt;=800,"Excellent")))))</f>
        <v>Good</v>
      </c>
      <c r="T787" s="4">
        <v>0</v>
      </c>
      <c r="U787" s="2"/>
      <c r="V787" s="2"/>
    </row>
    <row r="788" spans="1:22" x14ac:dyDescent="0.25">
      <c r="A788" s="2" t="s">
        <v>449</v>
      </c>
      <c r="B788" s="2" t="s">
        <v>1186</v>
      </c>
      <c r="C788" s="2" t="s">
        <v>1771</v>
      </c>
      <c r="D788" s="2" t="s">
        <v>1227</v>
      </c>
      <c r="E788">
        <v>35</v>
      </c>
      <c r="F788" s="2" t="s">
        <v>1220</v>
      </c>
      <c r="G788" s="2" t="s">
        <v>1229</v>
      </c>
      <c r="H788" s="2" t="s">
        <v>1253</v>
      </c>
      <c r="I788" s="1">
        <v>43688</v>
      </c>
      <c r="J788">
        <v>2019</v>
      </c>
      <c r="K788" s="2" t="s">
        <v>1772</v>
      </c>
      <c r="L788" s="4">
        <v>20526</v>
      </c>
      <c r="M788" s="2" t="s">
        <v>1250</v>
      </c>
      <c r="N788" s="2" t="s">
        <v>1224</v>
      </c>
      <c r="O788" s="2" t="s">
        <v>10</v>
      </c>
      <c r="P788" s="3">
        <v>43938</v>
      </c>
      <c r="Q788" s="4">
        <v>496440</v>
      </c>
      <c r="R788">
        <v>343</v>
      </c>
      <c r="S788" t="str">
        <f>IF(Linked[[#This Row],[Credit Score]]&lt;=579,"Poor",IF(Linked[[#This Row],[Credit Score]]&lt;=669,"Fair",IF(Linked[[#This Row],[Credit Score]]&lt;=739,"Good",IF(Linked[[#This Row],[Credit Score]]&lt;=799,"Very Good",IF(Linked[[#This Row],[Credit Score]]&gt;=800,"Excellent")))))</f>
        <v>Poor</v>
      </c>
      <c r="T788" s="4">
        <v>0</v>
      </c>
      <c r="U788" s="2"/>
      <c r="V788" s="2"/>
    </row>
    <row r="789" spans="1:22" x14ac:dyDescent="0.25">
      <c r="A789" s="2" t="s">
        <v>311</v>
      </c>
      <c r="B789" s="2" t="s">
        <v>1187</v>
      </c>
      <c r="C789" s="2" t="s">
        <v>1551</v>
      </c>
      <c r="D789" s="2" t="s">
        <v>1227</v>
      </c>
      <c r="E789">
        <v>47</v>
      </c>
      <c r="F789" s="2" t="s">
        <v>1228</v>
      </c>
      <c r="G789" s="2" t="s">
        <v>1249</v>
      </c>
      <c r="H789" s="2" t="s">
        <v>1259</v>
      </c>
      <c r="I789" s="1">
        <v>44528</v>
      </c>
      <c r="J789">
        <v>2021</v>
      </c>
      <c r="K789" s="2" t="s">
        <v>1552</v>
      </c>
      <c r="L789" s="4">
        <v>152079</v>
      </c>
      <c r="M789" s="2" t="s">
        <v>1223</v>
      </c>
      <c r="N789" s="2" t="s">
        <v>1224</v>
      </c>
      <c r="O789" s="2" t="s">
        <v>13</v>
      </c>
      <c r="P789" s="3">
        <v>45822</v>
      </c>
      <c r="Q789" s="4">
        <v>423350</v>
      </c>
      <c r="R789">
        <v>318</v>
      </c>
      <c r="S789" t="str">
        <f>IF(Linked[[#This Row],[Credit Score]]&lt;=579,"Poor",IF(Linked[[#This Row],[Credit Score]]&lt;=669,"Fair",IF(Linked[[#This Row],[Credit Score]]&lt;=739,"Good",IF(Linked[[#This Row],[Credit Score]]&lt;=799,"Very Good",IF(Linked[[#This Row],[Credit Score]]&gt;=800,"Excellent")))))</f>
        <v>Poor</v>
      </c>
      <c r="T789" s="4">
        <v>0</v>
      </c>
      <c r="U789" s="2"/>
      <c r="V789" s="2"/>
    </row>
    <row r="790" spans="1:22" x14ac:dyDescent="0.25">
      <c r="A790" s="2" t="s">
        <v>727</v>
      </c>
      <c r="B790" s="2" t="s">
        <v>1188</v>
      </c>
      <c r="C790" s="2" t="s">
        <v>1333</v>
      </c>
      <c r="D790" s="2" t="s">
        <v>1219</v>
      </c>
      <c r="E790">
        <v>30</v>
      </c>
      <c r="F790" s="2" t="s">
        <v>1220</v>
      </c>
      <c r="G790" s="2" t="s">
        <v>1249</v>
      </c>
      <c r="H790" s="2" t="s">
        <v>1259</v>
      </c>
      <c r="I790" s="1">
        <v>42853</v>
      </c>
      <c r="J790">
        <v>2017</v>
      </c>
      <c r="K790" s="2" t="s">
        <v>1334</v>
      </c>
      <c r="L790" s="4">
        <v>176497</v>
      </c>
      <c r="M790" s="2" t="s">
        <v>1223</v>
      </c>
      <c r="N790" s="2" t="s">
        <v>1231</v>
      </c>
      <c r="O790" s="2" t="s">
        <v>32</v>
      </c>
      <c r="P790" s="3">
        <v>44910</v>
      </c>
      <c r="Q790" s="4">
        <v>403561</v>
      </c>
      <c r="R790">
        <v>400</v>
      </c>
      <c r="S790" t="str">
        <f>IF(Linked[[#This Row],[Credit Score]]&lt;=579,"Poor",IF(Linked[[#This Row],[Credit Score]]&lt;=669,"Fair",IF(Linked[[#This Row],[Credit Score]]&lt;=739,"Good",IF(Linked[[#This Row],[Credit Score]]&lt;=799,"Very Good",IF(Linked[[#This Row],[Credit Score]]&gt;=800,"Excellent")))))</f>
        <v>Poor</v>
      </c>
      <c r="T790" s="4">
        <v>0</v>
      </c>
      <c r="U790" s="2"/>
      <c r="V790" s="2"/>
    </row>
    <row r="791" spans="1:22" x14ac:dyDescent="0.25">
      <c r="A791" s="2" t="s">
        <v>388</v>
      </c>
      <c r="B791" s="2" t="s">
        <v>1189</v>
      </c>
      <c r="C791" s="2" t="s">
        <v>2151</v>
      </c>
      <c r="D791" s="2" t="s">
        <v>1227</v>
      </c>
      <c r="E791">
        <v>45</v>
      </c>
      <c r="F791" s="2" t="s">
        <v>1228</v>
      </c>
      <c r="G791" s="2" t="s">
        <v>1249</v>
      </c>
      <c r="H791" s="2" t="s">
        <v>1235</v>
      </c>
      <c r="I791" s="1">
        <v>44513</v>
      </c>
      <c r="J791">
        <v>2021</v>
      </c>
      <c r="K791" s="2" t="s">
        <v>1320</v>
      </c>
      <c r="L791" s="4">
        <v>65893</v>
      </c>
      <c r="M791" s="2" t="s">
        <v>1250</v>
      </c>
      <c r="N791" s="2" t="s">
        <v>1231</v>
      </c>
      <c r="O791" s="2" t="s">
        <v>13</v>
      </c>
      <c r="P791" s="3">
        <v>44863</v>
      </c>
      <c r="Q791" s="4">
        <v>252084</v>
      </c>
      <c r="R791">
        <v>656</v>
      </c>
      <c r="S791" t="str">
        <f>IF(Linked[[#This Row],[Credit Score]]&lt;=579,"Poor",IF(Linked[[#This Row],[Credit Score]]&lt;=669,"Fair",IF(Linked[[#This Row],[Credit Score]]&lt;=739,"Good",IF(Linked[[#This Row],[Credit Score]]&lt;=799,"Very Good",IF(Linked[[#This Row],[Credit Score]]&gt;=800,"Excellent")))))</f>
        <v>Fair</v>
      </c>
      <c r="T791" s="4">
        <v>497442</v>
      </c>
      <c r="U791" s="2"/>
      <c r="V791" s="2"/>
    </row>
    <row r="792" spans="1:22" x14ac:dyDescent="0.25">
      <c r="A792" s="2" t="s">
        <v>1191</v>
      </c>
      <c r="B792" s="2" t="s">
        <v>1190</v>
      </c>
      <c r="C792" s="2" t="s">
        <v>1803</v>
      </c>
      <c r="D792" s="2" t="s">
        <v>1227</v>
      </c>
      <c r="E792">
        <v>58</v>
      </c>
      <c r="F792" s="2" t="s">
        <v>1228</v>
      </c>
      <c r="G792" s="2" t="s">
        <v>1229</v>
      </c>
      <c r="H792" s="2" t="s">
        <v>1222</v>
      </c>
      <c r="I792" s="1">
        <v>45819</v>
      </c>
      <c r="J792">
        <v>2025</v>
      </c>
      <c r="K792" s="2" t="s">
        <v>1804</v>
      </c>
      <c r="L792" s="4">
        <v>102503</v>
      </c>
      <c r="M792" s="2" t="s">
        <v>1245</v>
      </c>
      <c r="N792" s="2" t="s">
        <v>1224</v>
      </c>
      <c r="O792" s="2" t="s">
        <v>25</v>
      </c>
      <c r="P792" s="3">
        <v>45855</v>
      </c>
      <c r="Q792" s="4">
        <v>121015</v>
      </c>
      <c r="R792">
        <v>841</v>
      </c>
      <c r="S792" t="str">
        <f>IF(Linked[[#This Row],[Credit Score]]&lt;=579,"Poor",IF(Linked[[#This Row],[Credit Score]]&lt;=669,"Fair",IF(Linked[[#This Row],[Credit Score]]&lt;=739,"Good",IF(Linked[[#This Row],[Credit Score]]&lt;=799,"Very Good",IF(Linked[[#This Row],[Credit Score]]&gt;=800,"Excellent")))))</f>
        <v>Excellent</v>
      </c>
      <c r="T792" s="4">
        <v>62241</v>
      </c>
      <c r="U792" s="2"/>
      <c r="V792" s="2"/>
    </row>
    <row r="793" spans="1:22" x14ac:dyDescent="0.25">
      <c r="A793" s="2" t="s">
        <v>499</v>
      </c>
      <c r="B793" s="2" t="s">
        <v>1192</v>
      </c>
      <c r="C793" s="2" t="s">
        <v>2197</v>
      </c>
      <c r="D793" s="2" t="s">
        <v>1219</v>
      </c>
      <c r="E793">
        <v>42</v>
      </c>
      <c r="F793" s="2" t="s">
        <v>1220</v>
      </c>
      <c r="G793" s="2" t="s">
        <v>1229</v>
      </c>
      <c r="H793" s="2" t="s">
        <v>1244</v>
      </c>
      <c r="I793" s="1">
        <v>44994</v>
      </c>
      <c r="J793">
        <v>2023</v>
      </c>
      <c r="K793" s="2" t="s">
        <v>2198</v>
      </c>
      <c r="L793" s="4">
        <v>174571</v>
      </c>
      <c r="M793" s="2" t="s">
        <v>1223</v>
      </c>
      <c r="N793" s="2" t="s">
        <v>1224</v>
      </c>
      <c r="O793" s="2" t="s">
        <v>10</v>
      </c>
      <c r="P793" s="3">
        <v>44454</v>
      </c>
      <c r="Q793" s="4">
        <v>172257</v>
      </c>
      <c r="R793">
        <v>332</v>
      </c>
      <c r="S793" t="str">
        <f>IF(Linked[[#This Row],[Credit Score]]&lt;=579,"Poor",IF(Linked[[#This Row],[Credit Score]]&lt;=669,"Fair",IF(Linked[[#This Row],[Credit Score]]&lt;=739,"Good",IF(Linked[[#This Row],[Credit Score]]&lt;=799,"Very Good",IF(Linked[[#This Row],[Credit Score]]&gt;=800,"Excellent")))))</f>
        <v>Poor</v>
      </c>
      <c r="T793" s="4">
        <v>0</v>
      </c>
      <c r="U793" s="2"/>
      <c r="V793" s="2"/>
    </row>
    <row r="794" spans="1:22" x14ac:dyDescent="0.25">
      <c r="A794" s="2" t="s">
        <v>1194</v>
      </c>
      <c r="B794" s="2" t="s">
        <v>1193</v>
      </c>
      <c r="C794" s="2" t="s">
        <v>1858</v>
      </c>
      <c r="D794" s="2" t="s">
        <v>1227</v>
      </c>
      <c r="E794">
        <v>52</v>
      </c>
      <c r="F794" s="2" t="s">
        <v>1228</v>
      </c>
      <c r="G794" s="2" t="s">
        <v>1249</v>
      </c>
      <c r="H794" s="2" t="s">
        <v>1239</v>
      </c>
      <c r="I794" s="1">
        <v>44249</v>
      </c>
      <c r="J794">
        <v>2021</v>
      </c>
      <c r="K794" s="2" t="s">
        <v>1859</v>
      </c>
      <c r="L794" s="4">
        <v>55488</v>
      </c>
      <c r="M794" s="2" t="s">
        <v>1250</v>
      </c>
      <c r="N794" s="2" t="s">
        <v>1224</v>
      </c>
      <c r="O794" s="2" t="s">
        <v>13</v>
      </c>
      <c r="P794" s="3">
        <v>43104</v>
      </c>
      <c r="Q794" s="4">
        <v>246536</v>
      </c>
      <c r="R794">
        <v>528</v>
      </c>
      <c r="S794" t="str">
        <f>IF(Linked[[#This Row],[Credit Score]]&lt;=579,"Poor",IF(Linked[[#This Row],[Credit Score]]&lt;=669,"Fair",IF(Linked[[#This Row],[Credit Score]]&lt;=739,"Good",IF(Linked[[#This Row],[Credit Score]]&lt;=799,"Very Good",IF(Linked[[#This Row],[Credit Score]]&gt;=800,"Excellent")))))</f>
        <v>Poor</v>
      </c>
      <c r="T794" s="4">
        <v>70030</v>
      </c>
      <c r="U794" s="2" t="s">
        <v>18</v>
      </c>
      <c r="V794" s="2"/>
    </row>
    <row r="795" spans="1:22" x14ac:dyDescent="0.25">
      <c r="A795" s="2" t="s">
        <v>1196</v>
      </c>
      <c r="B795" s="2" t="s">
        <v>1195</v>
      </c>
      <c r="C795" s="2" t="s">
        <v>1471</v>
      </c>
      <c r="D795" s="2" t="s">
        <v>1227</v>
      </c>
      <c r="E795">
        <v>43</v>
      </c>
      <c r="F795" s="2" t="s">
        <v>1220</v>
      </c>
      <c r="G795" s="2" t="s">
        <v>1243</v>
      </c>
      <c r="H795" s="2" t="s">
        <v>1259</v>
      </c>
      <c r="I795" s="1">
        <v>45748</v>
      </c>
      <c r="J795">
        <v>2025</v>
      </c>
      <c r="K795" s="2" t="s">
        <v>1472</v>
      </c>
      <c r="L795" s="4">
        <v>125228</v>
      </c>
      <c r="M795" s="2" t="s">
        <v>1245</v>
      </c>
      <c r="N795" s="2" t="s">
        <v>1224</v>
      </c>
      <c r="O795" s="2" t="s">
        <v>25</v>
      </c>
      <c r="P795" s="3">
        <v>44145</v>
      </c>
      <c r="Q795" s="4">
        <v>224021</v>
      </c>
      <c r="R795">
        <v>823</v>
      </c>
      <c r="S795" t="str">
        <f>IF(Linked[[#This Row],[Credit Score]]&lt;=579,"Poor",IF(Linked[[#This Row],[Credit Score]]&lt;=669,"Fair",IF(Linked[[#This Row],[Credit Score]]&lt;=739,"Good",IF(Linked[[#This Row],[Credit Score]]&lt;=799,"Very Good",IF(Linked[[#This Row],[Credit Score]]&gt;=800,"Excellent")))))</f>
        <v>Excellent</v>
      </c>
      <c r="T795" s="4">
        <v>182577</v>
      </c>
      <c r="U795" s="2"/>
      <c r="V795" s="2"/>
    </row>
    <row r="796" spans="1:22" x14ac:dyDescent="0.25">
      <c r="A796" s="2" t="s">
        <v>1198</v>
      </c>
      <c r="B796" s="2" t="s">
        <v>1197</v>
      </c>
      <c r="C796" s="2" t="s">
        <v>1681</v>
      </c>
      <c r="D796" s="2" t="s">
        <v>1227</v>
      </c>
      <c r="E796">
        <v>30</v>
      </c>
      <c r="F796" s="2" t="s">
        <v>1220</v>
      </c>
      <c r="G796" s="2" t="s">
        <v>1249</v>
      </c>
      <c r="H796" s="2" t="s">
        <v>1235</v>
      </c>
      <c r="I796" s="1">
        <v>43537</v>
      </c>
      <c r="J796">
        <v>2019</v>
      </c>
      <c r="K796" s="2" t="s">
        <v>1682</v>
      </c>
      <c r="L796" s="4">
        <v>195485</v>
      </c>
      <c r="M796" s="2" t="s">
        <v>1223</v>
      </c>
      <c r="N796" s="2" t="s">
        <v>1236</v>
      </c>
      <c r="O796" s="2" t="s">
        <v>13</v>
      </c>
      <c r="P796" s="3">
        <v>42496</v>
      </c>
      <c r="Q796" s="4">
        <v>130956</v>
      </c>
      <c r="R796">
        <v>454</v>
      </c>
      <c r="S796" t="str">
        <f>IF(Linked[[#This Row],[Credit Score]]&lt;=579,"Poor",IF(Linked[[#This Row],[Credit Score]]&lt;=669,"Fair",IF(Linked[[#This Row],[Credit Score]]&lt;=739,"Good",IF(Linked[[#This Row],[Credit Score]]&lt;=799,"Very Good",IF(Linked[[#This Row],[Credit Score]]&gt;=800,"Excellent")))))</f>
        <v>Poor</v>
      </c>
      <c r="T796" s="4">
        <v>0</v>
      </c>
      <c r="U796" s="2"/>
      <c r="V796" s="2"/>
    </row>
    <row r="797" spans="1:22" x14ac:dyDescent="0.25">
      <c r="A797" s="2" t="s">
        <v>688</v>
      </c>
      <c r="B797" s="2" t="s">
        <v>1199</v>
      </c>
      <c r="C797" s="2" t="s">
        <v>2203</v>
      </c>
      <c r="D797" s="2" t="s">
        <v>1227</v>
      </c>
      <c r="E797">
        <v>73</v>
      </c>
      <c r="F797" s="2" t="s">
        <v>1263</v>
      </c>
      <c r="G797" s="2" t="s">
        <v>1249</v>
      </c>
      <c r="H797" s="2" t="s">
        <v>1235</v>
      </c>
      <c r="I797" s="1">
        <v>45486</v>
      </c>
      <c r="J797">
        <v>2024</v>
      </c>
      <c r="K797" s="2" t="s">
        <v>2204</v>
      </c>
      <c r="L797" s="4">
        <v>127803</v>
      </c>
      <c r="M797" s="2" t="s">
        <v>1245</v>
      </c>
      <c r="N797" s="2" t="s">
        <v>1224</v>
      </c>
      <c r="O797" s="2" t="s">
        <v>25</v>
      </c>
      <c r="P797" s="3">
        <v>42743</v>
      </c>
      <c r="Q797" s="4">
        <v>70744</v>
      </c>
      <c r="R797">
        <v>722</v>
      </c>
      <c r="S797" t="str">
        <f>IF(Linked[[#This Row],[Credit Score]]&lt;=579,"Poor",IF(Linked[[#This Row],[Credit Score]]&lt;=669,"Fair",IF(Linked[[#This Row],[Credit Score]]&lt;=739,"Good",IF(Linked[[#This Row],[Credit Score]]&lt;=799,"Very Good",IF(Linked[[#This Row],[Credit Score]]&gt;=800,"Excellent")))))</f>
        <v>Good</v>
      </c>
      <c r="T797" s="4">
        <v>483394</v>
      </c>
      <c r="U797" s="2"/>
      <c r="V797" s="2"/>
    </row>
    <row r="798" spans="1:22" x14ac:dyDescent="0.25">
      <c r="A798" s="2" t="s">
        <v>535</v>
      </c>
      <c r="B798" s="2" t="s">
        <v>1200</v>
      </c>
      <c r="C798" s="2" t="s">
        <v>1909</v>
      </c>
      <c r="D798" s="2" t="s">
        <v>1227</v>
      </c>
      <c r="E798">
        <v>28</v>
      </c>
      <c r="F798" s="2" t="s">
        <v>1242</v>
      </c>
      <c r="G798" s="2" t="s">
        <v>1243</v>
      </c>
      <c r="H798" s="2" t="s">
        <v>1235</v>
      </c>
      <c r="I798" s="1">
        <v>42293</v>
      </c>
      <c r="J798">
        <v>2015</v>
      </c>
      <c r="K798" s="2" t="s">
        <v>1910</v>
      </c>
      <c r="L798" s="4">
        <v>82768</v>
      </c>
      <c r="M798" s="2" t="s">
        <v>1245</v>
      </c>
      <c r="N798" s="2" t="s">
        <v>1224</v>
      </c>
      <c r="O798" s="2" t="s">
        <v>32</v>
      </c>
      <c r="P798" s="3">
        <v>45498</v>
      </c>
      <c r="Q798" s="4">
        <v>295599</v>
      </c>
      <c r="R798">
        <v>545</v>
      </c>
      <c r="S798" t="str">
        <f>IF(Linked[[#This Row],[Credit Score]]&lt;=579,"Poor",IF(Linked[[#This Row],[Credit Score]]&lt;=669,"Fair",IF(Linked[[#This Row],[Credit Score]]&lt;=739,"Good",IF(Linked[[#This Row],[Credit Score]]&lt;=799,"Very Good",IF(Linked[[#This Row],[Credit Score]]&gt;=800,"Excellent")))))</f>
        <v>Poor</v>
      </c>
      <c r="T798" s="4">
        <v>212397</v>
      </c>
      <c r="U798" s="2"/>
      <c r="V798" s="2"/>
    </row>
    <row r="799" spans="1:22" x14ac:dyDescent="0.25">
      <c r="A799" s="2" t="s">
        <v>1202</v>
      </c>
      <c r="B799" s="2" t="s">
        <v>1201</v>
      </c>
      <c r="C799" s="2" t="s">
        <v>1957</v>
      </c>
      <c r="D799" s="2" t="s">
        <v>1219</v>
      </c>
      <c r="E799">
        <v>65</v>
      </c>
      <c r="F799" s="2" t="s">
        <v>1263</v>
      </c>
      <c r="G799" s="2" t="s">
        <v>1249</v>
      </c>
      <c r="H799" s="2" t="s">
        <v>1230</v>
      </c>
      <c r="I799" s="1">
        <v>43776</v>
      </c>
      <c r="J799">
        <v>2019</v>
      </c>
      <c r="K799" s="2" t="s">
        <v>1958</v>
      </c>
      <c r="L799" s="4">
        <v>179033</v>
      </c>
      <c r="M799" s="2" t="s">
        <v>1223</v>
      </c>
      <c r="N799" s="2" t="s">
        <v>1224</v>
      </c>
      <c r="O799" s="2" t="s">
        <v>25</v>
      </c>
      <c r="P799" s="3">
        <v>45174</v>
      </c>
      <c r="Q799" s="4">
        <v>421234</v>
      </c>
      <c r="R799">
        <v>704</v>
      </c>
      <c r="S799" t="str">
        <f>IF(Linked[[#This Row],[Credit Score]]&lt;=579,"Poor",IF(Linked[[#This Row],[Credit Score]]&lt;=669,"Fair",IF(Linked[[#This Row],[Credit Score]]&lt;=739,"Good",IF(Linked[[#This Row],[Credit Score]]&lt;=799,"Very Good",IF(Linked[[#This Row],[Credit Score]]&gt;=800,"Excellent")))))</f>
        <v>Good</v>
      </c>
      <c r="T799" s="4">
        <v>0</v>
      </c>
      <c r="U799" s="2" t="s">
        <v>18</v>
      </c>
      <c r="V799" s="2"/>
    </row>
    <row r="800" spans="1:22" x14ac:dyDescent="0.25">
      <c r="A800" s="2" t="s">
        <v>130</v>
      </c>
      <c r="B800" s="2" t="s">
        <v>1203</v>
      </c>
      <c r="C800" s="2" t="s">
        <v>2226</v>
      </c>
      <c r="D800" s="2" t="s">
        <v>1227</v>
      </c>
      <c r="E800">
        <v>49</v>
      </c>
      <c r="F800" s="2" t="s">
        <v>1228</v>
      </c>
      <c r="G800" s="2" t="s">
        <v>1221</v>
      </c>
      <c r="H800" s="2" t="s">
        <v>1244</v>
      </c>
      <c r="I800" s="1">
        <v>43401</v>
      </c>
      <c r="J800">
        <v>2018</v>
      </c>
      <c r="K800" s="2" t="s">
        <v>2227</v>
      </c>
      <c r="L800" s="4">
        <v>151691</v>
      </c>
      <c r="M800" s="2" t="s">
        <v>1223</v>
      </c>
      <c r="N800" s="2" t="s">
        <v>1224</v>
      </c>
      <c r="O800" s="2" t="s">
        <v>13</v>
      </c>
      <c r="P800" s="3">
        <v>44735</v>
      </c>
      <c r="Q800" s="4">
        <v>316363</v>
      </c>
      <c r="R800">
        <v>840</v>
      </c>
      <c r="S800" t="str">
        <f>IF(Linked[[#This Row],[Credit Score]]&lt;=579,"Poor",IF(Linked[[#This Row],[Credit Score]]&lt;=669,"Fair",IF(Linked[[#This Row],[Credit Score]]&lt;=739,"Good",IF(Linked[[#This Row],[Credit Score]]&lt;=799,"Very Good",IF(Linked[[#This Row],[Credit Score]]&gt;=800,"Excellent")))))</f>
        <v>Excellent</v>
      </c>
      <c r="T800" s="4">
        <v>0</v>
      </c>
      <c r="U800" s="2"/>
      <c r="V800" s="2"/>
    </row>
    <row r="801" spans="1:22" x14ac:dyDescent="0.25">
      <c r="A801" s="2" t="s">
        <v>1205</v>
      </c>
      <c r="B801" s="2" t="s">
        <v>1204</v>
      </c>
      <c r="C801" s="2" t="s">
        <v>1818</v>
      </c>
      <c r="D801" s="2" t="s">
        <v>1227</v>
      </c>
      <c r="E801">
        <v>30</v>
      </c>
      <c r="F801" s="2" t="s">
        <v>1220</v>
      </c>
      <c r="G801" s="2" t="s">
        <v>1229</v>
      </c>
      <c r="H801" s="2" t="s">
        <v>1235</v>
      </c>
      <c r="I801" s="1">
        <v>42770</v>
      </c>
      <c r="J801">
        <v>2017</v>
      </c>
      <c r="K801" s="2" t="s">
        <v>1819</v>
      </c>
      <c r="L801" s="4">
        <v>146446</v>
      </c>
      <c r="M801" s="2" t="s">
        <v>1223</v>
      </c>
      <c r="N801" s="2" t="s">
        <v>1224</v>
      </c>
      <c r="O801" s="2" t="s">
        <v>25</v>
      </c>
      <c r="P801" s="3">
        <v>43330</v>
      </c>
      <c r="Q801" s="4">
        <v>308135</v>
      </c>
      <c r="R801">
        <v>460</v>
      </c>
      <c r="S801" t="str">
        <f>IF(Linked[[#This Row],[Credit Score]]&lt;=579,"Poor",IF(Linked[[#This Row],[Credit Score]]&lt;=669,"Fair",IF(Linked[[#This Row],[Credit Score]]&lt;=739,"Good",IF(Linked[[#This Row],[Credit Score]]&lt;=799,"Very Good",IF(Linked[[#This Row],[Credit Score]]&gt;=800,"Excellent")))))</f>
        <v>Poor</v>
      </c>
      <c r="T801" s="4">
        <v>0</v>
      </c>
      <c r="U801" s="2" t="s">
        <v>39</v>
      </c>
      <c r="V801"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C821A-2789-4A26-A4A3-3BC49F51162A}">
  <dimension ref="A1"/>
  <sheetViews>
    <sheetView showGridLines="0" tabSelected="1" zoomScale="80" zoomScaleNormal="80" workbookViewId="0">
      <selection activeCell="A14" sqref="A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F35AA-36D8-4199-9CCD-3E05C5B443AF}">
  <dimension ref="A2:N34"/>
  <sheetViews>
    <sheetView topLeftCell="B1" workbookViewId="0">
      <selection activeCell="G5" sqref="G5"/>
    </sheetView>
  </sheetViews>
  <sheetFormatPr defaultRowHeight="15" x14ac:dyDescent="0.25"/>
  <cols>
    <col min="1" max="1" width="18.28515625" bestFit="1" customWidth="1"/>
    <col min="2" max="2" width="16.28515625" bestFit="1" customWidth="1"/>
    <col min="3" max="3" width="6.28515625" bestFit="1" customWidth="1"/>
    <col min="4" max="4" width="6" bestFit="1" customWidth="1"/>
    <col min="5" max="5" width="11" bestFit="1" customWidth="1"/>
    <col min="6" max="6" width="11.28515625" bestFit="1" customWidth="1"/>
    <col min="7" max="7" width="19.28515625" bestFit="1" customWidth="1"/>
    <col min="8" max="8" width="13.140625" bestFit="1" customWidth="1"/>
    <col min="9" max="9" width="22.140625" bestFit="1" customWidth="1"/>
    <col min="10" max="11" width="13.140625" bestFit="1" customWidth="1"/>
    <col min="12" max="12" width="18.140625" bestFit="1" customWidth="1"/>
    <col min="13" max="13" width="13.140625" bestFit="1" customWidth="1"/>
    <col min="14" max="14" width="18.140625" bestFit="1" customWidth="1"/>
  </cols>
  <sheetData>
    <row r="2" spans="1:14" x14ac:dyDescent="0.25">
      <c r="B2" t="s">
        <v>2332</v>
      </c>
      <c r="C2" t="s">
        <v>2331</v>
      </c>
      <c r="D2" t="s">
        <v>2330</v>
      </c>
    </row>
    <row r="3" spans="1:14" x14ac:dyDescent="0.25">
      <c r="B3" s="2">
        <v>800</v>
      </c>
      <c r="C3" s="5">
        <v>579.52625</v>
      </c>
      <c r="D3" s="4">
        <v>265426.41749999998</v>
      </c>
      <c r="G3" s="9" t="s">
        <v>2333</v>
      </c>
      <c r="H3" s="9"/>
      <c r="I3" s="9"/>
    </row>
    <row r="4" spans="1:14" x14ac:dyDescent="0.25">
      <c r="H4" t="s">
        <v>2334</v>
      </c>
      <c r="K4" t="s">
        <v>2352</v>
      </c>
    </row>
    <row r="5" spans="1:14" x14ac:dyDescent="0.25">
      <c r="A5" t="s">
        <v>2340</v>
      </c>
      <c r="G5" t="s">
        <v>2362</v>
      </c>
      <c r="K5" s="7" t="s">
        <v>2338</v>
      </c>
      <c r="L5" t="s">
        <v>2330</v>
      </c>
    </row>
    <row r="6" spans="1:14" x14ac:dyDescent="0.25">
      <c r="A6" s="7" t="s">
        <v>2338</v>
      </c>
      <c r="B6" t="s">
        <v>2329</v>
      </c>
      <c r="G6" t="s">
        <v>2335</v>
      </c>
      <c r="H6">
        <f>GETPIVOTDATA("Count of Account",$B$2)</f>
        <v>800</v>
      </c>
      <c r="K6" s="8" t="s">
        <v>1236</v>
      </c>
      <c r="L6" s="4">
        <v>275113.66216216219</v>
      </c>
    </row>
    <row r="7" spans="1:14" x14ac:dyDescent="0.25">
      <c r="A7" s="8" t="s">
        <v>13</v>
      </c>
      <c r="B7" s="2">
        <v>303</v>
      </c>
      <c r="G7" t="s">
        <v>2336</v>
      </c>
      <c r="H7" s="4">
        <f>GETPIVOTDATA("Average of Balance",$B$2)</f>
        <v>265426.41749999998</v>
      </c>
      <c r="K7" s="8" t="s">
        <v>1224</v>
      </c>
      <c r="L7" s="4">
        <v>267102.03171247354</v>
      </c>
    </row>
    <row r="8" spans="1:14" x14ac:dyDescent="0.25">
      <c r="A8" s="8" t="s">
        <v>10</v>
      </c>
      <c r="B8" s="2">
        <v>246</v>
      </c>
      <c r="G8" t="s">
        <v>2337</v>
      </c>
      <c r="H8" s="6">
        <f>GETPIVOTDATA("Average of Credit Score",$B$2)</f>
        <v>579.52625</v>
      </c>
      <c r="K8" s="8" t="s">
        <v>1231</v>
      </c>
      <c r="L8" s="4">
        <v>259460.32411067194</v>
      </c>
    </row>
    <row r="9" spans="1:14" x14ac:dyDescent="0.25">
      <c r="A9" s="8" t="s">
        <v>25</v>
      </c>
      <c r="B9" s="2">
        <v>169</v>
      </c>
      <c r="K9" s="8" t="s">
        <v>2339</v>
      </c>
      <c r="L9" s="4">
        <v>265426.41749999998</v>
      </c>
    </row>
    <row r="10" spans="1:14" x14ac:dyDescent="0.25">
      <c r="A10" s="8" t="s">
        <v>32</v>
      </c>
      <c r="B10" s="2">
        <v>82</v>
      </c>
    </row>
    <row r="11" spans="1:14" x14ac:dyDescent="0.25">
      <c r="A11" s="8" t="s">
        <v>2339</v>
      </c>
      <c r="B11" s="2">
        <v>800</v>
      </c>
    </row>
    <row r="12" spans="1:14" x14ac:dyDescent="0.25">
      <c r="A12" s="8" t="s">
        <v>2342</v>
      </c>
      <c r="D12" t="s">
        <v>2348</v>
      </c>
      <c r="G12" t="s">
        <v>2350</v>
      </c>
      <c r="J12" t="s">
        <v>2357</v>
      </c>
    </row>
    <row r="13" spans="1:14" x14ac:dyDescent="0.25">
      <c r="A13" s="7" t="s">
        <v>2338</v>
      </c>
      <c r="B13" t="s">
        <v>2331</v>
      </c>
      <c r="C13" t="s">
        <v>2347</v>
      </c>
      <c r="D13" s="7" t="s">
        <v>2338</v>
      </c>
      <c r="E13" t="s">
        <v>2330</v>
      </c>
      <c r="G13" s="7" t="s">
        <v>2338</v>
      </c>
      <c r="H13" t="s">
        <v>2331</v>
      </c>
      <c r="J13" s="7" t="s">
        <v>2338</v>
      </c>
      <c r="K13" t="s">
        <v>2328</v>
      </c>
      <c r="M13" s="7" t="s">
        <v>2338</v>
      </c>
      <c r="N13" t="s">
        <v>2330</v>
      </c>
    </row>
    <row r="14" spans="1:14" x14ac:dyDescent="0.25">
      <c r="A14" s="8" t="s">
        <v>10</v>
      </c>
      <c r="B14" s="5">
        <v>578.67073170731703</v>
      </c>
      <c r="C14" s="5">
        <f>'Customers Account'!Y12</f>
        <v>0</v>
      </c>
      <c r="D14" s="8" t="s">
        <v>10</v>
      </c>
      <c r="E14" s="4">
        <v>275053.3699186992</v>
      </c>
      <c r="G14" s="8" t="s">
        <v>39</v>
      </c>
      <c r="H14" s="6">
        <v>580.50877192982455</v>
      </c>
      <c r="J14" s="8" t="s">
        <v>1249</v>
      </c>
      <c r="K14" s="2">
        <v>235</v>
      </c>
      <c r="M14" s="8" t="s">
        <v>1263</v>
      </c>
      <c r="N14" s="4">
        <v>264878.38857142854</v>
      </c>
    </row>
    <row r="15" spans="1:14" x14ac:dyDescent="0.25">
      <c r="A15" s="8" t="s">
        <v>25</v>
      </c>
      <c r="B15" s="5">
        <v>574.92899408284029</v>
      </c>
      <c r="C15">
        <f>'Customers Account'!Y15</f>
        <v>0</v>
      </c>
      <c r="D15" s="8" t="s">
        <v>25</v>
      </c>
      <c r="E15" s="4">
        <v>257636.54437869822</v>
      </c>
      <c r="G15" s="8" t="s">
        <v>18</v>
      </c>
      <c r="H15" s="6">
        <v>591.8115942028985</v>
      </c>
      <c r="J15" s="8" t="s">
        <v>1229</v>
      </c>
      <c r="K15" s="2">
        <v>204</v>
      </c>
      <c r="M15" s="8" t="s">
        <v>1228</v>
      </c>
      <c r="N15" s="4">
        <v>247707.29707112969</v>
      </c>
    </row>
    <row r="16" spans="1:14" x14ac:dyDescent="0.25">
      <c r="A16" s="8" t="s">
        <v>32</v>
      </c>
      <c r="B16" s="6">
        <v>564</v>
      </c>
      <c r="C16">
        <f>'Customers Account'!Y14</f>
        <v>0</v>
      </c>
      <c r="D16" s="8" t="s">
        <v>32</v>
      </c>
      <c r="E16" s="4">
        <v>290089.96341463417</v>
      </c>
      <c r="G16" s="8" t="s">
        <v>2339</v>
      </c>
      <c r="H16" s="6">
        <v>586.69841269841265</v>
      </c>
      <c r="J16" s="8" t="s">
        <v>1221</v>
      </c>
      <c r="K16" s="2">
        <v>193</v>
      </c>
      <c r="M16" s="8" t="s">
        <v>1242</v>
      </c>
      <c r="N16" s="4">
        <v>267779.7074829932</v>
      </c>
    </row>
    <row r="17" spans="1:14" x14ac:dyDescent="0.25">
      <c r="A17" s="8" t="s">
        <v>13</v>
      </c>
      <c r="B17" s="5">
        <v>586.986798679868</v>
      </c>
      <c r="C17">
        <f>'Customers Account'!Y13</f>
        <v>0</v>
      </c>
      <c r="D17" s="8" t="s">
        <v>13</v>
      </c>
      <c r="E17" s="4">
        <v>255280.699669967</v>
      </c>
      <c r="J17" s="8" t="s">
        <v>1243</v>
      </c>
      <c r="K17" s="2">
        <v>168</v>
      </c>
      <c r="M17" s="8" t="s">
        <v>1220</v>
      </c>
      <c r="N17" s="4">
        <v>282099.39330543933</v>
      </c>
    </row>
    <row r="18" spans="1:14" x14ac:dyDescent="0.25">
      <c r="A18" s="8" t="s">
        <v>2339</v>
      </c>
      <c r="B18" s="5">
        <v>579.52625</v>
      </c>
      <c r="C18">
        <f>'Customers Account'!Y10</f>
        <v>0</v>
      </c>
      <c r="D18" s="8" t="s">
        <v>2339</v>
      </c>
      <c r="E18" s="4">
        <v>265426.41749999998</v>
      </c>
      <c r="J18" s="8" t="s">
        <v>2339</v>
      </c>
      <c r="K18" s="2">
        <v>800</v>
      </c>
      <c r="M18" s="8" t="s">
        <v>2339</v>
      </c>
      <c r="N18" s="4">
        <v>265426.41749999998</v>
      </c>
    </row>
    <row r="20" spans="1:14" x14ac:dyDescent="0.25">
      <c r="A20" s="8" t="s">
        <v>2351</v>
      </c>
    </row>
    <row r="21" spans="1:14" x14ac:dyDescent="0.25">
      <c r="A21" s="7" t="s">
        <v>2328</v>
      </c>
      <c r="B21" s="7" t="s">
        <v>2341</v>
      </c>
      <c r="H21" t="s">
        <v>2353</v>
      </c>
      <c r="K21" t="s">
        <v>2358</v>
      </c>
    </row>
    <row r="22" spans="1:14" x14ac:dyDescent="0.25">
      <c r="A22" s="7" t="s">
        <v>2338</v>
      </c>
      <c r="B22" t="s">
        <v>1263</v>
      </c>
      <c r="C22" t="s">
        <v>1228</v>
      </c>
      <c r="D22" t="s">
        <v>1242</v>
      </c>
      <c r="E22" t="s">
        <v>1220</v>
      </c>
      <c r="F22" t="s">
        <v>2339</v>
      </c>
      <c r="H22" s="7" t="s">
        <v>2338</v>
      </c>
      <c r="I22" t="s">
        <v>2331</v>
      </c>
      <c r="K22" s="7" t="s">
        <v>2338</v>
      </c>
      <c r="L22" t="s">
        <v>2330</v>
      </c>
    </row>
    <row r="23" spans="1:14" x14ac:dyDescent="0.25">
      <c r="A23" s="8" t="s">
        <v>10</v>
      </c>
      <c r="B23" s="2">
        <v>49</v>
      </c>
      <c r="C23" s="2">
        <v>73</v>
      </c>
      <c r="D23" s="2">
        <v>38</v>
      </c>
      <c r="E23" s="2">
        <v>86</v>
      </c>
      <c r="F23" s="2">
        <v>246</v>
      </c>
      <c r="H23" s="8" t="s">
        <v>39</v>
      </c>
      <c r="I23" s="5">
        <v>580.50877192982455</v>
      </c>
      <c r="K23" s="8">
        <v>2015</v>
      </c>
      <c r="L23" s="4">
        <v>265345.56756756757</v>
      </c>
    </row>
    <row r="24" spans="1:14" x14ac:dyDescent="0.25">
      <c r="A24" s="8" t="s">
        <v>25</v>
      </c>
      <c r="B24" s="2">
        <v>41</v>
      </c>
      <c r="C24" s="2">
        <v>56</v>
      </c>
      <c r="D24" s="2">
        <v>30</v>
      </c>
      <c r="E24" s="2">
        <v>42</v>
      </c>
      <c r="F24" s="2">
        <v>169</v>
      </c>
      <c r="H24" s="8" t="s">
        <v>59</v>
      </c>
      <c r="I24" s="5">
        <v>574.95833333333337</v>
      </c>
      <c r="K24" s="8">
        <v>2016</v>
      </c>
      <c r="L24" s="4">
        <v>303577.76271186443</v>
      </c>
    </row>
    <row r="25" spans="1:14" x14ac:dyDescent="0.25">
      <c r="A25" s="8" t="s">
        <v>32</v>
      </c>
      <c r="B25" s="2">
        <v>15</v>
      </c>
      <c r="C25" s="2">
        <v>20</v>
      </c>
      <c r="D25" s="2">
        <v>16</v>
      </c>
      <c r="E25" s="2">
        <v>31</v>
      </c>
      <c r="F25" s="2">
        <v>82</v>
      </c>
      <c r="H25" s="8" t="s">
        <v>18</v>
      </c>
      <c r="I25" s="5">
        <v>591.8115942028985</v>
      </c>
      <c r="K25" s="8">
        <v>2017</v>
      </c>
      <c r="L25" s="4">
        <v>259810.36206896551</v>
      </c>
    </row>
    <row r="26" spans="1:14" x14ac:dyDescent="0.25">
      <c r="A26" s="8" t="s">
        <v>13</v>
      </c>
      <c r="B26" s="2">
        <v>70</v>
      </c>
      <c r="C26" s="2">
        <v>90</v>
      </c>
      <c r="D26" s="2">
        <v>63</v>
      </c>
      <c r="E26" s="2">
        <v>80</v>
      </c>
      <c r="F26" s="2">
        <v>303</v>
      </c>
      <c r="H26" s="8" t="s">
        <v>2349</v>
      </c>
      <c r="I26" s="5">
        <v>578.43290734824279</v>
      </c>
      <c r="K26" s="8">
        <v>2018</v>
      </c>
      <c r="L26" s="4">
        <v>240614.63333333333</v>
      </c>
    </row>
    <row r="27" spans="1:14" x14ac:dyDescent="0.25">
      <c r="A27" s="8" t="s">
        <v>2339</v>
      </c>
      <c r="B27" s="2">
        <v>175</v>
      </c>
      <c r="C27" s="2">
        <v>239</v>
      </c>
      <c r="D27" s="2">
        <v>147</v>
      </c>
      <c r="E27" s="2">
        <v>239</v>
      </c>
      <c r="F27" s="2">
        <v>800</v>
      </c>
      <c r="H27" s="8" t="s">
        <v>2339</v>
      </c>
      <c r="I27" s="5">
        <v>579.52625</v>
      </c>
      <c r="K27" s="8">
        <v>2019</v>
      </c>
      <c r="L27" s="4">
        <v>254128.82795698923</v>
      </c>
    </row>
    <row r="28" spans="1:14" x14ac:dyDescent="0.25">
      <c r="K28" s="8">
        <v>2020</v>
      </c>
      <c r="L28" s="4">
        <v>259193.10958904109</v>
      </c>
    </row>
    <row r="29" spans="1:14" x14ac:dyDescent="0.25">
      <c r="K29" s="8">
        <v>2021</v>
      </c>
      <c r="L29" s="4">
        <v>285277.0777777778</v>
      </c>
    </row>
    <row r="30" spans="1:14" x14ac:dyDescent="0.25">
      <c r="K30" s="8">
        <v>2022</v>
      </c>
      <c r="L30" s="4">
        <v>285062.26086956525</v>
      </c>
    </row>
    <row r="31" spans="1:14" x14ac:dyDescent="0.25">
      <c r="K31" s="8">
        <v>2023</v>
      </c>
      <c r="L31" s="4">
        <v>262055.23529411765</v>
      </c>
    </row>
    <row r="32" spans="1:14" x14ac:dyDescent="0.25">
      <c r="K32" s="8">
        <v>2024</v>
      </c>
      <c r="L32" s="4">
        <v>243471.72164948453</v>
      </c>
    </row>
    <row r="33" spans="11:12" x14ac:dyDescent="0.25">
      <c r="K33" s="8">
        <v>2025</v>
      </c>
      <c r="L33" s="4">
        <v>281619.89473684208</v>
      </c>
    </row>
    <row r="34" spans="11:12" x14ac:dyDescent="0.25">
      <c r="K34" s="8" t="s">
        <v>2339</v>
      </c>
      <c r="L34" s="4">
        <v>265426.41749999998</v>
      </c>
    </row>
  </sheetData>
  <mergeCells count="1">
    <mergeCell ref="G3:I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AD9A5-02C2-45AA-A1BC-EE0C01572C25}">
  <dimension ref="A1:H801"/>
  <sheetViews>
    <sheetView workbookViewId="0"/>
  </sheetViews>
  <sheetFormatPr defaultRowHeight="15" x14ac:dyDescent="0.25"/>
  <cols>
    <col min="1" max="1" width="12.28515625" bestFit="1" customWidth="1"/>
    <col min="2" max="2" width="13.7109375" bestFit="1" customWidth="1"/>
    <col min="3" max="3" width="15.85546875" bestFit="1" customWidth="1"/>
    <col min="4" max="4" width="14.5703125" bestFit="1" customWidth="1"/>
    <col min="5" max="5" width="10.140625" bestFit="1" customWidth="1"/>
    <col min="6" max="6" width="14.5703125" bestFit="1" customWidth="1"/>
    <col min="7" max="7" width="15.7109375" bestFit="1" customWidth="1"/>
    <col min="8" max="8" width="13.85546875" bestFit="1" customWidth="1"/>
  </cols>
  <sheetData>
    <row r="1" spans="1:8" x14ac:dyDescent="0.25">
      <c r="A1" t="s">
        <v>0</v>
      </c>
      <c r="B1" t="s">
        <v>1</v>
      </c>
      <c r="C1" t="s">
        <v>2</v>
      </c>
      <c r="D1" t="s">
        <v>3</v>
      </c>
      <c r="E1" t="s">
        <v>4</v>
      </c>
      <c r="F1" t="s">
        <v>5</v>
      </c>
      <c r="G1" t="s">
        <v>6</v>
      </c>
      <c r="H1" t="s">
        <v>7</v>
      </c>
    </row>
    <row r="2" spans="1:8" x14ac:dyDescent="0.25">
      <c r="A2" s="2" t="s">
        <v>8</v>
      </c>
      <c r="B2" s="2" t="s">
        <v>9</v>
      </c>
      <c r="C2" s="2" t="s">
        <v>10</v>
      </c>
      <c r="D2" s="3">
        <v>43258</v>
      </c>
      <c r="E2">
        <v>363265</v>
      </c>
      <c r="F2">
        <v>698</v>
      </c>
      <c r="G2">
        <v>0</v>
      </c>
      <c r="H2" s="2"/>
    </row>
    <row r="3" spans="1:8" x14ac:dyDescent="0.25">
      <c r="A3" s="2" t="s">
        <v>11</v>
      </c>
      <c r="B3" s="2" t="s">
        <v>12</v>
      </c>
      <c r="C3" s="2" t="s">
        <v>13</v>
      </c>
      <c r="D3" s="3">
        <v>45670</v>
      </c>
      <c r="E3">
        <v>282169</v>
      </c>
      <c r="F3">
        <v>405</v>
      </c>
      <c r="G3">
        <v>0</v>
      </c>
      <c r="H3" s="2"/>
    </row>
    <row r="4" spans="1:8" x14ac:dyDescent="0.25">
      <c r="A4" s="2" t="s">
        <v>14</v>
      </c>
      <c r="B4" s="2" t="s">
        <v>15</v>
      </c>
      <c r="C4" s="2" t="s">
        <v>13</v>
      </c>
      <c r="D4" s="3">
        <v>43852</v>
      </c>
      <c r="E4">
        <v>397674</v>
      </c>
      <c r="F4">
        <v>570</v>
      </c>
      <c r="G4">
        <v>0</v>
      </c>
      <c r="H4" s="2"/>
    </row>
    <row r="5" spans="1:8" x14ac:dyDescent="0.25">
      <c r="A5" s="2" t="s">
        <v>16</v>
      </c>
      <c r="B5" s="2" t="s">
        <v>17</v>
      </c>
      <c r="C5" s="2" t="s">
        <v>13</v>
      </c>
      <c r="D5" s="3">
        <v>44837</v>
      </c>
      <c r="E5">
        <v>63610</v>
      </c>
      <c r="F5">
        <v>802</v>
      </c>
      <c r="G5">
        <v>401875</v>
      </c>
      <c r="H5" s="2" t="s">
        <v>18</v>
      </c>
    </row>
    <row r="6" spans="1:8" x14ac:dyDescent="0.25">
      <c r="A6" s="2" t="s">
        <v>19</v>
      </c>
      <c r="B6" s="2" t="s">
        <v>20</v>
      </c>
      <c r="C6" s="2" t="s">
        <v>13</v>
      </c>
      <c r="D6" s="3">
        <v>44039</v>
      </c>
      <c r="E6">
        <v>70843</v>
      </c>
      <c r="F6">
        <v>824</v>
      </c>
      <c r="G6">
        <v>458505</v>
      </c>
      <c r="H6" s="2"/>
    </row>
    <row r="7" spans="1:8" x14ac:dyDescent="0.25">
      <c r="A7" s="2" t="s">
        <v>21</v>
      </c>
      <c r="B7" s="2" t="s">
        <v>22</v>
      </c>
      <c r="C7" s="2" t="s">
        <v>10</v>
      </c>
      <c r="D7" s="3">
        <v>44185</v>
      </c>
      <c r="E7">
        <v>107237</v>
      </c>
      <c r="F7">
        <v>331</v>
      </c>
      <c r="G7">
        <v>163666</v>
      </c>
      <c r="H7" s="2"/>
    </row>
    <row r="8" spans="1:8" x14ac:dyDescent="0.25">
      <c r="A8" s="2" t="s">
        <v>23</v>
      </c>
      <c r="B8" s="2" t="s">
        <v>24</v>
      </c>
      <c r="C8" s="2" t="s">
        <v>25</v>
      </c>
      <c r="D8" s="3">
        <v>44160</v>
      </c>
      <c r="E8">
        <v>477177</v>
      </c>
      <c r="F8">
        <v>692</v>
      </c>
      <c r="G8">
        <v>120819</v>
      </c>
      <c r="H8" s="2"/>
    </row>
    <row r="9" spans="1:8" x14ac:dyDescent="0.25">
      <c r="A9" s="2" t="s">
        <v>26</v>
      </c>
      <c r="B9" s="2" t="s">
        <v>27</v>
      </c>
      <c r="C9" s="2" t="s">
        <v>10</v>
      </c>
      <c r="D9" s="3">
        <v>45487</v>
      </c>
      <c r="E9">
        <v>180903</v>
      </c>
      <c r="F9">
        <v>339</v>
      </c>
      <c r="G9">
        <v>0</v>
      </c>
      <c r="H9" s="2"/>
    </row>
    <row r="10" spans="1:8" x14ac:dyDescent="0.25">
      <c r="A10" s="2" t="s">
        <v>28</v>
      </c>
      <c r="B10" s="2" t="s">
        <v>29</v>
      </c>
      <c r="C10" s="2" t="s">
        <v>25</v>
      </c>
      <c r="D10" s="3">
        <v>42340</v>
      </c>
      <c r="E10">
        <v>174499</v>
      </c>
      <c r="F10">
        <v>517</v>
      </c>
      <c r="G10">
        <v>0</v>
      </c>
      <c r="H10" s="2"/>
    </row>
    <row r="11" spans="1:8" x14ac:dyDescent="0.25">
      <c r="A11" s="2" t="s">
        <v>30</v>
      </c>
      <c r="B11" s="2" t="s">
        <v>31</v>
      </c>
      <c r="C11" s="2" t="s">
        <v>32</v>
      </c>
      <c r="D11" s="3">
        <v>45493</v>
      </c>
      <c r="E11">
        <v>487025</v>
      </c>
      <c r="F11">
        <v>381</v>
      </c>
      <c r="G11">
        <v>0</v>
      </c>
      <c r="H11" s="2"/>
    </row>
    <row r="12" spans="1:8" x14ac:dyDescent="0.25">
      <c r="A12" s="2" t="s">
        <v>33</v>
      </c>
      <c r="B12" s="2" t="s">
        <v>34</v>
      </c>
      <c r="C12" s="2" t="s">
        <v>25</v>
      </c>
      <c r="D12" s="3">
        <v>45351</v>
      </c>
      <c r="E12">
        <v>130299</v>
      </c>
      <c r="F12">
        <v>500</v>
      </c>
      <c r="G12">
        <v>0</v>
      </c>
      <c r="H12" s="2"/>
    </row>
    <row r="13" spans="1:8" x14ac:dyDescent="0.25">
      <c r="A13" s="2" t="s">
        <v>35</v>
      </c>
      <c r="B13" s="2" t="s">
        <v>36</v>
      </c>
      <c r="C13" s="2" t="s">
        <v>10</v>
      </c>
      <c r="D13" s="3">
        <v>44010</v>
      </c>
      <c r="E13">
        <v>431722</v>
      </c>
      <c r="F13">
        <v>746</v>
      </c>
      <c r="G13">
        <v>278365</v>
      </c>
      <c r="H13" s="2"/>
    </row>
    <row r="14" spans="1:8" x14ac:dyDescent="0.25">
      <c r="A14" s="2" t="s">
        <v>37</v>
      </c>
      <c r="B14" s="2" t="s">
        <v>38</v>
      </c>
      <c r="C14" s="2" t="s">
        <v>10</v>
      </c>
      <c r="D14" s="3">
        <v>45860</v>
      </c>
      <c r="E14">
        <v>5668</v>
      </c>
      <c r="F14">
        <v>727</v>
      </c>
      <c r="G14">
        <v>0</v>
      </c>
      <c r="H14" s="2" t="s">
        <v>39</v>
      </c>
    </row>
    <row r="15" spans="1:8" x14ac:dyDescent="0.25">
      <c r="A15" s="2" t="s">
        <v>40</v>
      </c>
      <c r="B15" s="2" t="s">
        <v>41</v>
      </c>
      <c r="C15" s="2" t="s">
        <v>10</v>
      </c>
      <c r="D15" s="3">
        <v>44587</v>
      </c>
      <c r="E15">
        <v>222542</v>
      </c>
      <c r="F15">
        <v>337</v>
      </c>
      <c r="G15">
        <v>18569</v>
      </c>
      <c r="H15" s="2"/>
    </row>
    <row r="16" spans="1:8" x14ac:dyDescent="0.25">
      <c r="A16" s="2" t="s">
        <v>42</v>
      </c>
      <c r="B16" s="2" t="s">
        <v>43</v>
      </c>
      <c r="C16" s="2" t="s">
        <v>13</v>
      </c>
      <c r="D16" s="3">
        <v>45438</v>
      </c>
      <c r="E16">
        <v>178267</v>
      </c>
      <c r="F16">
        <v>510</v>
      </c>
      <c r="G16">
        <v>0</v>
      </c>
      <c r="H16" s="2"/>
    </row>
    <row r="17" spans="1:8" x14ac:dyDescent="0.25">
      <c r="A17" s="2" t="s">
        <v>44</v>
      </c>
      <c r="B17" s="2" t="s">
        <v>45</v>
      </c>
      <c r="C17" s="2" t="s">
        <v>13</v>
      </c>
      <c r="D17" s="3">
        <v>43064</v>
      </c>
      <c r="E17">
        <v>335377</v>
      </c>
      <c r="F17">
        <v>743</v>
      </c>
      <c r="G17">
        <v>0</v>
      </c>
      <c r="H17" s="2"/>
    </row>
    <row r="18" spans="1:8" x14ac:dyDescent="0.25">
      <c r="A18" s="2" t="s">
        <v>46</v>
      </c>
      <c r="B18" s="2" t="s">
        <v>47</v>
      </c>
      <c r="C18" s="2" t="s">
        <v>32</v>
      </c>
      <c r="D18" s="3">
        <v>44333</v>
      </c>
      <c r="E18">
        <v>155489</v>
      </c>
      <c r="F18">
        <v>626</v>
      </c>
      <c r="G18">
        <v>207630</v>
      </c>
      <c r="H18" s="2"/>
    </row>
    <row r="19" spans="1:8" x14ac:dyDescent="0.25">
      <c r="A19" s="2" t="s">
        <v>48</v>
      </c>
      <c r="B19" s="2" t="s">
        <v>49</v>
      </c>
      <c r="C19" s="2" t="s">
        <v>25</v>
      </c>
      <c r="D19" s="3">
        <v>44007</v>
      </c>
      <c r="E19">
        <v>344126</v>
      </c>
      <c r="F19">
        <v>526</v>
      </c>
      <c r="G19">
        <v>0</v>
      </c>
      <c r="H19" s="2"/>
    </row>
    <row r="20" spans="1:8" x14ac:dyDescent="0.25">
      <c r="A20" s="2" t="s">
        <v>50</v>
      </c>
      <c r="B20" s="2" t="s">
        <v>51</v>
      </c>
      <c r="C20" s="2" t="s">
        <v>13</v>
      </c>
      <c r="D20" s="3">
        <v>44694</v>
      </c>
      <c r="E20">
        <v>106133</v>
      </c>
      <c r="F20">
        <v>347</v>
      </c>
      <c r="G20">
        <v>0</v>
      </c>
      <c r="H20" s="2" t="s">
        <v>18</v>
      </c>
    </row>
    <row r="21" spans="1:8" x14ac:dyDescent="0.25">
      <c r="A21" s="2" t="s">
        <v>52</v>
      </c>
      <c r="B21" s="2" t="s">
        <v>53</v>
      </c>
      <c r="C21" s="2" t="s">
        <v>10</v>
      </c>
      <c r="D21" s="3">
        <v>43335</v>
      </c>
      <c r="E21">
        <v>272895</v>
      </c>
      <c r="F21">
        <v>317</v>
      </c>
      <c r="G21">
        <v>0</v>
      </c>
      <c r="H21" s="2"/>
    </row>
    <row r="22" spans="1:8" x14ac:dyDescent="0.25">
      <c r="A22" s="2" t="s">
        <v>54</v>
      </c>
      <c r="B22" s="2" t="s">
        <v>55</v>
      </c>
      <c r="C22" s="2" t="s">
        <v>25</v>
      </c>
      <c r="D22" s="3">
        <v>43980</v>
      </c>
      <c r="E22">
        <v>308362</v>
      </c>
      <c r="F22">
        <v>738</v>
      </c>
      <c r="G22">
        <v>0</v>
      </c>
      <c r="H22" s="2"/>
    </row>
    <row r="23" spans="1:8" x14ac:dyDescent="0.25">
      <c r="A23" s="2" t="s">
        <v>56</v>
      </c>
      <c r="B23" s="2" t="s">
        <v>57</v>
      </c>
      <c r="C23" s="2" t="s">
        <v>13</v>
      </c>
      <c r="D23" s="3">
        <v>45635</v>
      </c>
      <c r="E23">
        <v>388793</v>
      </c>
      <c r="F23">
        <v>486</v>
      </c>
      <c r="G23">
        <v>258078</v>
      </c>
      <c r="H23" s="2"/>
    </row>
    <row r="24" spans="1:8" x14ac:dyDescent="0.25">
      <c r="A24" s="2" t="s">
        <v>58</v>
      </c>
      <c r="B24" s="2" t="s">
        <v>55</v>
      </c>
      <c r="C24" s="2" t="s">
        <v>13</v>
      </c>
      <c r="D24" s="3">
        <v>45186</v>
      </c>
      <c r="E24">
        <v>269496</v>
      </c>
      <c r="F24">
        <v>644</v>
      </c>
      <c r="G24">
        <v>0</v>
      </c>
      <c r="H24" s="2" t="s">
        <v>59</v>
      </c>
    </row>
    <row r="25" spans="1:8" x14ac:dyDescent="0.25">
      <c r="A25" s="2" t="s">
        <v>60</v>
      </c>
      <c r="B25" s="2" t="s">
        <v>61</v>
      </c>
      <c r="C25" s="2" t="s">
        <v>25</v>
      </c>
      <c r="D25" s="3">
        <v>43146</v>
      </c>
      <c r="E25">
        <v>210124</v>
      </c>
      <c r="F25">
        <v>523</v>
      </c>
      <c r="G25">
        <v>0</v>
      </c>
      <c r="H25" s="2"/>
    </row>
    <row r="26" spans="1:8" x14ac:dyDescent="0.25">
      <c r="A26" s="2" t="s">
        <v>62</v>
      </c>
      <c r="B26" s="2" t="s">
        <v>63</v>
      </c>
      <c r="C26" s="2" t="s">
        <v>10</v>
      </c>
      <c r="D26" s="3">
        <v>42535</v>
      </c>
      <c r="E26">
        <v>88835</v>
      </c>
      <c r="F26">
        <v>787</v>
      </c>
      <c r="G26">
        <v>485443</v>
      </c>
      <c r="H26" s="2"/>
    </row>
    <row r="27" spans="1:8" x14ac:dyDescent="0.25">
      <c r="A27" s="2" t="s">
        <v>64</v>
      </c>
      <c r="B27" s="2" t="s">
        <v>12</v>
      </c>
      <c r="C27" s="2" t="s">
        <v>13</v>
      </c>
      <c r="D27" s="3">
        <v>43851</v>
      </c>
      <c r="E27">
        <v>97493</v>
      </c>
      <c r="F27">
        <v>528</v>
      </c>
      <c r="G27">
        <v>0</v>
      </c>
      <c r="H27" s="2"/>
    </row>
    <row r="28" spans="1:8" x14ac:dyDescent="0.25">
      <c r="A28" s="2" t="s">
        <v>65</v>
      </c>
      <c r="B28" s="2" t="s">
        <v>66</v>
      </c>
      <c r="C28" s="2" t="s">
        <v>10</v>
      </c>
      <c r="D28" s="3">
        <v>45203</v>
      </c>
      <c r="E28">
        <v>291071</v>
      </c>
      <c r="F28">
        <v>689</v>
      </c>
      <c r="G28">
        <v>196007</v>
      </c>
      <c r="H28" s="2"/>
    </row>
    <row r="29" spans="1:8" x14ac:dyDescent="0.25">
      <c r="A29" s="2" t="s">
        <v>67</v>
      </c>
      <c r="B29" s="2" t="s">
        <v>57</v>
      </c>
      <c r="C29" s="2" t="s">
        <v>25</v>
      </c>
      <c r="D29" s="3">
        <v>43189</v>
      </c>
      <c r="E29">
        <v>172166</v>
      </c>
      <c r="F29">
        <v>487</v>
      </c>
      <c r="G29">
        <v>0</v>
      </c>
      <c r="H29" s="2" t="s">
        <v>59</v>
      </c>
    </row>
    <row r="30" spans="1:8" x14ac:dyDescent="0.25">
      <c r="A30" s="2" t="s">
        <v>68</v>
      </c>
      <c r="B30" s="2" t="s">
        <v>69</v>
      </c>
      <c r="C30" s="2" t="s">
        <v>10</v>
      </c>
      <c r="D30" s="3">
        <v>43955</v>
      </c>
      <c r="E30">
        <v>101948</v>
      </c>
      <c r="F30">
        <v>569</v>
      </c>
      <c r="G30">
        <v>335724</v>
      </c>
      <c r="H30" s="2"/>
    </row>
    <row r="31" spans="1:8" x14ac:dyDescent="0.25">
      <c r="A31" s="2" t="s">
        <v>70</v>
      </c>
      <c r="B31" s="2" t="s">
        <v>71</v>
      </c>
      <c r="C31" s="2" t="s">
        <v>13</v>
      </c>
      <c r="D31" s="3">
        <v>43461</v>
      </c>
      <c r="E31">
        <v>185194</v>
      </c>
      <c r="F31">
        <v>609</v>
      </c>
      <c r="G31">
        <v>0</v>
      </c>
      <c r="H31" s="2"/>
    </row>
    <row r="32" spans="1:8" x14ac:dyDescent="0.25">
      <c r="A32" s="2" t="s">
        <v>72</v>
      </c>
      <c r="B32" s="2" t="s">
        <v>69</v>
      </c>
      <c r="C32" s="2" t="s">
        <v>13</v>
      </c>
      <c r="D32" s="3">
        <v>44092</v>
      </c>
      <c r="E32">
        <v>29493</v>
      </c>
      <c r="F32">
        <v>431</v>
      </c>
      <c r="G32">
        <v>0</v>
      </c>
      <c r="H32" s="2"/>
    </row>
    <row r="33" spans="1:8" x14ac:dyDescent="0.25">
      <c r="A33" s="2" t="s">
        <v>73</v>
      </c>
      <c r="B33" s="2" t="s">
        <v>74</v>
      </c>
      <c r="C33" s="2" t="s">
        <v>10</v>
      </c>
      <c r="D33" s="3">
        <v>45191</v>
      </c>
      <c r="E33">
        <v>485463</v>
      </c>
      <c r="F33">
        <v>371</v>
      </c>
      <c r="G33">
        <v>0</v>
      </c>
      <c r="H33" s="2"/>
    </row>
    <row r="34" spans="1:8" x14ac:dyDescent="0.25">
      <c r="A34" s="2" t="s">
        <v>75</v>
      </c>
      <c r="B34" s="2" t="s">
        <v>76</v>
      </c>
      <c r="C34" s="2" t="s">
        <v>10</v>
      </c>
      <c r="D34" s="3">
        <v>45495</v>
      </c>
      <c r="E34">
        <v>466755</v>
      </c>
      <c r="F34">
        <v>486</v>
      </c>
      <c r="G34">
        <v>0</v>
      </c>
      <c r="H34" s="2" t="s">
        <v>59</v>
      </c>
    </row>
    <row r="35" spans="1:8" x14ac:dyDescent="0.25">
      <c r="A35" s="2" t="s">
        <v>77</v>
      </c>
      <c r="B35" s="2" t="s">
        <v>78</v>
      </c>
      <c r="C35" s="2" t="s">
        <v>25</v>
      </c>
      <c r="D35" s="3">
        <v>42433</v>
      </c>
      <c r="E35">
        <v>293851</v>
      </c>
      <c r="F35">
        <v>785</v>
      </c>
      <c r="G35">
        <v>0</v>
      </c>
      <c r="H35" s="2"/>
    </row>
    <row r="36" spans="1:8" x14ac:dyDescent="0.25">
      <c r="A36" s="2" t="s">
        <v>79</v>
      </c>
      <c r="B36" s="2" t="s">
        <v>80</v>
      </c>
      <c r="C36" s="2" t="s">
        <v>13</v>
      </c>
      <c r="D36" s="3">
        <v>43495</v>
      </c>
      <c r="E36">
        <v>199886</v>
      </c>
      <c r="F36">
        <v>490</v>
      </c>
      <c r="G36">
        <v>0</v>
      </c>
      <c r="H36" s="2"/>
    </row>
    <row r="37" spans="1:8" x14ac:dyDescent="0.25">
      <c r="A37" s="2" t="s">
        <v>81</v>
      </c>
      <c r="B37" s="2" t="s">
        <v>82</v>
      </c>
      <c r="C37" s="2" t="s">
        <v>25</v>
      </c>
      <c r="D37" s="3">
        <v>44385</v>
      </c>
      <c r="E37">
        <v>138368</v>
      </c>
      <c r="F37">
        <v>721</v>
      </c>
      <c r="G37">
        <v>0</v>
      </c>
      <c r="H37" s="2"/>
    </row>
    <row r="38" spans="1:8" x14ac:dyDescent="0.25">
      <c r="A38" s="2" t="s">
        <v>83</v>
      </c>
      <c r="B38" s="2" t="s">
        <v>84</v>
      </c>
      <c r="C38" s="2" t="s">
        <v>13</v>
      </c>
      <c r="D38" s="3">
        <v>44430</v>
      </c>
      <c r="E38">
        <v>156470</v>
      </c>
      <c r="F38">
        <v>419</v>
      </c>
      <c r="G38">
        <v>0</v>
      </c>
      <c r="H38" s="2"/>
    </row>
    <row r="39" spans="1:8" x14ac:dyDescent="0.25">
      <c r="A39" s="2" t="s">
        <v>85</v>
      </c>
      <c r="B39" s="2" t="s">
        <v>86</v>
      </c>
      <c r="C39" s="2" t="s">
        <v>13</v>
      </c>
      <c r="D39" s="3">
        <v>43619</v>
      </c>
      <c r="E39">
        <v>297986</v>
      </c>
      <c r="F39">
        <v>519</v>
      </c>
      <c r="G39">
        <v>5654</v>
      </c>
      <c r="H39" s="2"/>
    </row>
    <row r="40" spans="1:8" x14ac:dyDescent="0.25">
      <c r="A40" s="2" t="s">
        <v>87</v>
      </c>
      <c r="B40" s="2" t="s">
        <v>88</v>
      </c>
      <c r="C40" s="2" t="s">
        <v>13</v>
      </c>
      <c r="D40" s="3">
        <v>45596</v>
      </c>
      <c r="E40">
        <v>13261</v>
      </c>
      <c r="F40">
        <v>352</v>
      </c>
      <c r="G40">
        <v>59633</v>
      </c>
      <c r="H40" s="2"/>
    </row>
    <row r="41" spans="1:8" x14ac:dyDescent="0.25">
      <c r="A41" s="2" t="s">
        <v>89</v>
      </c>
      <c r="B41" s="2" t="s">
        <v>90</v>
      </c>
      <c r="C41" s="2" t="s">
        <v>13</v>
      </c>
      <c r="D41" s="3">
        <v>44121</v>
      </c>
      <c r="E41">
        <v>76709</v>
      </c>
      <c r="F41">
        <v>750</v>
      </c>
      <c r="G41">
        <v>0</v>
      </c>
      <c r="H41" s="2" t="s">
        <v>18</v>
      </c>
    </row>
    <row r="42" spans="1:8" x14ac:dyDescent="0.25">
      <c r="A42" s="2" t="s">
        <v>91</v>
      </c>
      <c r="B42" s="2" t="s">
        <v>92</v>
      </c>
      <c r="C42" s="2" t="s">
        <v>10</v>
      </c>
      <c r="D42" s="3">
        <v>45740</v>
      </c>
      <c r="E42">
        <v>95985</v>
      </c>
      <c r="F42">
        <v>711</v>
      </c>
      <c r="G42">
        <v>0</v>
      </c>
      <c r="H42" s="2"/>
    </row>
    <row r="43" spans="1:8" x14ac:dyDescent="0.25">
      <c r="A43" s="2" t="s">
        <v>93</v>
      </c>
      <c r="B43" s="2" t="s">
        <v>94</v>
      </c>
      <c r="C43" s="2" t="s">
        <v>10</v>
      </c>
      <c r="D43" s="3">
        <v>44171</v>
      </c>
      <c r="E43">
        <v>368760</v>
      </c>
      <c r="F43">
        <v>536</v>
      </c>
      <c r="G43">
        <v>0</v>
      </c>
      <c r="H43" s="2"/>
    </row>
    <row r="44" spans="1:8" x14ac:dyDescent="0.25">
      <c r="A44" s="2" t="s">
        <v>95</v>
      </c>
      <c r="B44" s="2" t="s">
        <v>96</v>
      </c>
      <c r="C44" s="2" t="s">
        <v>13</v>
      </c>
      <c r="D44" s="3">
        <v>45200</v>
      </c>
      <c r="E44">
        <v>449920</v>
      </c>
      <c r="F44">
        <v>705</v>
      </c>
      <c r="G44">
        <v>0</v>
      </c>
      <c r="H44" s="2"/>
    </row>
    <row r="45" spans="1:8" x14ac:dyDescent="0.25">
      <c r="A45" s="2" t="s">
        <v>97</v>
      </c>
      <c r="B45" s="2" t="s">
        <v>98</v>
      </c>
      <c r="C45" s="2" t="s">
        <v>10</v>
      </c>
      <c r="D45" s="3">
        <v>42460</v>
      </c>
      <c r="E45">
        <v>329317</v>
      </c>
      <c r="F45">
        <v>721</v>
      </c>
      <c r="G45">
        <v>0</v>
      </c>
      <c r="H45" s="2"/>
    </row>
    <row r="46" spans="1:8" x14ac:dyDescent="0.25">
      <c r="A46" s="2" t="s">
        <v>99</v>
      </c>
      <c r="B46" s="2" t="s">
        <v>100</v>
      </c>
      <c r="C46" s="2" t="s">
        <v>13</v>
      </c>
      <c r="D46" s="3">
        <v>45290</v>
      </c>
      <c r="E46">
        <v>293925</v>
      </c>
      <c r="F46">
        <v>546</v>
      </c>
      <c r="G46">
        <v>0</v>
      </c>
      <c r="H46" s="2"/>
    </row>
    <row r="47" spans="1:8" x14ac:dyDescent="0.25">
      <c r="A47" s="2" t="s">
        <v>101</v>
      </c>
      <c r="B47" s="2" t="s">
        <v>88</v>
      </c>
      <c r="C47" s="2" t="s">
        <v>25</v>
      </c>
      <c r="D47" s="3">
        <v>45413</v>
      </c>
      <c r="E47">
        <v>275796</v>
      </c>
      <c r="F47">
        <v>371</v>
      </c>
      <c r="G47">
        <v>0</v>
      </c>
      <c r="H47" s="2"/>
    </row>
    <row r="48" spans="1:8" x14ac:dyDescent="0.25">
      <c r="A48" s="2" t="s">
        <v>102</v>
      </c>
      <c r="B48" s="2" t="s">
        <v>96</v>
      </c>
      <c r="C48" s="2" t="s">
        <v>32</v>
      </c>
      <c r="D48" s="3">
        <v>44782</v>
      </c>
      <c r="E48">
        <v>267247</v>
      </c>
      <c r="F48">
        <v>484</v>
      </c>
      <c r="G48">
        <v>0</v>
      </c>
      <c r="H48" s="2"/>
    </row>
    <row r="49" spans="1:8" x14ac:dyDescent="0.25">
      <c r="A49" s="2" t="s">
        <v>103</v>
      </c>
      <c r="B49" s="2" t="s">
        <v>104</v>
      </c>
      <c r="C49" s="2" t="s">
        <v>13</v>
      </c>
      <c r="D49" s="3">
        <v>45583</v>
      </c>
      <c r="E49">
        <v>287644</v>
      </c>
      <c r="F49">
        <v>305</v>
      </c>
      <c r="G49">
        <v>485398</v>
      </c>
      <c r="H49" s="2"/>
    </row>
    <row r="50" spans="1:8" x14ac:dyDescent="0.25">
      <c r="A50" s="2" t="s">
        <v>105</v>
      </c>
      <c r="B50" s="2" t="s">
        <v>106</v>
      </c>
      <c r="C50" s="2" t="s">
        <v>10</v>
      </c>
      <c r="D50" s="3">
        <v>43835</v>
      </c>
      <c r="E50">
        <v>246404</v>
      </c>
      <c r="F50">
        <v>505</v>
      </c>
      <c r="G50">
        <v>0</v>
      </c>
      <c r="H50" s="2"/>
    </row>
    <row r="51" spans="1:8" x14ac:dyDescent="0.25">
      <c r="A51" s="2" t="s">
        <v>107</v>
      </c>
      <c r="B51" s="2" t="s">
        <v>108</v>
      </c>
      <c r="C51" s="2" t="s">
        <v>13</v>
      </c>
      <c r="D51" s="3">
        <v>45414</v>
      </c>
      <c r="E51">
        <v>100336</v>
      </c>
      <c r="F51">
        <v>843</v>
      </c>
      <c r="G51">
        <v>316011</v>
      </c>
      <c r="H51" s="2" t="s">
        <v>18</v>
      </c>
    </row>
    <row r="52" spans="1:8" x14ac:dyDescent="0.25">
      <c r="A52" s="2" t="s">
        <v>109</v>
      </c>
      <c r="B52" s="2" t="s">
        <v>110</v>
      </c>
      <c r="C52" s="2" t="s">
        <v>13</v>
      </c>
      <c r="D52" s="3">
        <v>43810</v>
      </c>
      <c r="E52">
        <v>428745</v>
      </c>
      <c r="F52">
        <v>686</v>
      </c>
      <c r="G52">
        <v>449244</v>
      </c>
      <c r="H52" s="2"/>
    </row>
    <row r="53" spans="1:8" x14ac:dyDescent="0.25">
      <c r="A53" s="2" t="s">
        <v>111</v>
      </c>
      <c r="B53" s="2" t="s">
        <v>112</v>
      </c>
      <c r="C53" s="2" t="s">
        <v>13</v>
      </c>
      <c r="D53" s="3">
        <v>42425</v>
      </c>
      <c r="E53">
        <v>113499</v>
      </c>
      <c r="F53">
        <v>375</v>
      </c>
      <c r="G53">
        <v>0</v>
      </c>
      <c r="H53" s="2" t="s">
        <v>18</v>
      </c>
    </row>
    <row r="54" spans="1:8" x14ac:dyDescent="0.25">
      <c r="A54" s="2" t="s">
        <v>113</v>
      </c>
      <c r="B54" s="2" t="s">
        <v>114</v>
      </c>
      <c r="C54" s="2" t="s">
        <v>25</v>
      </c>
      <c r="D54" s="3">
        <v>43028</v>
      </c>
      <c r="E54">
        <v>149524</v>
      </c>
      <c r="F54">
        <v>476</v>
      </c>
      <c r="G54">
        <v>0</v>
      </c>
      <c r="H54" s="2"/>
    </row>
    <row r="55" spans="1:8" x14ac:dyDescent="0.25">
      <c r="A55" s="2" t="s">
        <v>115</v>
      </c>
      <c r="B55" s="2" t="s">
        <v>116</v>
      </c>
      <c r="C55" s="2" t="s">
        <v>10</v>
      </c>
      <c r="D55" s="3">
        <v>42626</v>
      </c>
      <c r="E55">
        <v>311537</v>
      </c>
      <c r="F55">
        <v>648</v>
      </c>
      <c r="G55">
        <v>0</v>
      </c>
      <c r="H55" s="2"/>
    </row>
    <row r="56" spans="1:8" x14ac:dyDescent="0.25">
      <c r="A56" s="2" t="s">
        <v>117</v>
      </c>
      <c r="B56" s="2" t="s">
        <v>118</v>
      </c>
      <c r="C56" s="2" t="s">
        <v>13</v>
      </c>
      <c r="D56" s="3">
        <v>45145</v>
      </c>
      <c r="E56">
        <v>424390</v>
      </c>
      <c r="F56">
        <v>554</v>
      </c>
      <c r="G56">
        <v>0</v>
      </c>
      <c r="H56" s="2"/>
    </row>
    <row r="57" spans="1:8" x14ac:dyDescent="0.25">
      <c r="A57" s="2" t="s">
        <v>119</v>
      </c>
      <c r="B57" s="2" t="s">
        <v>120</v>
      </c>
      <c r="C57" s="2" t="s">
        <v>25</v>
      </c>
      <c r="D57" s="3">
        <v>44318</v>
      </c>
      <c r="E57">
        <v>457666</v>
      </c>
      <c r="F57">
        <v>607</v>
      </c>
      <c r="G57">
        <v>0</v>
      </c>
      <c r="H57" s="2"/>
    </row>
    <row r="58" spans="1:8" x14ac:dyDescent="0.25">
      <c r="A58" s="2" t="s">
        <v>121</v>
      </c>
      <c r="B58" s="2" t="s">
        <v>122</v>
      </c>
      <c r="C58" s="2" t="s">
        <v>10</v>
      </c>
      <c r="D58" s="3">
        <v>45750</v>
      </c>
      <c r="E58">
        <v>166508</v>
      </c>
      <c r="F58">
        <v>644</v>
      </c>
      <c r="G58">
        <v>222508</v>
      </c>
      <c r="H58" s="2"/>
    </row>
    <row r="59" spans="1:8" x14ac:dyDescent="0.25">
      <c r="A59" s="2" t="s">
        <v>123</v>
      </c>
      <c r="B59" s="2" t="s">
        <v>124</v>
      </c>
      <c r="C59" s="2" t="s">
        <v>25</v>
      </c>
      <c r="D59" s="3">
        <v>43942</v>
      </c>
      <c r="E59">
        <v>309550</v>
      </c>
      <c r="F59">
        <v>426</v>
      </c>
      <c r="G59">
        <v>0</v>
      </c>
      <c r="H59" s="2" t="s">
        <v>18</v>
      </c>
    </row>
    <row r="60" spans="1:8" x14ac:dyDescent="0.25">
      <c r="A60" s="2" t="s">
        <v>125</v>
      </c>
      <c r="B60" s="2" t="s">
        <v>126</v>
      </c>
      <c r="C60" s="2" t="s">
        <v>10</v>
      </c>
      <c r="D60" s="3">
        <v>43744</v>
      </c>
      <c r="E60">
        <v>325203</v>
      </c>
      <c r="F60">
        <v>586</v>
      </c>
      <c r="G60">
        <v>0</v>
      </c>
      <c r="H60" s="2"/>
    </row>
    <row r="61" spans="1:8" x14ac:dyDescent="0.25">
      <c r="A61" s="2" t="s">
        <v>127</v>
      </c>
      <c r="B61" s="2" t="s">
        <v>128</v>
      </c>
      <c r="C61" s="2" t="s">
        <v>10</v>
      </c>
      <c r="D61" s="3">
        <v>44768</v>
      </c>
      <c r="E61">
        <v>147026</v>
      </c>
      <c r="F61">
        <v>786</v>
      </c>
      <c r="G61">
        <v>0</v>
      </c>
      <c r="H61" s="2"/>
    </row>
    <row r="62" spans="1:8" x14ac:dyDescent="0.25">
      <c r="A62" s="2" t="s">
        <v>129</v>
      </c>
      <c r="B62" s="2" t="s">
        <v>130</v>
      </c>
      <c r="C62" s="2" t="s">
        <v>13</v>
      </c>
      <c r="D62" s="3">
        <v>43375</v>
      </c>
      <c r="E62">
        <v>344866</v>
      </c>
      <c r="F62">
        <v>682</v>
      </c>
      <c r="G62">
        <v>0</v>
      </c>
      <c r="H62" s="2"/>
    </row>
    <row r="63" spans="1:8" x14ac:dyDescent="0.25">
      <c r="A63" s="2" t="s">
        <v>131</v>
      </c>
      <c r="B63" s="2" t="s">
        <v>132</v>
      </c>
      <c r="C63" s="2" t="s">
        <v>13</v>
      </c>
      <c r="D63" s="3">
        <v>44407</v>
      </c>
      <c r="E63">
        <v>250819</v>
      </c>
      <c r="F63">
        <v>705</v>
      </c>
      <c r="G63">
        <v>0</v>
      </c>
      <c r="H63" s="2"/>
    </row>
    <row r="64" spans="1:8" x14ac:dyDescent="0.25">
      <c r="A64" s="2" t="s">
        <v>133</v>
      </c>
      <c r="B64" s="2" t="s">
        <v>57</v>
      </c>
      <c r="C64" s="2" t="s">
        <v>32</v>
      </c>
      <c r="D64" s="3">
        <v>43721</v>
      </c>
      <c r="E64">
        <v>12356</v>
      </c>
      <c r="F64">
        <v>687</v>
      </c>
      <c r="G64">
        <v>0</v>
      </c>
      <c r="H64" s="2"/>
    </row>
    <row r="65" spans="1:8" x14ac:dyDescent="0.25">
      <c r="A65" s="2" t="s">
        <v>134</v>
      </c>
      <c r="B65" s="2" t="s">
        <v>53</v>
      </c>
      <c r="C65" s="2" t="s">
        <v>13</v>
      </c>
      <c r="D65" s="3">
        <v>43714</v>
      </c>
      <c r="E65">
        <v>128128</v>
      </c>
      <c r="F65">
        <v>824</v>
      </c>
      <c r="G65">
        <v>0</v>
      </c>
      <c r="H65" s="2"/>
    </row>
    <row r="66" spans="1:8" x14ac:dyDescent="0.25">
      <c r="A66" s="2" t="s">
        <v>135</v>
      </c>
      <c r="B66" s="2" t="s">
        <v>136</v>
      </c>
      <c r="C66" s="2" t="s">
        <v>32</v>
      </c>
      <c r="D66" s="3">
        <v>42707</v>
      </c>
      <c r="E66">
        <v>491715</v>
      </c>
      <c r="F66">
        <v>575</v>
      </c>
      <c r="G66">
        <v>0</v>
      </c>
      <c r="H66" s="2"/>
    </row>
    <row r="67" spans="1:8" x14ac:dyDescent="0.25">
      <c r="A67" s="2" t="s">
        <v>137</v>
      </c>
      <c r="B67" s="2" t="s">
        <v>80</v>
      </c>
      <c r="C67" s="2" t="s">
        <v>10</v>
      </c>
      <c r="D67" s="3">
        <v>45846</v>
      </c>
      <c r="E67">
        <v>2187</v>
      </c>
      <c r="F67">
        <v>799</v>
      </c>
      <c r="G67">
        <v>0</v>
      </c>
      <c r="H67" s="2"/>
    </row>
    <row r="68" spans="1:8" x14ac:dyDescent="0.25">
      <c r="A68" s="2" t="s">
        <v>138</v>
      </c>
      <c r="B68" s="2" t="s">
        <v>139</v>
      </c>
      <c r="C68" s="2" t="s">
        <v>13</v>
      </c>
      <c r="D68" s="3">
        <v>42482</v>
      </c>
      <c r="E68">
        <v>339387</v>
      </c>
      <c r="F68">
        <v>636</v>
      </c>
      <c r="G68">
        <v>0</v>
      </c>
      <c r="H68" s="2" t="s">
        <v>18</v>
      </c>
    </row>
    <row r="69" spans="1:8" x14ac:dyDescent="0.25">
      <c r="A69" s="2" t="s">
        <v>140</v>
      </c>
      <c r="B69" s="2" t="s">
        <v>88</v>
      </c>
      <c r="C69" s="2" t="s">
        <v>13</v>
      </c>
      <c r="D69" s="3">
        <v>42605</v>
      </c>
      <c r="E69">
        <v>297242</v>
      </c>
      <c r="F69">
        <v>780</v>
      </c>
      <c r="G69">
        <v>0</v>
      </c>
      <c r="H69" s="2" t="s">
        <v>59</v>
      </c>
    </row>
    <row r="70" spans="1:8" x14ac:dyDescent="0.25">
      <c r="A70" s="2" t="s">
        <v>141</v>
      </c>
      <c r="B70" s="2" t="s">
        <v>142</v>
      </c>
      <c r="C70" s="2" t="s">
        <v>13</v>
      </c>
      <c r="D70" s="3">
        <v>43964</v>
      </c>
      <c r="E70">
        <v>485687</v>
      </c>
      <c r="F70">
        <v>572</v>
      </c>
      <c r="G70">
        <v>0</v>
      </c>
      <c r="H70" s="2"/>
    </row>
    <row r="71" spans="1:8" x14ac:dyDescent="0.25">
      <c r="A71" s="2" t="s">
        <v>143</v>
      </c>
      <c r="B71" s="2" t="s">
        <v>144</v>
      </c>
      <c r="C71" s="2" t="s">
        <v>32</v>
      </c>
      <c r="D71" s="3">
        <v>44843</v>
      </c>
      <c r="E71">
        <v>152297</v>
      </c>
      <c r="F71">
        <v>357</v>
      </c>
      <c r="G71">
        <v>0</v>
      </c>
      <c r="H71" s="2"/>
    </row>
    <row r="72" spans="1:8" x14ac:dyDescent="0.25">
      <c r="A72" s="2" t="s">
        <v>145</v>
      </c>
      <c r="B72" s="2" t="s">
        <v>146</v>
      </c>
      <c r="C72" s="2" t="s">
        <v>10</v>
      </c>
      <c r="D72" s="3">
        <v>42702</v>
      </c>
      <c r="E72">
        <v>134678</v>
      </c>
      <c r="F72">
        <v>627</v>
      </c>
      <c r="G72">
        <v>0</v>
      </c>
      <c r="H72" s="2"/>
    </row>
    <row r="73" spans="1:8" x14ac:dyDescent="0.25">
      <c r="A73" s="2" t="s">
        <v>147</v>
      </c>
      <c r="B73" s="2" t="s">
        <v>148</v>
      </c>
      <c r="C73" s="2" t="s">
        <v>13</v>
      </c>
      <c r="D73" s="3">
        <v>44558</v>
      </c>
      <c r="E73">
        <v>319764</v>
      </c>
      <c r="F73">
        <v>408</v>
      </c>
      <c r="G73">
        <v>0</v>
      </c>
      <c r="H73" s="2" t="s">
        <v>39</v>
      </c>
    </row>
    <row r="74" spans="1:8" x14ac:dyDescent="0.25">
      <c r="A74" s="2" t="s">
        <v>149</v>
      </c>
      <c r="B74" s="2" t="s">
        <v>150</v>
      </c>
      <c r="C74" s="2" t="s">
        <v>13</v>
      </c>
      <c r="D74" s="3">
        <v>43267</v>
      </c>
      <c r="E74">
        <v>426044</v>
      </c>
      <c r="F74">
        <v>578</v>
      </c>
      <c r="G74">
        <v>373894</v>
      </c>
      <c r="H74" s="2"/>
    </row>
    <row r="75" spans="1:8" x14ac:dyDescent="0.25">
      <c r="A75" s="2" t="s">
        <v>151</v>
      </c>
      <c r="B75" s="2" t="s">
        <v>152</v>
      </c>
      <c r="C75" s="2" t="s">
        <v>13</v>
      </c>
      <c r="D75" s="3">
        <v>45406</v>
      </c>
      <c r="E75">
        <v>126270</v>
      </c>
      <c r="F75">
        <v>627</v>
      </c>
      <c r="G75">
        <v>394187</v>
      </c>
      <c r="H75" s="2"/>
    </row>
    <row r="76" spans="1:8" x14ac:dyDescent="0.25">
      <c r="A76" s="2" t="s">
        <v>153</v>
      </c>
      <c r="B76" s="2" t="s">
        <v>154</v>
      </c>
      <c r="C76" s="2" t="s">
        <v>10</v>
      </c>
      <c r="D76" s="3">
        <v>43741</v>
      </c>
      <c r="E76">
        <v>419705</v>
      </c>
      <c r="F76">
        <v>614</v>
      </c>
      <c r="G76">
        <v>0</v>
      </c>
      <c r="H76" s="2"/>
    </row>
    <row r="77" spans="1:8" x14ac:dyDescent="0.25">
      <c r="A77" s="2" t="s">
        <v>155</v>
      </c>
      <c r="B77" s="2" t="s">
        <v>156</v>
      </c>
      <c r="C77" s="2" t="s">
        <v>13</v>
      </c>
      <c r="D77" s="3">
        <v>43170</v>
      </c>
      <c r="E77">
        <v>276531</v>
      </c>
      <c r="F77">
        <v>773</v>
      </c>
      <c r="G77">
        <v>0</v>
      </c>
      <c r="H77" s="2"/>
    </row>
    <row r="78" spans="1:8" x14ac:dyDescent="0.25">
      <c r="A78" s="2" t="s">
        <v>157</v>
      </c>
      <c r="B78" s="2" t="s">
        <v>158</v>
      </c>
      <c r="C78" s="2" t="s">
        <v>25</v>
      </c>
      <c r="D78" s="3">
        <v>45642</v>
      </c>
      <c r="E78">
        <v>331607</v>
      </c>
      <c r="F78">
        <v>410</v>
      </c>
      <c r="G78">
        <v>429606</v>
      </c>
      <c r="H78" s="2" t="s">
        <v>39</v>
      </c>
    </row>
    <row r="79" spans="1:8" x14ac:dyDescent="0.25">
      <c r="A79" s="2" t="s">
        <v>159</v>
      </c>
      <c r="B79" s="2" t="s">
        <v>160</v>
      </c>
      <c r="C79" s="2" t="s">
        <v>13</v>
      </c>
      <c r="D79" s="3">
        <v>43803</v>
      </c>
      <c r="E79">
        <v>465048</v>
      </c>
      <c r="F79">
        <v>528</v>
      </c>
      <c r="G79">
        <v>0</v>
      </c>
      <c r="H79" s="2"/>
    </row>
    <row r="80" spans="1:8" x14ac:dyDescent="0.25">
      <c r="A80" s="2" t="s">
        <v>161</v>
      </c>
      <c r="B80" s="2" t="s">
        <v>162</v>
      </c>
      <c r="C80" s="2" t="s">
        <v>13</v>
      </c>
      <c r="D80" s="3">
        <v>45733</v>
      </c>
      <c r="E80">
        <v>489196</v>
      </c>
      <c r="F80">
        <v>796</v>
      </c>
      <c r="G80">
        <v>149233</v>
      </c>
      <c r="H80" s="2"/>
    </row>
    <row r="81" spans="1:8" x14ac:dyDescent="0.25">
      <c r="A81" s="2" t="s">
        <v>163</v>
      </c>
      <c r="B81" s="2" t="s">
        <v>164</v>
      </c>
      <c r="C81" s="2" t="s">
        <v>10</v>
      </c>
      <c r="D81" s="3">
        <v>42365</v>
      </c>
      <c r="E81">
        <v>242998</v>
      </c>
      <c r="F81">
        <v>455</v>
      </c>
      <c r="G81">
        <v>0</v>
      </c>
      <c r="H81" s="2" t="s">
        <v>18</v>
      </c>
    </row>
    <row r="82" spans="1:8" x14ac:dyDescent="0.25">
      <c r="A82" s="2" t="s">
        <v>165</v>
      </c>
      <c r="B82" s="2" t="s">
        <v>166</v>
      </c>
      <c r="C82" s="2" t="s">
        <v>10</v>
      </c>
      <c r="D82" s="3">
        <v>43834</v>
      </c>
      <c r="E82">
        <v>395807</v>
      </c>
      <c r="F82">
        <v>772</v>
      </c>
      <c r="G82">
        <v>0</v>
      </c>
      <c r="H82" s="2" t="s">
        <v>39</v>
      </c>
    </row>
    <row r="83" spans="1:8" x14ac:dyDescent="0.25">
      <c r="A83" s="2" t="s">
        <v>167</v>
      </c>
      <c r="B83" s="2" t="s">
        <v>168</v>
      </c>
      <c r="C83" s="2" t="s">
        <v>32</v>
      </c>
      <c r="D83" s="3">
        <v>42626</v>
      </c>
      <c r="E83">
        <v>241503</v>
      </c>
      <c r="F83">
        <v>571</v>
      </c>
      <c r="G83">
        <v>111379</v>
      </c>
      <c r="H83" s="2" t="s">
        <v>39</v>
      </c>
    </row>
    <row r="84" spans="1:8" x14ac:dyDescent="0.25">
      <c r="A84" s="2" t="s">
        <v>169</v>
      </c>
      <c r="B84" s="2" t="s">
        <v>170</v>
      </c>
      <c r="C84" s="2" t="s">
        <v>10</v>
      </c>
      <c r="D84" s="3">
        <v>43147</v>
      </c>
      <c r="E84">
        <v>441732</v>
      </c>
      <c r="F84">
        <v>301</v>
      </c>
      <c r="G84">
        <v>231905</v>
      </c>
      <c r="H84" s="2" t="s">
        <v>39</v>
      </c>
    </row>
    <row r="85" spans="1:8" x14ac:dyDescent="0.25">
      <c r="A85" s="2" t="s">
        <v>171</v>
      </c>
      <c r="B85" s="2" t="s">
        <v>172</v>
      </c>
      <c r="C85" s="2" t="s">
        <v>13</v>
      </c>
      <c r="D85" s="3">
        <v>43176</v>
      </c>
      <c r="E85">
        <v>353827</v>
      </c>
      <c r="F85">
        <v>810</v>
      </c>
      <c r="G85">
        <v>0</v>
      </c>
      <c r="H85" s="2"/>
    </row>
    <row r="86" spans="1:8" x14ac:dyDescent="0.25">
      <c r="A86" s="2" t="s">
        <v>173</v>
      </c>
      <c r="B86" s="2" t="s">
        <v>174</v>
      </c>
      <c r="C86" s="2" t="s">
        <v>10</v>
      </c>
      <c r="D86" s="3">
        <v>43642</v>
      </c>
      <c r="E86">
        <v>62061</v>
      </c>
      <c r="F86">
        <v>585</v>
      </c>
      <c r="G86">
        <v>0</v>
      </c>
      <c r="H86" s="2"/>
    </row>
    <row r="87" spans="1:8" x14ac:dyDescent="0.25">
      <c r="A87" s="2" t="s">
        <v>175</v>
      </c>
      <c r="B87" s="2" t="s">
        <v>176</v>
      </c>
      <c r="C87" s="2" t="s">
        <v>13</v>
      </c>
      <c r="D87" s="3">
        <v>44444</v>
      </c>
      <c r="E87">
        <v>235497</v>
      </c>
      <c r="F87">
        <v>312</v>
      </c>
      <c r="G87">
        <v>0</v>
      </c>
      <c r="H87" s="2" t="s">
        <v>59</v>
      </c>
    </row>
    <row r="88" spans="1:8" x14ac:dyDescent="0.25">
      <c r="A88" s="2" t="s">
        <v>177</v>
      </c>
      <c r="B88" s="2" t="s">
        <v>43</v>
      </c>
      <c r="C88" s="2" t="s">
        <v>13</v>
      </c>
      <c r="D88" s="3">
        <v>43238</v>
      </c>
      <c r="E88">
        <v>459952</v>
      </c>
      <c r="F88">
        <v>797</v>
      </c>
      <c r="G88">
        <v>0</v>
      </c>
      <c r="H88" s="2" t="s">
        <v>39</v>
      </c>
    </row>
    <row r="89" spans="1:8" x14ac:dyDescent="0.25">
      <c r="A89" s="2" t="s">
        <v>178</v>
      </c>
      <c r="B89" s="2" t="s">
        <v>179</v>
      </c>
      <c r="C89" s="2" t="s">
        <v>32</v>
      </c>
      <c r="D89" s="3">
        <v>42693</v>
      </c>
      <c r="E89">
        <v>81257</v>
      </c>
      <c r="F89">
        <v>537</v>
      </c>
      <c r="G89">
        <v>0</v>
      </c>
      <c r="H89" s="2"/>
    </row>
    <row r="90" spans="1:8" x14ac:dyDescent="0.25">
      <c r="A90" s="2" t="s">
        <v>180</v>
      </c>
      <c r="B90" s="2" t="s">
        <v>41</v>
      </c>
      <c r="C90" s="2" t="s">
        <v>25</v>
      </c>
      <c r="D90" s="3">
        <v>43262</v>
      </c>
      <c r="E90">
        <v>61753</v>
      </c>
      <c r="F90">
        <v>393</v>
      </c>
      <c r="G90">
        <v>146835</v>
      </c>
      <c r="H90" s="2"/>
    </row>
    <row r="91" spans="1:8" x14ac:dyDescent="0.25">
      <c r="A91" s="2" t="s">
        <v>181</v>
      </c>
      <c r="B91" s="2" t="s">
        <v>182</v>
      </c>
      <c r="C91" s="2" t="s">
        <v>32</v>
      </c>
      <c r="D91" s="3">
        <v>44429</v>
      </c>
      <c r="E91">
        <v>346918</v>
      </c>
      <c r="F91">
        <v>637</v>
      </c>
      <c r="G91">
        <v>0</v>
      </c>
      <c r="H91" s="2"/>
    </row>
    <row r="92" spans="1:8" x14ac:dyDescent="0.25">
      <c r="A92" s="2" t="s">
        <v>183</v>
      </c>
      <c r="B92" s="2" t="s">
        <v>114</v>
      </c>
      <c r="C92" s="2" t="s">
        <v>10</v>
      </c>
      <c r="D92" s="3">
        <v>44681</v>
      </c>
      <c r="E92">
        <v>404303</v>
      </c>
      <c r="F92">
        <v>470</v>
      </c>
      <c r="G92">
        <v>98109</v>
      </c>
      <c r="H92" s="2"/>
    </row>
    <row r="93" spans="1:8" x14ac:dyDescent="0.25">
      <c r="A93" s="2" t="s">
        <v>184</v>
      </c>
      <c r="B93" s="2" t="s">
        <v>90</v>
      </c>
      <c r="C93" s="2" t="s">
        <v>10</v>
      </c>
      <c r="D93" s="3">
        <v>43749</v>
      </c>
      <c r="E93">
        <v>424032</v>
      </c>
      <c r="F93">
        <v>766</v>
      </c>
      <c r="G93">
        <v>0</v>
      </c>
      <c r="H93" s="2"/>
    </row>
    <row r="94" spans="1:8" x14ac:dyDescent="0.25">
      <c r="A94" s="2" t="s">
        <v>185</v>
      </c>
      <c r="B94" s="2" t="s">
        <v>186</v>
      </c>
      <c r="C94" s="2" t="s">
        <v>13</v>
      </c>
      <c r="D94" s="3">
        <v>45069</v>
      </c>
      <c r="E94">
        <v>23408</v>
      </c>
      <c r="F94">
        <v>442</v>
      </c>
      <c r="G94">
        <v>0</v>
      </c>
      <c r="H94" s="2"/>
    </row>
    <row r="95" spans="1:8" x14ac:dyDescent="0.25">
      <c r="A95" s="2" t="s">
        <v>187</v>
      </c>
      <c r="B95" s="2" t="s">
        <v>188</v>
      </c>
      <c r="C95" s="2" t="s">
        <v>13</v>
      </c>
      <c r="D95" s="3">
        <v>45287</v>
      </c>
      <c r="E95">
        <v>124116</v>
      </c>
      <c r="F95">
        <v>500</v>
      </c>
      <c r="G95">
        <v>0</v>
      </c>
      <c r="H95" s="2" t="s">
        <v>18</v>
      </c>
    </row>
    <row r="96" spans="1:8" x14ac:dyDescent="0.25">
      <c r="A96" s="2" t="s">
        <v>189</v>
      </c>
      <c r="B96" s="2" t="s">
        <v>190</v>
      </c>
      <c r="C96" s="2" t="s">
        <v>25</v>
      </c>
      <c r="D96" s="3">
        <v>43128</v>
      </c>
      <c r="E96">
        <v>498492</v>
      </c>
      <c r="F96">
        <v>479</v>
      </c>
      <c r="G96">
        <v>426175</v>
      </c>
      <c r="H96" s="2"/>
    </row>
    <row r="97" spans="1:8" x14ac:dyDescent="0.25">
      <c r="A97" s="2" t="s">
        <v>191</v>
      </c>
      <c r="B97" s="2" t="s">
        <v>192</v>
      </c>
      <c r="C97" s="2" t="s">
        <v>13</v>
      </c>
      <c r="D97" s="3">
        <v>45492</v>
      </c>
      <c r="E97">
        <v>131208</v>
      </c>
      <c r="F97">
        <v>663</v>
      </c>
      <c r="G97">
        <v>0</v>
      </c>
      <c r="H97" s="2"/>
    </row>
    <row r="98" spans="1:8" x14ac:dyDescent="0.25">
      <c r="A98" s="2" t="s">
        <v>193</v>
      </c>
      <c r="B98" s="2" t="s">
        <v>194</v>
      </c>
      <c r="C98" s="2" t="s">
        <v>25</v>
      </c>
      <c r="D98" s="3">
        <v>44472</v>
      </c>
      <c r="E98">
        <v>17413</v>
      </c>
      <c r="F98">
        <v>778</v>
      </c>
      <c r="G98">
        <v>128076</v>
      </c>
      <c r="H98" s="2"/>
    </row>
    <row r="99" spans="1:8" x14ac:dyDescent="0.25">
      <c r="A99" s="2" t="s">
        <v>195</v>
      </c>
      <c r="B99" s="2" t="s">
        <v>196</v>
      </c>
      <c r="C99" s="2" t="s">
        <v>25</v>
      </c>
      <c r="D99" s="3">
        <v>42587</v>
      </c>
      <c r="E99">
        <v>113650</v>
      </c>
      <c r="F99">
        <v>770</v>
      </c>
      <c r="G99">
        <v>163177</v>
      </c>
      <c r="H99" s="2"/>
    </row>
    <row r="100" spans="1:8" x14ac:dyDescent="0.25">
      <c r="A100" s="2" t="s">
        <v>197</v>
      </c>
      <c r="B100" s="2" t="s">
        <v>198</v>
      </c>
      <c r="C100" s="2" t="s">
        <v>13</v>
      </c>
      <c r="D100" s="3">
        <v>43608</v>
      </c>
      <c r="E100">
        <v>59500</v>
      </c>
      <c r="F100">
        <v>683</v>
      </c>
      <c r="G100">
        <v>0</v>
      </c>
      <c r="H100" s="2"/>
    </row>
    <row r="101" spans="1:8" x14ac:dyDescent="0.25">
      <c r="A101" s="2" t="s">
        <v>199</v>
      </c>
      <c r="B101" s="2" t="s">
        <v>78</v>
      </c>
      <c r="C101" s="2" t="s">
        <v>10</v>
      </c>
      <c r="D101" s="3">
        <v>45303</v>
      </c>
      <c r="E101">
        <v>346658</v>
      </c>
      <c r="F101">
        <v>716</v>
      </c>
      <c r="G101">
        <v>0</v>
      </c>
      <c r="H101" s="2"/>
    </row>
    <row r="102" spans="1:8" x14ac:dyDescent="0.25">
      <c r="A102" s="2" t="s">
        <v>200</v>
      </c>
      <c r="B102" s="2" t="s">
        <v>201</v>
      </c>
      <c r="C102" s="2" t="s">
        <v>10</v>
      </c>
      <c r="D102" s="3">
        <v>44544</v>
      </c>
      <c r="E102">
        <v>56358</v>
      </c>
      <c r="F102">
        <v>607</v>
      </c>
      <c r="G102">
        <v>0</v>
      </c>
      <c r="H102" s="2"/>
    </row>
    <row r="103" spans="1:8" x14ac:dyDescent="0.25">
      <c r="A103" s="2" t="s">
        <v>202</v>
      </c>
      <c r="B103" s="2" t="s">
        <v>203</v>
      </c>
      <c r="C103" s="2" t="s">
        <v>13</v>
      </c>
      <c r="D103" s="3">
        <v>43804</v>
      </c>
      <c r="E103">
        <v>66197</v>
      </c>
      <c r="F103">
        <v>666</v>
      </c>
      <c r="G103">
        <v>364014</v>
      </c>
      <c r="H103" s="2" t="s">
        <v>18</v>
      </c>
    </row>
    <row r="104" spans="1:8" x14ac:dyDescent="0.25">
      <c r="A104" s="2" t="s">
        <v>204</v>
      </c>
      <c r="B104" s="2" t="s">
        <v>205</v>
      </c>
      <c r="C104" s="2" t="s">
        <v>25</v>
      </c>
      <c r="D104" s="3">
        <v>43080</v>
      </c>
      <c r="E104">
        <v>493992</v>
      </c>
      <c r="F104">
        <v>300</v>
      </c>
      <c r="G104">
        <v>0</v>
      </c>
      <c r="H104" s="2" t="s">
        <v>39</v>
      </c>
    </row>
    <row r="105" spans="1:8" x14ac:dyDescent="0.25">
      <c r="A105" s="2" t="s">
        <v>206</v>
      </c>
      <c r="B105" s="2" t="s">
        <v>207</v>
      </c>
      <c r="C105" s="2" t="s">
        <v>10</v>
      </c>
      <c r="D105" s="3">
        <v>44834</v>
      </c>
      <c r="E105">
        <v>223861</v>
      </c>
      <c r="F105">
        <v>343</v>
      </c>
      <c r="G105">
        <v>0</v>
      </c>
      <c r="H105" s="2"/>
    </row>
    <row r="106" spans="1:8" x14ac:dyDescent="0.25">
      <c r="A106" s="2" t="s">
        <v>208</v>
      </c>
      <c r="B106" s="2" t="s">
        <v>209</v>
      </c>
      <c r="C106" s="2" t="s">
        <v>13</v>
      </c>
      <c r="D106" s="3">
        <v>45829</v>
      </c>
      <c r="E106">
        <v>223492</v>
      </c>
      <c r="F106">
        <v>397</v>
      </c>
      <c r="G106">
        <v>0</v>
      </c>
      <c r="H106" s="2"/>
    </row>
    <row r="107" spans="1:8" x14ac:dyDescent="0.25">
      <c r="A107" s="2" t="s">
        <v>210</v>
      </c>
      <c r="B107" s="2" t="s">
        <v>211</v>
      </c>
      <c r="C107" s="2" t="s">
        <v>10</v>
      </c>
      <c r="D107" s="3">
        <v>42332</v>
      </c>
      <c r="E107">
        <v>261545</v>
      </c>
      <c r="F107">
        <v>564</v>
      </c>
      <c r="G107">
        <v>0</v>
      </c>
      <c r="H107" s="2"/>
    </row>
    <row r="108" spans="1:8" x14ac:dyDescent="0.25">
      <c r="A108" s="2" t="s">
        <v>212</v>
      </c>
      <c r="B108" s="2" t="s">
        <v>213</v>
      </c>
      <c r="C108" s="2" t="s">
        <v>32</v>
      </c>
      <c r="D108" s="3">
        <v>43131</v>
      </c>
      <c r="E108">
        <v>426070</v>
      </c>
      <c r="F108">
        <v>439</v>
      </c>
      <c r="G108">
        <v>0</v>
      </c>
      <c r="H108" s="2"/>
    </row>
    <row r="109" spans="1:8" x14ac:dyDescent="0.25">
      <c r="A109" s="2" t="s">
        <v>214</v>
      </c>
      <c r="B109" s="2" t="s">
        <v>215</v>
      </c>
      <c r="C109" s="2" t="s">
        <v>13</v>
      </c>
      <c r="D109" s="3">
        <v>45023</v>
      </c>
      <c r="E109">
        <v>76240</v>
      </c>
      <c r="F109">
        <v>780</v>
      </c>
      <c r="G109">
        <v>0</v>
      </c>
      <c r="H109" s="2" t="s">
        <v>18</v>
      </c>
    </row>
    <row r="110" spans="1:8" x14ac:dyDescent="0.25">
      <c r="A110" s="2" t="s">
        <v>216</v>
      </c>
      <c r="B110" s="2" t="s">
        <v>217</v>
      </c>
      <c r="C110" s="2" t="s">
        <v>25</v>
      </c>
      <c r="D110" s="3">
        <v>45194</v>
      </c>
      <c r="E110">
        <v>235595</v>
      </c>
      <c r="F110">
        <v>536</v>
      </c>
      <c r="G110">
        <v>0</v>
      </c>
      <c r="H110" s="2" t="s">
        <v>18</v>
      </c>
    </row>
    <row r="111" spans="1:8" x14ac:dyDescent="0.25">
      <c r="A111" s="2" t="s">
        <v>218</v>
      </c>
      <c r="B111" s="2" t="s">
        <v>219</v>
      </c>
      <c r="C111" s="2" t="s">
        <v>13</v>
      </c>
      <c r="D111" s="3">
        <v>44192</v>
      </c>
      <c r="E111">
        <v>221135</v>
      </c>
      <c r="F111">
        <v>371</v>
      </c>
      <c r="G111">
        <v>0</v>
      </c>
      <c r="H111" s="2"/>
    </row>
    <row r="112" spans="1:8" x14ac:dyDescent="0.25">
      <c r="A112" s="2" t="s">
        <v>220</v>
      </c>
      <c r="B112" s="2" t="s">
        <v>221</v>
      </c>
      <c r="C112" s="2" t="s">
        <v>25</v>
      </c>
      <c r="D112" s="3">
        <v>44639</v>
      </c>
      <c r="E112">
        <v>278466</v>
      </c>
      <c r="F112">
        <v>489</v>
      </c>
      <c r="G112">
        <v>0</v>
      </c>
      <c r="H112" s="2"/>
    </row>
    <row r="113" spans="1:8" x14ac:dyDescent="0.25">
      <c r="A113" s="2" t="s">
        <v>222</v>
      </c>
      <c r="B113" s="2" t="s">
        <v>22</v>
      </c>
      <c r="C113" s="2" t="s">
        <v>25</v>
      </c>
      <c r="D113" s="3">
        <v>43077</v>
      </c>
      <c r="E113">
        <v>375197</v>
      </c>
      <c r="F113">
        <v>567</v>
      </c>
      <c r="G113">
        <v>0</v>
      </c>
      <c r="H113" s="2"/>
    </row>
    <row r="114" spans="1:8" x14ac:dyDescent="0.25">
      <c r="A114" s="2" t="s">
        <v>223</v>
      </c>
      <c r="B114" s="2" t="s">
        <v>224</v>
      </c>
      <c r="C114" s="2" t="s">
        <v>13</v>
      </c>
      <c r="D114" s="3">
        <v>43042</v>
      </c>
      <c r="E114">
        <v>6968</v>
      </c>
      <c r="F114">
        <v>620</v>
      </c>
      <c r="G114">
        <v>0</v>
      </c>
      <c r="H114" s="2"/>
    </row>
    <row r="115" spans="1:8" x14ac:dyDescent="0.25">
      <c r="A115" s="2" t="s">
        <v>225</v>
      </c>
      <c r="B115" s="2" t="s">
        <v>226</v>
      </c>
      <c r="C115" s="2" t="s">
        <v>13</v>
      </c>
      <c r="D115" s="3">
        <v>44873</v>
      </c>
      <c r="E115">
        <v>289662</v>
      </c>
      <c r="F115">
        <v>406</v>
      </c>
      <c r="G115">
        <v>0</v>
      </c>
      <c r="H115" s="2"/>
    </row>
    <row r="116" spans="1:8" x14ac:dyDescent="0.25">
      <c r="A116" s="2" t="s">
        <v>227</v>
      </c>
      <c r="B116" s="2" t="s">
        <v>228</v>
      </c>
      <c r="C116" s="2" t="s">
        <v>25</v>
      </c>
      <c r="D116" s="3">
        <v>45498</v>
      </c>
      <c r="E116">
        <v>314069</v>
      </c>
      <c r="F116">
        <v>531</v>
      </c>
      <c r="G116">
        <v>0</v>
      </c>
      <c r="H116" s="2"/>
    </row>
    <row r="117" spans="1:8" x14ac:dyDescent="0.25">
      <c r="A117" s="2" t="s">
        <v>229</v>
      </c>
      <c r="B117" s="2" t="s">
        <v>230</v>
      </c>
      <c r="C117" s="2" t="s">
        <v>10</v>
      </c>
      <c r="D117" s="3">
        <v>45114</v>
      </c>
      <c r="E117">
        <v>190920</v>
      </c>
      <c r="F117">
        <v>341</v>
      </c>
      <c r="G117">
        <v>0</v>
      </c>
      <c r="H117" s="2" t="s">
        <v>18</v>
      </c>
    </row>
    <row r="118" spans="1:8" x14ac:dyDescent="0.25">
      <c r="A118" s="2" t="s">
        <v>231</v>
      </c>
      <c r="B118" s="2" t="s">
        <v>232</v>
      </c>
      <c r="C118" s="2" t="s">
        <v>25</v>
      </c>
      <c r="D118" s="3">
        <v>42671</v>
      </c>
      <c r="E118">
        <v>374044</v>
      </c>
      <c r="F118">
        <v>438</v>
      </c>
      <c r="G118">
        <v>251983</v>
      </c>
      <c r="H118" s="2"/>
    </row>
    <row r="119" spans="1:8" x14ac:dyDescent="0.25">
      <c r="A119" s="2" t="s">
        <v>233</v>
      </c>
      <c r="B119" s="2" t="s">
        <v>213</v>
      </c>
      <c r="C119" s="2" t="s">
        <v>13</v>
      </c>
      <c r="D119" s="3">
        <v>44565</v>
      </c>
      <c r="E119">
        <v>355566</v>
      </c>
      <c r="F119">
        <v>572</v>
      </c>
      <c r="G119">
        <v>352236</v>
      </c>
      <c r="H119" s="2"/>
    </row>
    <row r="120" spans="1:8" x14ac:dyDescent="0.25">
      <c r="A120" s="2" t="s">
        <v>234</v>
      </c>
      <c r="B120" s="2" t="s">
        <v>235</v>
      </c>
      <c r="C120" s="2" t="s">
        <v>25</v>
      </c>
      <c r="D120" s="3">
        <v>44297</v>
      </c>
      <c r="E120">
        <v>263844</v>
      </c>
      <c r="F120">
        <v>780</v>
      </c>
      <c r="G120">
        <v>0</v>
      </c>
      <c r="H120" s="2"/>
    </row>
    <row r="121" spans="1:8" x14ac:dyDescent="0.25">
      <c r="A121" s="2" t="s">
        <v>236</v>
      </c>
      <c r="B121" s="2" t="s">
        <v>230</v>
      </c>
      <c r="C121" s="2" t="s">
        <v>25</v>
      </c>
      <c r="D121" s="3">
        <v>42512</v>
      </c>
      <c r="E121">
        <v>355926</v>
      </c>
      <c r="F121">
        <v>715</v>
      </c>
      <c r="G121">
        <v>0</v>
      </c>
      <c r="H121" s="2"/>
    </row>
    <row r="122" spans="1:8" x14ac:dyDescent="0.25">
      <c r="A122" s="2" t="s">
        <v>237</v>
      </c>
      <c r="B122" s="2" t="s">
        <v>238</v>
      </c>
      <c r="C122" s="2" t="s">
        <v>32</v>
      </c>
      <c r="D122" s="3">
        <v>44775</v>
      </c>
      <c r="E122">
        <v>232076</v>
      </c>
      <c r="F122">
        <v>805</v>
      </c>
      <c r="G122">
        <v>0</v>
      </c>
      <c r="H122" s="2"/>
    </row>
    <row r="123" spans="1:8" x14ac:dyDescent="0.25">
      <c r="A123" s="2" t="s">
        <v>239</v>
      </c>
      <c r="B123" s="2" t="s">
        <v>240</v>
      </c>
      <c r="C123" s="2" t="s">
        <v>13</v>
      </c>
      <c r="D123" s="3">
        <v>43515</v>
      </c>
      <c r="E123">
        <v>23199</v>
      </c>
      <c r="F123">
        <v>723</v>
      </c>
      <c r="G123">
        <v>0</v>
      </c>
      <c r="H123" s="2"/>
    </row>
    <row r="124" spans="1:8" x14ac:dyDescent="0.25">
      <c r="A124" s="2" t="s">
        <v>241</v>
      </c>
      <c r="B124" s="2" t="s">
        <v>242</v>
      </c>
      <c r="C124" s="2" t="s">
        <v>10</v>
      </c>
      <c r="D124" s="3">
        <v>45207</v>
      </c>
      <c r="E124">
        <v>437805</v>
      </c>
      <c r="F124">
        <v>706</v>
      </c>
      <c r="G124">
        <v>0</v>
      </c>
      <c r="H124" s="2" t="s">
        <v>39</v>
      </c>
    </row>
    <row r="125" spans="1:8" x14ac:dyDescent="0.25">
      <c r="A125" s="2" t="s">
        <v>243</v>
      </c>
      <c r="B125" s="2" t="s">
        <v>244</v>
      </c>
      <c r="C125" s="2" t="s">
        <v>10</v>
      </c>
      <c r="D125" s="3">
        <v>45343</v>
      </c>
      <c r="E125">
        <v>163187</v>
      </c>
      <c r="F125">
        <v>689</v>
      </c>
      <c r="G125">
        <v>497174</v>
      </c>
      <c r="H125" s="2"/>
    </row>
    <row r="126" spans="1:8" x14ac:dyDescent="0.25">
      <c r="A126" s="2" t="s">
        <v>245</v>
      </c>
      <c r="B126" s="2" t="s">
        <v>246</v>
      </c>
      <c r="C126" s="2" t="s">
        <v>13</v>
      </c>
      <c r="D126" s="3">
        <v>45708</v>
      </c>
      <c r="E126">
        <v>455150</v>
      </c>
      <c r="F126">
        <v>641</v>
      </c>
      <c r="G126">
        <v>93741</v>
      </c>
      <c r="H126" s="2" t="s">
        <v>18</v>
      </c>
    </row>
    <row r="127" spans="1:8" x14ac:dyDescent="0.25">
      <c r="A127" s="2" t="s">
        <v>247</v>
      </c>
      <c r="B127" s="2" t="s">
        <v>240</v>
      </c>
      <c r="C127" s="2" t="s">
        <v>10</v>
      </c>
      <c r="D127" s="3">
        <v>42587</v>
      </c>
      <c r="E127">
        <v>185388</v>
      </c>
      <c r="F127">
        <v>792</v>
      </c>
      <c r="G127">
        <v>0</v>
      </c>
      <c r="H127" s="2"/>
    </row>
    <row r="128" spans="1:8" x14ac:dyDescent="0.25">
      <c r="A128" s="2" t="s">
        <v>248</v>
      </c>
      <c r="B128" s="2" t="s">
        <v>249</v>
      </c>
      <c r="C128" s="2" t="s">
        <v>13</v>
      </c>
      <c r="D128" s="3">
        <v>44581</v>
      </c>
      <c r="E128">
        <v>5520</v>
      </c>
      <c r="F128">
        <v>491</v>
      </c>
      <c r="G128">
        <v>0</v>
      </c>
      <c r="H128" s="2" t="s">
        <v>59</v>
      </c>
    </row>
    <row r="129" spans="1:8" x14ac:dyDescent="0.25">
      <c r="A129" s="2" t="s">
        <v>250</v>
      </c>
      <c r="B129" s="2" t="s">
        <v>251</v>
      </c>
      <c r="C129" s="2" t="s">
        <v>25</v>
      </c>
      <c r="D129" s="3">
        <v>44456</v>
      </c>
      <c r="E129">
        <v>109814</v>
      </c>
      <c r="F129">
        <v>798</v>
      </c>
      <c r="G129">
        <v>0</v>
      </c>
      <c r="H129" s="2"/>
    </row>
    <row r="130" spans="1:8" x14ac:dyDescent="0.25">
      <c r="A130" s="2" t="s">
        <v>252</v>
      </c>
      <c r="B130" s="2" t="s">
        <v>253</v>
      </c>
      <c r="C130" s="2" t="s">
        <v>10</v>
      </c>
      <c r="D130" s="3">
        <v>43216</v>
      </c>
      <c r="E130">
        <v>167527</v>
      </c>
      <c r="F130">
        <v>532</v>
      </c>
      <c r="G130">
        <v>0</v>
      </c>
      <c r="H130" s="2"/>
    </row>
    <row r="131" spans="1:8" x14ac:dyDescent="0.25">
      <c r="A131" s="2" t="s">
        <v>254</v>
      </c>
      <c r="B131" s="2" t="s">
        <v>255</v>
      </c>
      <c r="C131" s="2" t="s">
        <v>13</v>
      </c>
      <c r="D131" s="3">
        <v>44377</v>
      </c>
      <c r="E131">
        <v>246356</v>
      </c>
      <c r="F131">
        <v>526</v>
      </c>
      <c r="G131">
        <v>0</v>
      </c>
      <c r="H131" s="2"/>
    </row>
    <row r="132" spans="1:8" x14ac:dyDescent="0.25">
      <c r="A132" s="2" t="s">
        <v>256</v>
      </c>
      <c r="B132" s="2" t="s">
        <v>116</v>
      </c>
      <c r="C132" s="2" t="s">
        <v>10</v>
      </c>
      <c r="D132" s="3">
        <v>45208</v>
      </c>
      <c r="E132">
        <v>479681</v>
      </c>
      <c r="F132">
        <v>670</v>
      </c>
      <c r="G132">
        <v>0</v>
      </c>
      <c r="H132" s="2"/>
    </row>
    <row r="133" spans="1:8" x14ac:dyDescent="0.25">
      <c r="A133" s="2" t="s">
        <v>257</v>
      </c>
      <c r="B133" s="2" t="s">
        <v>207</v>
      </c>
      <c r="C133" s="2" t="s">
        <v>10</v>
      </c>
      <c r="D133" s="3">
        <v>43403</v>
      </c>
      <c r="E133">
        <v>123364</v>
      </c>
      <c r="F133">
        <v>438</v>
      </c>
      <c r="G133">
        <v>0</v>
      </c>
      <c r="H133" s="2" t="s">
        <v>18</v>
      </c>
    </row>
    <row r="134" spans="1:8" x14ac:dyDescent="0.25">
      <c r="A134" s="2" t="s">
        <v>258</v>
      </c>
      <c r="B134" s="2" t="s">
        <v>259</v>
      </c>
      <c r="C134" s="2" t="s">
        <v>13</v>
      </c>
      <c r="D134" s="3">
        <v>43335</v>
      </c>
      <c r="E134">
        <v>434821</v>
      </c>
      <c r="F134">
        <v>448</v>
      </c>
      <c r="G134">
        <v>374653</v>
      </c>
      <c r="H134" s="2"/>
    </row>
    <row r="135" spans="1:8" x14ac:dyDescent="0.25">
      <c r="A135" s="2" t="s">
        <v>260</v>
      </c>
      <c r="B135" s="2" t="s">
        <v>235</v>
      </c>
      <c r="C135" s="2" t="s">
        <v>32</v>
      </c>
      <c r="D135" s="3">
        <v>43925</v>
      </c>
      <c r="E135">
        <v>14955</v>
      </c>
      <c r="F135">
        <v>414</v>
      </c>
      <c r="G135">
        <v>0</v>
      </c>
      <c r="H135" s="2"/>
    </row>
    <row r="136" spans="1:8" x14ac:dyDescent="0.25">
      <c r="A136" s="2" t="s">
        <v>261</v>
      </c>
      <c r="B136" s="2" t="s">
        <v>262</v>
      </c>
      <c r="C136" s="2" t="s">
        <v>32</v>
      </c>
      <c r="D136" s="3">
        <v>42807</v>
      </c>
      <c r="E136">
        <v>175121</v>
      </c>
      <c r="F136">
        <v>749</v>
      </c>
      <c r="G136">
        <v>0</v>
      </c>
      <c r="H136" s="2"/>
    </row>
    <row r="137" spans="1:8" x14ac:dyDescent="0.25">
      <c r="A137" s="2" t="s">
        <v>263</v>
      </c>
      <c r="B137" s="2" t="s">
        <v>264</v>
      </c>
      <c r="C137" s="2" t="s">
        <v>10</v>
      </c>
      <c r="D137" s="3">
        <v>45862</v>
      </c>
      <c r="E137">
        <v>144989</v>
      </c>
      <c r="F137">
        <v>362</v>
      </c>
      <c r="G137">
        <v>0</v>
      </c>
      <c r="H137" s="2" t="s">
        <v>39</v>
      </c>
    </row>
    <row r="138" spans="1:8" x14ac:dyDescent="0.25">
      <c r="A138" s="2" t="s">
        <v>265</v>
      </c>
      <c r="B138" s="2" t="s">
        <v>182</v>
      </c>
      <c r="C138" s="2" t="s">
        <v>13</v>
      </c>
      <c r="D138" s="3">
        <v>45365</v>
      </c>
      <c r="E138">
        <v>463509</v>
      </c>
      <c r="F138">
        <v>403</v>
      </c>
      <c r="G138">
        <v>111471</v>
      </c>
      <c r="H138" s="2"/>
    </row>
    <row r="139" spans="1:8" x14ac:dyDescent="0.25">
      <c r="A139" s="2" t="s">
        <v>266</v>
      </c>
      <c r="B139" s="2" t="s">
        <v>267</v>
      </c>
      <c r="C139" s="2" t="s">
        <v>25</v>
      </c>
      <c r="D139" s="3">
        <v>44990</v>
      </c>
      <c r="E139">
        <v>471797</v>
      </c>
      <c r="F139">
        <v>572</v>
      </c>
      <c r="G139">
        <v>0</v>
      </c>
      <c r="H139" s="2"/>
    </row>
    <row r="140" spans="1:8" x14ac:dyDescent="0.25">
      <c r="A140" s="2" t="s">
        <v>268</v>
      </c>
      <c r="B140" s="2" t="s">
        <v>269</v>
      </c>
      <c r="C140" s="2" t="s">
        <v>10</v>
      </c>
      <c r="D140" s="3">
        <v>42553</v>
      </c>
      <c r="E140">
        <v>250144</v>
      </c>
      <c r="F140">
        <v>305</v>
      </c>
      <c r="G140">
        <v>0</v>
      </c>
      <c r="H140" s="2" t="s">
        <v>18</v>
      </c>
    </row>
    <row r="141" spans="1:8" x14ac:dyDescent="0.25">
      <c r="A141" s="2" t="s">
        <v>270</v>
      </c>
      <c r="B141" s="2" t="s">
        <v>82</v>
      </c>
      <c r="C141" s="2" t="s">
        <v>13</v>
      </c>
      <c r="D141" s="3">
        <v>44660</v>
      </c>
      <c r="E141">
        <v>64925</v>
      </c>
      <c r="F141">
        <v>446</v>
      </c>
      <c r="G141">
        <v>0</v>
      </c>
      <c r="H141" s="2"/>
    </row>
    <row r="142" spans="1:8" x14ac:dyDescent="0.25">
      <c r="A142" s="2" t="s">
        <v>271</v>
      </c>
      <c r="B142" s="2" t="s">
        <v>51</v>
      </c>
      <c r="C142" s="2" t="s">
        <v>10</v>
      </c>
      <c r="D142" s="3">
        <v>44184</v>
      </c>
      <c r="E142">
        <v>369360</v>
      </c>
      <c r="F142">
        <v>483</v>
      </c>
      <c r="G142">
        <v>8681</v>
      </c>
      <c r="H142" s="2"/>
    </row>
    <row r="143" spans="1:8" x14ac:dyDescent="0.25">
      <c r="A143" s="2" t="s">
        <v>272</v>
      </c>
      <c r="B143" s="2" t="s">
        <v>273</v>
      </c>
      <c r="C143" s="2" t="s">
        <v>10</v>
      </c>
      <c r="D143" s="3">
        <v>43090</v>
      </c>
      <c r="E143">
        <v>70269</v>
      </c>
      <c r="F143">
        <v>327</v>
      </c>
      <c r="G143">
        <v>0</v>
      </c>
      <c r="H143" s="2"/>
    </row>
    <row r="144" spans="1:8" x14ac:dyDescent="0.25">
      <c r="A144" s="2" t="s">
        <v>274</v>
      </c>
      <c r="B144" s="2" t="s">
        <v>132</v>
      </c>
      <c r="C144" s="2" t="s">
        <v>10</v>
      </c>
      <c r="D144" s="3">
        <v>43224</v>
      </c>
      <c r="E144">
        <v>424170</v>
      </c>
      <c r="F144">
        <v>849</v>
      </c>
      <c r="G144">
        <v>0</v>
      </c>
      <c r="H144" s="2"/>
    </row>
    <row r="145" spans="1:8" x14ac:dyDescent="0.25">
      <c r="A145" s="2" t="s">
        <v>275</v>
      </c>
      <c r="B145" s="2" t="s">
        <v>221</v>
      </c>
      <c r="C145" s="2" t="s">
        <v>10</v>
      </c>
      <c r="D145" s="3">
        <v>45059</v>
      </c>
      <c r="E145">
        <v>489887</v>
      </c>
      <c r="F145">
        <v>418</v>
      </c>
      <c r="G145">
        <v>0</v>
      </c>
      <c r="H145" s="2"/>
    </row>
    <row r="146" spans="1:8" x14ac:dyDescent="0.25">
      <c r="A146" s="2" t="s">
        <v>276</v>
      </c>
      <c r="B146" s="2" t="s">
        <v>277</v>
      </c>
      <c r="C146" s="2" t="s">
        <v>10</v>
      </c>
      <c r="D146" s="3">
        <v>45879</v>
      </c>
      <c r="E146">
        <v>465833</v>
      </c>
      <c r="F146">
        <v>592</v>
      </c>
      <c r="G146">
        <v>0</v>
      </c>
      <c r="H146" s="2"/>
    </row>
    <row r="147" spans="1:8" x14ac:dyDescent="0.25">
      <c r="A147" s="2" t="s">
        <v>278</v>
      </c>
      <c r="B147" s="2" t="s">
        <v>279</v>
      </c>
      <c r="C147" s="2" t="s">
        <v>32</v>
      </c>
      <c r="D147" s="3">
        <v>44994</v>
      </c>
      <c r="E147">
        <v>303602</v>
      </c>
      <c r="F147">
        <v>670</v>
      </c>
      <c r="G147">
        <v>0</v>
      </c>
      <c r="H147" s="2"/>
    </row>
    <row r="148" spans="1:8" x14ac:dyDescent="0.25">
      <c r="A148" s="2" t="s">
        <v>280</v>
      </c>
      <c r="B148" s="2" t="s">
        <v>281</v>
      </c>
      <c r="C148" s="2" t="s">
        <v>13</v>
      </c>
      <c r="D148" s="3">
        <v>43698</v>
      </c>
      <c r="E148">
        <v>351181</v>
      </c>
      <c r="F148">
        <v>543</v>
      </c>
      <c r="G148">
        <v>0</v>
      </c>
      <c r="H148" s="2"/>
    </row>
    <row r="149" spans="1:8" x14ac:dyDescent="0.25">
      <c r="A149" s="2" t="s">
        <v>282</v>
      </c>
      <c r="B149" s="2" t="s">
        <v>283</v>
      </c>
      <c r="C149" s="2" t="s">
        <v>25</v>
      </c>
      <c r="D149" s="3">
        <v>43903</v>
      </c>
      <c r="E149">
        <v>152185</v>
      </c>
      <c r="F149">
        <v>517</v>
      </c>
      <c r="G149">
        <v>0</v>
      </c>
      <c r="H149" s="2"/>
    </row>
    <row r="150" spans="1:8" x14ac:dyDescent="0.25">
      <c r="A150" s="2" t="s">
        <v>284</v>
      </c>
      <c r="B150" s="2" t="s">
        <v>285</v>
      </c>
      <c r="C150" s="2" t="s">
        <v>25</v>
      </c>
      <c r="D150" s="3">
        <v>42302</v>
      </c>
      <c r="E150">
        <v>99977</v>
      </c>
      <c r="F150">
        <v>476</v>
      </c>
      <c r="G150">
        <v>0</v>
      </c>
      <c r="H150" s="2"/>
    </row>
    <row r="151" spans="1:8" x14ac:dyDescent="0.25">
      <c r="A151" s="2" t="s">
        <v>286</v>
      </c>
      <c r="B151" s="2" t="s">
        <v>287</v>
      </c>
      <c r="C151" s="2" t="s">
        <v>10</v>
      </c>
      <c r="D151" s="3">
        <v>44299</v>
      </c>
      <c r="E151">
        <v>483442</v>
      </c>
      <c r="F151">
        <v>598</v>
      </c>
      <c r="G151">
        <v>0</v>
      </c>
      <c r="H151" s="2"/>
    </row>
    <row r="152" spans="1:8" x14ac:dyDescent="0.25">
      <c r="A152" s="2" t="s">
        <v>288</v>
      </c>
      <c r="B152" s="2" t="s">
        <v>289</v>
      </c>
      <c r="C152" s="2" t="s">
        <v>10</v>
      </c>
      <c r="D152" s="3">
        <v>43931</v>
      </c>
      <c r="E152">
        <v>306083</v>
      </c>
      <c r="F152">
        <v>357</v>
      </c>
      <c r="G152">
        <v>0</v>
      </c>
      <c r="H152" s="2"/>
    </row>
    <row r="153" spans="1:8" x14ac:dyDescent="0.25">
      <c r="A153" s="2" t="s">
        <v>290</v>
      </c>
      <c r="B153" s="2" t="s">
        <v>291</v>
      </c>
      <c r="C153" s="2" t="s">
        <v>10</v>
      </c>
      <c r="D153" s="3">
        <v>44257</v>
      </c>
      <c r="E153">
        <v>29345</v>
      </c>
      <c r="F153">
        <v>568</v>
      </c>
      <c r="G153">
        <v>213886</v>
      </c>
      <c r="H153" s="2"/>
    </row>
    <row r="154" spans="1:8" x14ac:dyDescent="0.25">
      <c r="A154" s="2" t="s">
        <v>292</v>
      </c>
      <c r="B154" s="2" t="s">
        <v>98</v>
      </c>
      <c r="C154" s="2" t="s">
        <v>10</v>
      </c>
      <c r="D154" s="3">
        <v>44820</v>
      </c>
      <c r="E154">
        <v>255688</v>
      </c>
      <c r="F154">
        <v>607</v>
      </c>
      <c r="G154">
        <v>0</v>
      </c>
      <c r="H154" s="2"/>
    </row>
    <row r="155" spans="1:8" x14ac:dyDescent="0.25">
      <c r="A155" s="2" t="s">
        <v>293</v>
      </c>
      <c r="B155" s="2" t="s">
        <v>294</v>
      </c>
      <c r="C155" s="2" t="s">
        <v>25</v>
      </c>
      <c r="D155" s="3">
        <v>44895</v>
      </c>
      <c r="E155">
        <v>439529</v>
      </c>
      <c r="F155">
        <v>587</v>
      </c>
      <c r="G155">
        <v>0</v>
      </c>
      <c r="H155" s="2"/>
    </row>
    <row r="156" spans="1:8" x14ac:dyDescent="0.25">
      <c r="A156" s="2" t="s">
        <v>295</v>
      </c>
      <c r="B156" s="2" t="s">
        <v>182</v>
      </c>
      <c r="C156" s="2" t="s">
        <v>10</v>
      </c>
      <c r="D156" s="3">
        <v>44134</v>
      </c>
      <c r="E156">
        <v>372251</v>
      </c>
      <c r="F156">
        <v>404</v>
      </c>
      <c r="G156">
        <v>170837</v>
      </c>
      <c r="H156" s="2" t="s">
        <v>18</v>
      </c>
    </row>
    <row r="157" spans="1:8" x14ac:dyDescent="0.25">
      <c r="A157" s="2" t="s">
        <v>296</v>
      </c>
      <c r="B157" s="2" t="s">
        <v>297</v>
      </c>
      <c r="C157" s="2" t="s">
        <v>32</v>
      </c>
      <c r="D157" s="3">
        <v>43906</v>
      </c>
      <c r="E157">
        <v>384010</v>
      </c>
      <c r="F157">
        <v>527</v>
      </c>
      <c r="G157">
        <v>0</v>
      </c>
      <c r="H157" s="2"/>
    </row>
    <row r="158" spans="1:8" x14ac:dyDescent="0.25">
      <c r="A158" s="2" t="s">
        <v>298</v>
      </c>
      <c r="B158" s="2" t="s">
        <v>100</v>
      </c>
      <c r="C158" s="2" t="s">
        <v>13</v>
      </c>
      <c r="D158" s="3">
        <v>43354</v>
      </c>
      <c r="E158">
        <v>485581</v>
      </c>
      <c r="F158">
        <v>546</v>
      </c>
      <c r="G158">
        <v>0</v>
      </c>
      <c r="H158" s="2"/>
    </row>
    <row r="159" spans="1:8" x14ac:dyDescent="0.25">
      <c r="A159" s="2" t="s">
        <v>299</v>
      </c>
      <c r="B159" s="2" t="s">
        <v>300</v>
      </c>
      <c r="C159" s="2" t="s">
        <v>13</v>
      </c>
      <c r="D159" s="3">
        <v>43858</v>
      </c>
      <c r="E159">
        <v>261798</v>
      </c>
      <c r="F159">
        <v>793</v>
      </c>
      <c r="G159">
        <v>0</v>
      </c>
      <c r="H159" s="2" t="s">
        <v>18</v>
      </c>
    </row>
    <row r="160" spans="1:8" x14ac:dyDescent="0.25">
      <c r="A160" s="2" t="s">
        <v>301</v>
      </c>
      <c r="B160" s="2" t="s">
        <v>302</v>
      </c>
      <c r="C160" s="2" t="s">
        <v>10</v>
      </c>
      <c r="D160" s="3">
        <v>43956</v>
      </c>
      <c r="E160">
        <v>493814</v>
      </c>
      <c r="F160">
        <v>382</v>
      </c>
      <c r="G160">
        <v>192646</v>
      </c>
      <c r="H160" s="2"/>
    </row>
    <row r="161" spans="1:8" x14ac:dyDescent="0.25">
      <c r="A161" s="2" t="s">
        <v>303</v>
      </c>
      <c r="B161" s="2" t="s">
        <v>304</v>
      </c>
      <c r="C161" s="2" t="s">
        <v>13</v>
      </c>
      <c r="D161" s="3">
        <v>45218</v>
      </c>
      <c r="E161">
        <v>331310</v>
      </c>
      <c r="F161">
        <v>485</v>
      </c>
      <c r="G161">
        <v>0</v>
      </c>
      <c r="H161" s="2"/>
    </row>
    <row r="162" spans="1:8" x14ac:dyDescent="0.25">
      <c r="A162" s="2" t="s">
        <v>305</v>
      </c>
      <c r="B162" s="2" t="s">
        <v>306</v>
      </c>
      <c r="C162" s="2" t="s">
        <v>13</v>
      </c>
      <c r="D162" s="3">
        <v>42822</v>
      </c>
      <c r="E162">
        <v>178933</v>
      </c>
      <c r="F162">
        <v>551</v>
      </c>
      <c r="G162">
        <v>0</v>
      </c>
      <c r="H162" s="2"/>
    </row>
    <row r="163" spans="1:8" x14ac:dyDescent="0.25">
      <c r="A163" s="2" t="s">
        <v>307</v>
      </c>
      <c r="B163" s="2" t="s">
        <v>92</v>
      </c>
      <c r="C163" s="2" t="s">
        <v>13</v>
      </c>
      <c r="D163" s="3">
        <v>44193</v>
      </c>
      <c r="E163">
        <v>97406</v>
      </c>
      <c r="F163">
        <v>654</v>
      </c>
      <c r="G163">
        <v>0</v>
      </c>
      <c r="H163" s="2"/>
    </row>
    <row r="164" spans="1:8" x14ac:dyDescent="0.25">
      <c r="A164" s="2" t="s">
        <v>308</v>
      </c>
      <c r="B164" s="2" t="s">
        <v>309</v>
      </c>
      <c r="C164" s="2" t="s">
        <v>13</v>
      </c>
      <c r="D164" s="3">
        <v>45523</v>
      </c>
      <c r="E164">
        <v>311442</v>
      </c>
      <c r="F164">
        <v>509</v>
      </c>
      <c r="G164">
        <v>0</v>
      </c>
      <c r="H164" s="2"/>
    </row>
    <row r="165" spans="1:8" x14ac:dyDescent="0.25">
      <c r="A165" s="2" t="s">
        <v>310</v>
      </c>
      <c r="B165" s="2" t="s">
        <v>311</v>
      </c>
      <c r="C165" s="2" t="s">
        <v>13</v>
      </c>
      <c r="D165" s="3">
        <v>43705</v>
      </c>
      <c r="E165">
        <v>440437</v>
      </c>
      <c r="F165">
        <v>746</v>
      </c>
      <c r="G165">
        <v>499927</v>
      </c>
      <c r="H165" s="2" t="s">
        <v>39</v>
      </c>
    </row>
    <row r="166" spans="1:8" x14ac:dyDescent="0.25">
      <c r="A166" s="2" t="s">
        <v>312</v>
      </c>
      <c r="B166" s="2" t="s">
        <v>47</v>
      </c>
      <c r="C166" s="2" t="s">
        <v>32</v>
      </c>
      <c r="D166" s="3">
        <v>43936</v>
      </c>
      <c r="E166">
        <v>307086</v>
      </c>
      <c r="F166">
        <v>759</v>
      </c>
      <c r="G166">
        <v>0</v>
      </c>
      <c r="H166" s="2"/>
    </row>
    <row r="167" spans="1:8" x14ac:dyDescent="0.25">
      <c r="A167" s="2" t="s">
        <v>313</v>
      </c>
      <c r="B167" s="2" t="s">
        <v>314</v>
      </c>
      <c r="C167" s="2" t="s">
        <v>13</v>
      </c>
      <c r="D167" s="3">
        <v>43726</v>
      </c>
      <c r="E167">
        <v>3453</v>
      </c>
      <c r="F167">
        <v>771</v>
      </c>
      <c r="G167">
        <v>176635</v>
      </c>
      <c r="H167" s="2" t="s">
        <v>59</v>
      </c>
    </row>
    <row r="168" spans="1:8" x14ac:dyDescent="0.25">
      <c r="A168" s="2" t="s">
        <v>315</v>
      </c>
      <c r="B168" s="2" t="s">
        <v>174</v>
      </c>
      <c r="C168" s="2" t="s">
        <v>25</v>
      </c>
      <c r="D168" s="3">
        <v>45572</v>
      </c>
      <c r="E168">
        <v>102811</v>
      </c>
      <c r="F168">
        <v>669</v>
      </c>
      <c r="G168">
        <v>0</v>
      </c>
      <c r="H168" s="2" t="s">
        <v>18</v>
      </c>
    </row>
    <row r="169" spans="1:8" x14ac:dyDescent="0.25">
      <c r="A169" s="2" t="s">
        <v>316</v>
      </c>
      <c r="B169" s="2" t="s">
        <v>152</v>
      </c>
      <c r="C169" s="2" t="s">
        <v>25</v>
      </c>
      <c r="D169" s="3">
        <v>44565</v>
      </c>
      <c r="E169">
        <v>54935</v>
      </c>
      <c r="F169">
        <v>791</v>
      </c>
      <c r="G169">
        <v>0</v>
      </c>
      <c r="H169" s="2" t="s">
        <v>59</v>
      </c>
    </row>
    <row r="170" spans="1:8" x14ac:dyDescent="0.25">
      <c r="A170" s="2" t="s">
        <v>317</v>
      </c>
      <c r="B170" s="2" t="s">
        <v>318</v>
      </c>
      <c r="C170" s="2" t="s">
        <v>32</v>
      </c>
      <c r="D170" s="3">
        <v>43983</v>
      </c>
      <c r="E170">
        <v>384583</v>
      </c>
      <c r="F170">
        <v>436</v>
      </c>
      <c r="G170">
        <v>0</v>
      </c>
      <c r="H170" s="2"/>
    </row>
    <row r="171" spans="1:8" x14ac:dyDescent="0.25">
      <c r="A171" s="2" t="s">
        <v>319</v>
      </c>
      <c r="B171" s="2" t="s">
        <v>320</v>
      </c>
      <c r="C171" s="2" t="s">
        <v>13</v>
      </c>
      <c r="D171" s="3">
        <v>44907</v>
      </c>
      <c r="E171">
        <v>174442</v>
      </c>
      <c r="F171">
        <v>666</v>
      </c>
      <c r="G171">
        <v>397704</v>
      </c>
      <c r="H171" s="2"/>
    </row>
    <row r="172" spans="1:8" x14ac:dyDescent="0.25">
      <c r="A172" s="2" t="s">
        <v>321</v>
      </c>
      <c r="B172" s="2" t="s">
        <v>322</v>
      </c>
      <c r="C172" s="2" t="s">
        <v>25</v>
      </c>
      <c r="D172" s="3">
        <v>44201</v>
      </c>
      <c r="E172">
        <v>497148</v>
      </c>
      <c r="F172">
        <v>483</v>
      </c>
      <c r="G172">
        <v>0</v>
      </c>
      <c r="H172" s="2" t="s">
        <v>59</v>
      </c>
    </row>
    <row r="173" spans="1:8" x14ac:dyDescent="0.25">
      <c r="A173" s="2" t="s">
        <v>323</v>
      </c>
      <c r="B173" s="2" t="s">
        <v>324</v>
      </c>
      <c r="C173" s="2" t="s">
        <v>10</v>
      </c>
      <c r="D173" s="3">
        <v>43235</v>
      </c>
      <c r="E173">
        <v>270472</v>
      </c>
      <c r="F173">
        <v>586</v>
      </c>
      <c r="G173">
        <v>204519</v>
      </c>
      <c r="H173" s="2" t="s">
        <v>18</v>
      </c>
    </row>
    <row r="174" spans="1:8" x14ac:dyDescent="0.25">
      <c r="A174" s="2" t="s">
        <v>325</v>
      </c>
      <c r="B174" s="2" t="s">
        <v>326</v>
      </c>
      <c r="C174" s="2" t="s">
        <v>10</v>
      </c>
      <c r="D174" s="3">
        <v>43423</v>
      </c>
      <c r="E174">
        <v>15534</v>
      </c>
      <c r="F174">
        <v>771</v>
      </c>
      <c r="G174">
        <v>0</v>
      </c>
      <c r="H174" s="2"/>
    </row>
    <row r="175" spans="1:8" x14ac:dyDescent="0.25">
      <c r="A175" s="2" t="s">
        <v>327</v>
      </c>
      <c r="B175" s="2" t="s">
        <v>78</v>
      </c>
      <c r="C175" s="2" t="s">
        <v>10</v>
      </c>
      <c r="D175" s="3">
        <v>45000</v>
      </c>
      <c r="E175">
        <v>347424</v>
      </c>
      <c r="F175">
        <v>674</v>
      </c>
      <c r="G175">
        <v>0</v>
      </c>
      <c r="H175" s="2" t="s">
        <v>18</v>
      </c>
    </row>
    <row r="176" spans="1:8" x14ac:dyDescent="0.25">
      <c r="A176" s="2" t="s">
        <v>328</v>
      </c>
      <c r="B176" s="2" t="s">
        <v>329</v>
      </c>
      <c r="C176" s="2" t="s">
        <v>25</v>
      </c>
      <c r="D176" s="3">
        <v>43795</v>
      </c>
      <c r="E176">
        <v>478141</v>
      </c>
      <c r="F176">
        <v>836</v>
      </c>
      <c r="G176">
        <v>0</v>
      </c>
      <c r="H176" s="2" t="s">
        <v>18</v>
      </c>
    </row>
    <row r="177" spans="1:8" x14ac:dyDescent="0.25">
      <c r="A177" s="2" t="s">
        <v>330</v>
      </c>
      <c r="B177" s="2" t="s">
        <v>31</v>
      </c>
      <c r="C177" s="2" t="s">
        <v>13</v>
      </c>
      <c r="D177" s="3">
        <v>44383</v>
      </c>
      <c r="E177">
        <v>36320</v>
      </c>
      <c r="F177">
        <v>810</v>
      </c>
      <c r="G177">
        <v>0</v>
      </c>
      <c r="H177" s="2" t="s">
        <v>59</v>
      </c>
    </row>
    <row r="178" spans="1:8" x14ac:dyDescent="0.25">
      <c r="A178" s="2" t="s">
        <v>331</v>
      </c>
      <c r="B178" s="2" t="s">
        <v>285</v>
      </c>
      <c r="C178" s="2" t="s">
        <v>25</v>
      </c>
      <c r="D178" s="3">
        <v>44086</v>
      </c>
      <c r="E178">
        <v>49170</v>
      </c>
      <c r="F178">
        <v>549</v>
      </c>
      <c r="G178">
        <v>85730</v>
      </c>
      <c r="H178" s="2"/>
    </row>
    <row r="179" spans="1:8" x14ac:dyDescent="0.25">
      <c r="A179" s="2" t="s">
        <v>332</v>
      </c>
      <c r="B179" s="2" t="s">
        <v>333</v>
      </c>
      <c r="C179" s="2" t="s">
        <v>10</v>
      </c>
      <c r="D179" s="3">
        <v>43992</v>
      </c>
      <c r="E179">
        <v>100546</v>
      </c>
      <c r="F179">
        <v>809</v>
      </c>
      <c r="G179">
        <v>0</v>
      </c>
      <c r="H179" s="2"/>
    </row>
    <row r="180" spans="1:8" x14ac:dyDescent="0.25">
      <c r="A180" s="2" t="s">
        <v>334</v>
      </c>
      <c r="B180" s="2" t="s">
        <v>162</v>
      </c>
      <c r="C180" s="2" t="s">
        <v>25</v>
      </c>
      <c r="D180" s="3">
        <v>45378</v>
      </c>
      <c r="E180">
        <v>80201</v>
      </c>
      <c r="F180">
        <v>372</v>
      </c>
      <c r="G180">
        <v>242474</v>
      </c>
      <c r="H180" s="2"/>
    </row>
    <row r="181" spans="1:8" x14ac:dyDescent="0.25">
      <c r="A181" s="2" t="s">
        <v>335</v>
      </c>
      <c r="B181" s="2" t="s">
        <v>336</v>
      </c>
      <c r="C181" s="2" t="s">
        <v>32</v>
      </c>
      <c r="D181" s="3">
        <v>42494</v>
      </c>
      <c r="E181">
        <v>234473</v>
      </c>
      <c r="F181">
        <v>581</v>
      </c>
      <c r="G181">
        <v>295477</v>
      </c>
      <c r="H181" s="2"/>
    </row>
    <row r="182" spans="1:8" x14ac:dyDescent="0.25">
      <c r="A182" s="2" t="s">
        <v>337</v>
      </c>
      <c r="B182" s="2" t="s">
        <v>338</v>
      </c>
      <c r="C182" s="2" t="s">
        <v>13</v>
      </c>
      <c r="D182" s="3">
        <v>43493</v>
      </c>
      <c r="E182">
        <v>270784</v>
      </c>
      <c r="F182">
        <v>659</v>
      </c>
      <c r="G182">
        <v>0</v>
      </c>
      <c r="H182" s="2"/>
    </row>
    <row r="183" spans="1:8" x14ac:dyDescent="0.25">
      <c r="A183" s="2" t="s">
        <v>339</v>
      </c>
      <c r="B183" s="2" t="s">
        <v>340</v>
      </c>
      <c r="C183" s="2" t="s">
        <v>32</v>
      </c>
      <c r="D183" s="3">
        <v>42318</v>
      </c>
      <c r="E183">
        <v>231324</v>
      </c>
      <c r="F183">
        <v>309</v>
      </c>
      <c r="G183">
        <v>381565</v>
      </c>
      <c r="H183" s="2"/>
    </row>
    <row r="184" spans="1:8" x14ac:dyDescent="0.25">
      <c r="A184" s="2" t="s">
        <v>341</v>
      </c>
      <c r="B184" s="2" t="s">
        <v>168</v>
      </c>
      <c r="C184" s="2" t="s">
        <v>13</v>
      </c>
      <c r="D184" s="3">
        <v>43597</v>
      </c>
      <c r="E184">
        <v>484273</v>
      </c>
      <c r="F184">
        <v>510</v>
      </c>
      <c r="G184">
        <v>45870</v>
      </c>
      <c r="H184" s="2"/>
    </row>
    <row r="185" spans="1:8" x14ac:dyDescent="0.25">
      <c r="A185" s="2" t="s">
        <v>342</v>
      </c>
      <c r="B185" s="2" t="s">
        <v>309</v>
      </c>
      <c r="C185" s="2" t="s">
        <v>13</v>
      </c>
      <c r="D185" s="3">
        <v>43047</v>
      </c>
      <c r="E185">
        <v>161121</v>
      </c>
      <c r="F185">
        <v>451</v>
      </c>
      <c r="G185">
        <v>0</v>
      </c>
      <c r="H185" s="2"/>
    </row>
    <row r="186" spans="1:8" x14ac:dyDescent="0.25">
      <c r="A186" s="2" t="s">
        <v>343</v>
      </c>
      <c r="B186" s="2" t="s">
        <v>9</v>
      </c>
      <c r="C186" s="2" t="s">
        <v>13</v>
      </c>
      <c r="D186" s="3">
        <v>44094</v>
      </c>
      <c r="E186">
        <v>398834</v>
      </c>
      <c r="F186">
        <v>304</v>
      </c>
      <c r="G186">
        <v>0</v>
      </c>
      <c r="H186" s="2"/>
    </row>
    <row r="187" spans="1:8" x14ac:dyDescent="0.25">
      <c r="A187" s="2" t="s">
        <v>344</v>
      </c>
      <c r="B187" s="2" t="s">
        <v>150</v>
      </c>
      <c r="C187" s="2" t="s">
        <v>13</v>
      </c>
      <c r="D187" s="3">
        <v>42948</v>
      </c>
      <c r="E187">
        <v>233612</v>
      </c>
      <c r="F187">
        <v>494</v>
      </c>
      <c r="G187">
        <v>338245</v>
      </c>
      <c r="H187" s="2" t="s">
        <v>59</v>
      </c>
    </row>
    <row r="188" spans="1:8" x14ac:dyDescent="0.25">
      <c r="A188" s="2" t="s">
        <v>345</v>
      </c>
      <c r="B188" s="2" t="s">
        <v>346</v>
      </c>
      <c r="C188" s="2" t="s">
        <v>10</v>
      </c>
      <c r="D188" s="3">
        <v>44347</v>
      </c>
      <c r="E188">
        <v>187125</v>
      </c>
      <c r="F188">
        <v>582</v>
      </c>
      <c r="G188">
        <v>0</v>
      </c>
      <c r="H188" s="2"/>
    </row>
    <row r="189" spans="1:8" x14ac:dyDescent="0.25">
      <c r="A189" s="2" t="s">
        <v>347</v>
      </c>
      <c r="B189" s="2" t="s">
        <v>348</v>
      </c>
      <c r="C189" s="2" t="s">
        <v>13</v>
      </c>
      <c r="D189" s="3">
        <v>45200</v>
      </c>
      <c r="E189">
        <v>395136</v>
      </c>
      <c r="F189">
        <v>763</v>
      </c>
      <c r="G189">
        <v>0</v>
      </c>
      <c r="H189" s="2"/>
    </row>
    <row r="190" spans="1:8" x14ac:dyDescent="0.25">
      <c r="A190" s="2" t="s">
        <v>349</v>
      </c>
      <c r="B190" s="2" t="s">
        <v>350</v>
      </c>
      <c r="C190" s="2" t="s">
        <v>13</v>
      </c>
      <c r="D190" s="3">
        <v>44155</v>
      </c>
      <c r="E190">
        <v>306081</v>
      </c>
      <c r="F190">
        <v>412</v>
      </c>
      <c r="G190">
        <v>0</v>
      </c>
      <c r="H190" s="2"/>
    </row>
    <row r="191" spans="1:8" x14ac:dyDescent="0.25">
      <c r="A191" s="2" t="s">
        <v>351</v>
      </c>
      <c r="B191" s="2" t="s">
        <v>324</v>
      </c>
      <c r="C191" s="2" t="s">
        <v>32</v>
      </c>
      <c r="D191" s="3">
        <v>43432</v>
      </c>
      <c r="E191">
        <v>200796</v>
      </c>
      <c r="F191">
        <v>570</v>
      </c>
      <c r="G191">
        <v>0</v>
      </c>
      <c r="H191" s="2"/>
    </row>
    <row r="192" spans="1:8" x14ac:dyDescent="0.25">
      <c r="A192" s="2" t="s">
        <v>352</v>
      </c>
      <c r="B192" s="2" t="s">
        <v>353</v>
      </c>
      <c r="C192" s="2" t="s">
        <v>25</v>
      </c>
      <c r="D192" s="3">
        <v>43266</v>
      </c>
      <c r="E192">
        <v>143279</v>
      </c>
      <c r="F192">
        <v>462</v>
      </c>
      <c r="G192">
        <v>210232</v>
      </c>
      <c r="H192" s="2"/>
    </row>
    <row r="193" spans="1:8" x14ac:dyDescent="0.25">
      <c r="A193" s="2" t="s">
        <v>354</v>
      </c>
      <c r="B193" s="2" t="s">
        <v>355</v>
      </c>
      <c r="C193" s="2" t="s">
        <v>25</v>
      </c>
      <c r="D193" s="3">
        <v>44292</v>
      </c>
      <c r="E193">
        <v>196846</v>
      </c>
      <c r="F193">
        <v>759</v>
      </c>
      <c r="G193">
        <v>0</v>
      </c>
      <c r="H193" s="2" t="s">
        <v>18</v>
      </c>
    </row>
    <row r="194" spans="1:8" x14ac:dyDescent="0.25">
      <c r="A194" s="2" t="s">
        <v>356</v>
      </c>
      <c r="B194" s="2" t="s">
        <v>357</v>
      </c>
      <c r="C194" s="2" t="s">
        <v>25</v>
      </c>
      <c r="D194" s="3">
        <v>42417</v>
      </c>
      <c r="E194">
        <v>164044</v>
      </c>
      <c r="F194">
        <v>404</v>
      </c>
      <c r="G194">
        <v>0</v>
      </c>
      <c r="H194" s="2"/>
    </row>
    <row r="195" spans="1:8" x14ac:dyDescent="0.25">
      <c r="A195" s="2" t="s">
        <v>358</v>
      </c>
      <c r="B195" s="2" t="s">
        <v>84</v>
      </c>
      <c r="C195" s="2" t="s">
        <v>25</v>
      </c>
      <c r="D195" s="3">
        <v>44176</v>
      </c>
      <c r="E195">
        <v>404015</v>
      </c>
      <c r="F195">
        <v>581</v>
      </c>
      <c r="G195">
        <v>0</v>
      </c>
      <c r="H195" s="2"/>
    </row>
    <row r="196" spans="1:8" x14ac:dyDescent="0.25">
      <c r="A196" s="2" t="s">
        <v>359</v>
      </c>
      <c r="B196" s="2" t="s">
        <v>289</v>
      </c>
      <c r="C196" s="2" t="s">
        <v>13</v>
      </c>
      <c r="D196" s="3">
        <v>44739</v>
      </c>
      <c r="E196">
        <v>202160</v>
      </c>
      <c r="F196">
        <v>461</v>
      </c>
      <c r="G196">
        <v>0</v>
      </c>
      <c r="H196" s="2"/>
    </row>
    <row r="197" spans="1:8" x14ac:dyDescent="0.25">
      <c r="A197" s="2" t="s">
        <v>360</v>
      </c>
      <c r="B197" s="2" t="s">
        <v>36</v>
      </c>
      <c r="C197" s="2" t="s">
        <v>13</v>
      </c>
      <c r="D197" s="3">
        <v>42688</v>
      </c>
      <c r="E197">
        <v>422132</v>
      </c>
      <c r="F197">
        <v>650</v>
      </c>
      <c r="G197">
        <v>0</v>
      </c>
      <c r="H197" s="2"/>
    </row>
    <row r="198" spans="1:8" x14ac:dyDescent="0.25">
      <c r="A198" s="2" t="s">
        <v>361</v>
      </c>
      <c r="B198" s="2" t="s">
        <v>287</v>
      </c>
      <c r="C198" s="2" t="s">
        <v>25</v>
      </c>
      <c r="D198" s="3">
        <v>43513</v>
      </c>
      <c r="E198">
        <v>70463</v>
      </c>
      <c r="F198">
        <v>733</v>
      </c>
      <c r="G198">
        <v>0</v>
      </c>
      <c r="H198" s="2"/>
    </row>
    <row r="199" spans="1:8" x14ac:dyDescent="0.25">
      <c r="A199" s="2" t="s">
        <v>362</v>
      </c>
      <c r="B199" s="2" t="s">
        <v>363</v>
      </c>
      <c r="C199" s="2" t="s">
        <v>13</v>
      </c>
      <c r="D199" s="3">
        <v>44622</v>
      </c>
      <c r="E199">
        <v>93500</v>
      </c>
      <c r="F199">
        <v>439</v>
      </c>
      <c r="G199">
        <v>0</v>
      </c>
      <c r="H199" s="2"/>
    </row>
    <row r="200" spans="1:8" x14ac:dyDescent="0.25">
      <c r="A200" s="2" t="s">
        <v>364</v>
      </c>
      <c r="B200" s="2" t="s">
        <v>365</v>
      </c>
      <c r="C200" s="2" t="s">
        <v>10</v>
      </c>
      <c r="D200" s="3">
        <v>43754</v>
      </c>
      <c r="E200">
        <v>207772</v>
      </c>
      <c r="F200">
        <v>770</v>
      </c>
      <c r="G200">
        <v>0</v>
      </c>
      <c r="H200" s="2"/>
    </row>
    <row r="201" spans="1:8" x14ac:dyDescent="0.25">
      <c r="A201" s="2" t="s">
        <v>366</v>
      </c>
      <c r="B201" s="2" t="s">
        <v>367</v>
      </c>
      <c r="C201" s="2" t="s">
        <v>13</v>
      </c>
      <c r="D201" s="3">
        <v>44662</v>
      </c>
      <c r="E201">
        <v>37158</v>
      </c>
      <c r="F201">
        <v>431</v>
      </c>
      <c r="G201">
        <v>382078</v>
      </c>
      <c r="H201" s="2" t="s">
        <v>59</v>
      </c>
    </row>
    <row r="202" spans="1:8" x14ac:dyDescent="0.25">
      <c r="A202" s="2" t="s">
        <v>368</v>
      </c>
      <c r="B202" s="2" t="s">
        <v>369</v>
      </c>
      <c r="C202" s="2" t="s">
        <v>13</v>
      </c>
      <c r="D202" s="3">
        <v>43603</v>
      </c>
      <c r="E202">
        <v>84607</v>
      </c>
      <c r="F202">
        <v>386</v>
      </c>
      <c r="G202">
        <v>138501</v>
      </c>
      <c r="H202" s="2"/>
    </row>
    <row r="203" spans="1:8" x14ac:dyDescent="0.25">
      <c r="A203" s="2" t="s">
        <v>370</v>
      </c>
      <c r="B203" s="2" t="s">
        <v>371</v>
      </c>
      <c r="C203" s="2" t="s">
        <v>10</v>
      </c>
      <c r="D203" s="3">
        <v>44322</v>
      </c>
      <c r="E203">
        <v>381783</v>
      </c>
      <c r="F203">
        <v>482</v>
      </c>
      <c r="G203">
        <v>0</v>
      </c>
      <c r="H203" s="2"/>
    </row>
    <row r="204" spans="1:8" x14ac:dyDescent="0.25">
      <c r="A204" s="2" t="s">
        <v>372</v>
      </c>
      <c r="B204" s="2" t="s">
        <v>373</v>
      </c>
      <c r="C204" s="2" t="s">
        <v>10</v>
      </c>
      <c r="D204" s="3">
        <v>42841</v>
      </c>
      <c r="E204">
        <v>245017</v>
      </c>
      <c r="F204">
        <v>667</v>
      </c>
      <c r="G204">
        <v>0</v>
      </c>
      <c r="H204" s="2"/>
    </row>
    <row r="205" spans="1:8" x14ac:dyDescent="0.25">
      <c r="A205" s="2" t="s">
        <v>374</v>
      </c>
      <c r="B205" s="2" t="s">
        <v>22</v>
      </c>
      <c r="C205" s="2" t="s">
        <v>10</v>
      </c>
      <c r="D205" s="3">
        <v>45602</v>
      </c>
      <c r="E205">
        <v>333840</v>
      </c>
      <c r="F205">
        <v>428</v>
      </c>
      <c r="G205">
        <v>0</v>
      </c>
      <c r="H205" s="2"/>
    </row>
    <row r="206" spans="1:8" x14ac:dyDescent="0.25">
      <c r="A206" s="2" t="s">
        <v>375</v>
      </c>
      <c r="B206" s="2" t="s">
        <v>122</v>
      </c>
      <c r="C206" s="2" t="s">
        <v>10</v>
      </c>
      <c r="D206" s="3">
        <v>44544</v>
      </c>
      <c r="E206">
        <v>323654</v>
      </c>
      <c r="F206">
        <v>545</v>
      </c>
      <c r="G206">
        <v>0</v>
      </c>
      <c r="H206" s="2"/>
    </row>
    <row r="207" spans="1:8" x14ac:dyDescent="0.25">
      <c r="A207" s="2" t="s">
        <v>376</v>
      </c>
      <c r="B207" s="2" t="s">
        <v>122</v>
      </c>
      <c r="C207" s="2" t="s">
        <v>13</v>
      </c>
      <c r="D207" s="3">
        <v>43513</v>
      </c>
      <c r="E207">
        <v>120076</v>
      </c>
      <c r="F207">
        <v>677</v>
      </c>
      <c r="G207">
        <v>0</v>
      </c>
      <c r="H207" s="2"/>
    </row>
    <row r="208" spans="1:8" x14ac:dyDescent="0.25">
      <c r="A208" s="2" t="s">
        <v>377</v>
      </c>
      <c r="B208" s="2" t="s">
        <v>378</v>
      </c>
      <c r="C208" s="2" t="s">
        <v>13</v>
      </c>
      <c r="D208" s="3">
        <v>45855</v>
      </c>
      <c r="E208">
        <v>58692</v>
      </c>
      <c r="F208">
        <v>448</v>
      </c>
      <c r="G208">
        <v>204215</v>
      </c>
      <c r="H208" s="2"/>
    </row>
    <row r="209" spans="1:8" x14ac:dyDescent="0.25">
      <c r="A209" s="2" t="s">
        <v>379</v>
      </c>
      <c r="B209" s="2" t="s">
        <v>380</v>
      </c>
      <c r="C209" s="2" t="s">
        <v>25</v>
      </c>
      <c r="D209" s="3">
        <v>43587</v>
      </c>
      <c r="E209">
        <v>130841</v>
      </c>
      <c r="F209">
        <v>732</v>
      </c>
      <c r="G209">
        <v>0</v>
      </c>
      <c r="H209" s="2"/>
    </row>
    <row r="210" spans="1:8" x14ac:dyDescent="0.25">
      <c r="A210" s="2" t="s">
        <v>381</v>
      </c>
      <c r="B210" s="2" t="s">
        <v>382</v>
      </c>
      <c r="C210" s="2" t="s">
        <v>10</v>
      </c>
      <c r="D210" s="3">
        <v>42633</v>
      </c>
      <c r="E210">
        <v>192816</v>
      </c>
      <c r="F210">
        <v>768</v>
      </c>
      <c r="G210">
        <v>371378</v>
      </c>
      <c r="H210" s="2"/>
    </row>
    <row r="211" spans="1:8" x14ac:dyDescent="0.25">
      <c r="A211" s="2" t="s">
        <v>383</v>
      </c>
      <c r="B211" s="2" t="s">
        <v>384</v>
      </c>
      <c r="C211" s="2" t="s">
        <v>13</v>
      </c>
      <c r="D211" s="3">
        <v>43962</v>
      </c>
      <c r="E211">
        <v>277954</v>
      </c>
      <c r="F211">
        <v>745</v>
      </c>
      <c r="G211">
        <v>0</v>
      </c>
      <c r="H211" s="2"/>
    </row>
    <row r="212" spans="1:8" x14ac:dyDescent="0.25">
      <c r="A212" s="2" t="s">
        <v>385</v>
      </c>
      <c r="B212" s="2" t="s">
        <v>386</v>
      </c>
      <c r="C212" s="2" t="s">
        <v>25</v>
      </c>
      <c r="D212" s="3">
        <v>45782</v>
      </c>
      <c r="E212">
        <v>398342</v>
      </c>
      <c r="F212">
        <v>780</v>
      </c>
      <c r="G212">
        <v>0</v>
      </c>
      <c r="H212" s="2" t="s">
        <v>18</v>
      </c>
    </row>
    <row r="213" spans="1:8" x14ac:dyDescent="0.25">
      <c r="A213" s="2" t="s">
        <v>387</v>
      </c>
      <c r="B213" s="2" t="s">
        <v>388</v>
      </c>
      <c r="C213" s="2" t="s">
        <v>13</v>
      </c>
      <c r="D213" s="3">
        <v>43801</v>
      </c>
      <c r="E213">
        <v>161081</v>
      </c>
      <c r="F213">
        <v>593</v>
      </c>
      <c r="G213">
        <v>0</v>
      </c>
      <c r="H213" s="2"/>
    </row>
    <row r="214" spans="1:8" x14ac:dyDescent="0.25">
      <c r="A214" s="2" t="s">
        <v>389</v>
      </c>
      <c r="B214" s="2" t="s">
        <v>369</v>
      </c>
      <c r="C214" s="2" t="s">
        <v>10</v>
      </c>
      <c r="D214" s="3">
        <v>45661</v>
      </c>
      <c r="E214">
        <v>492336</v>
      </c>
      <c r="F214">
        <v>442</v>
      </c>
      <c r="G214">
        <v>0</v>
      </c>
      <c r="H214" s="2"/>
    </row>
    <row r="215" spans="1:8" x14ac:dyDescent="0.25">
      <c r="A215" s="2" t="s">
        <v>390</v>
      </c>
      <c r="B215" s="2" t="s">
        <v>391</v>
      </c>
      <c r="C215" s="2" t="s">
        <v>13</v>
      </c>
      <c r="D215" s="3">
        <v>43431</v>
      </c>
      <c r="E215">
        <v>111718</v>
      </c>
      <c r="F215">
        <v>549</v>
      </c>
      <c r="G215">
        <v>429315</v>
      </c>
      <c r="H215" s="2"/>
    </row>
    <row r="216" spans="1:8" x14ac:dyDescent="0.25">
      <c r="A216" s="2" t="s">
        <v>392</v>
      </c>
      <c r="B216" s="2" t="s">
        <v>393</v>
      </c>
      <c r="C216" s="2" t="s">
        <v>25</v>
      </c>
      <c r="D216" s="3">
        <v>43732</v>
      </c>
      <c r="E216">
        <v>353076</v>
      </c>
      <c r="F216">
        <v>601</v>
      </c>
      <c r="G216">
        <v>0</v>
      </c>
      <c r="H216" s="2" t="s">
        <v>59</v>
      </c>
    </row>
    <row r="217" spans="1:8" x14ac:dyDescent="0.25">
      <c r="A217" s="2" t="s">
        <v>394</v>
      </c>
      <c r="B217" s="2" t="s">
        <v>395</v>
      </c>
      <c r="C217" s="2" t="s">
        <v>10</v>
      </c>
      <c r="D217" s="3">
        <v>44653</v>
      </c>
      <c r="E217">
        <v>192</v>
      </c>
      <c r="F217">
        <v>324</v>
      </c>
      <c r="G217">
        <v>0</v>
      </c>
      <c r="H217" s="2"/>
    </row>
    <row r="218" spans="1:8" x14ac:dyDescent="0.25">
      <c r="A218" s="2" t="s">
        <v>396</v>
      </c>
      <c r="B218" s="2" t="s">
        <v>397</v>
      </c>
      <c r="C218" s="2" t="s">
        <v>13</v>
      </c>
      <c r="D218" s="3">
        <v>43736</v>
      </c>
      <c r="E218">
        <v>247536</v>
      </c>
      <c r="F218">
        <v>369</v>
      </c>
      <c r="G218">
        <v>0</v>
      </c>
      <c r="H218" s="2"/>
    </row>
    <row r="219" spans="1:8" x14ac:dyDescent="0.25">
      <c r="A219" s="2" t="s">
        <v>398</v>
      </c>
      <c r="B219" s="2" t="s">
        <v>399</v>
      </c>
      <c r="C219" s="2" t="s">
        <v>25</v>
      </c>
      <c r="D219" s="3">
        <v>42559</v>
      </c>
      <c r="E219">
        <v>36413</v>
      </c>
      <c r="F219">
        <v>411</v>
      </c>
      <c r="G219">
        <v>0</v>
      </c>
      <c r="H219" s="2"/>
    </row>
    <row r="220" spans="1:8" x14ac:dyDescent="0.25">
      <c r="A220" s="2" t="s">
        <v>400</v>
      </c>
      <c r="B220" s="2" t="s">
        <v>88</v>
      </c>
      <c r="C220" s="2" t="s">
        <v>10</v>
      </c>
      <c r="D220" s="3">
        <v>45547</v>
      </c>
      <c r="E220">
        <v>143888</v>
      </c>
      <c r="F220">
        <v>663</v>
      </c>
      <c r="G220">
        <v>0</v>
      </c>
      <c r="H220" s="2"/>
    </row>
    <row r="221" spans="1:8" x14ac:dyDescent="0.25">
      <c r="A221" s="2" t="s">
        <v>401</v>
      </c>
      <c r="B221" s="2" t="s">
        <v>395</v>
      </c>
      <c r="C221" s="2" t="s">
        <v>13</v>
      </c>
      <c r="D221" s="3">
        <v>45614</v>
      </c>
      <c r="E221">
        <v>39082</v>
      </c>
      <c r="F221">
        <v>602</v>
      </c>
      <c r="G221">
        <v>0</v>
      </c>
      <c r="H221" s="2"/>
    </row>
    <row r="222" spans="1:8" x14ac:dyDescent="0.25">
      <c r="A222" s="2" t="s">
        <v>402</v>
      </c>
      <c r="B222" s="2" t="s">
        <v>403</v>
      </c>
      <c r="C222" s="2" t="s">
        <v>13</v>
      </c>
      <c r="D222" s="3">
        <v>42337</v>
      </c>
      <c r="E222">
        <v>327192</v>
      </c>
      <c r="F222">
        <v>770</v>
      </c>
      <c r="G222">
        <v>0</v>
      </c>
      <c r="H222" s="2"/>
    </row>
    <row r="223" spans="1:8" x14ac:dyDescent="0.25">
      <c r="A223" s="2" t="s">
        <v>404</v>
      </c>
      <c r="B223" s="2" t="s">
        <v>405</v>
      </c>
      <c r="C223" s="2" t="s">
        <v>13</v>
      </c>
      <c r="D223" s="3">
        <v>43059</v>
      </c>
      <c r="E223">
        <v>123130</v>
      </c>
      <c r="F223">
        <v>390</v>
      </c>
      <c r="G223">
        <v>0</v>
      </c>
      <c r="H223" s="2" t="s">
        <v>59</v>
      </c>
    </row>
    <row r="224" spans="1:8" x14ac:dyDescent="0.25">
      <c r="A224" s="2" t="s">
        <v>406</v>
      </c>
      <c r="B224" s="2" t="s">
        <v>350</v>
      </c>
      <c r="C224" s="2" t="s">
        <v>13</v>
      </c>
      <c r="D224" s="3">
        <v>42891</v>
      </c>
      <c r="E224">
        <v>50940</v>
      </c>
      <c r="F224">
        <v>829</v>
      </c>
      <c r="G224">
        <v>0</v>
      </c>
      <c r="H224" s="2"/>
    </row>
    <row r="225" spans="1:8" x14ac:dyDescent="0.25">
      <c r="A225" s="2" t="s">
        <v>407</v>
      </c>
      <c r="B225" s="2" t="s">
        <v>408</v>
      </c>
      <c r="C225" s="2" t="s">
        <v>10</v>
      </c>
      <c r="D225" s="3">
        <v>42503</v>
      </c>
      <c r="E225">
        <v>163202</v>
      </c>
      <c r="F225">
        <v>491</v>
      </c>
      <c r="G225">
        <v>0</v>
      </c>
      <c r="H225" s="2"/>
    </row>
    <row r="226" spans="1:8" x14ac:dyDescent="0.25">
      <c r="A226" s="2" t="s">
        <v>409</v>
      </c>
      <c r="B226" s="2" t="s">
        <v>410</v>
      </c>
      <c r="C226" s="2" t="s">
        <v>25</v>
      </c>
      <c r="D226" s="3">
        <v>44739</v>
      </c>
      <c r="E226">
        <v>40142</v>
      </c>
      <c r="F226">
        <v>541</v>
      </c>
      <c r="G226">
        <v>0</v>
      </c>
      <c r="H226" s="2" t="s">
        <v>59</v>
      </c>
    </row>
    <row r="227" spans="1:8" x14ac:dyDescent="0.25">
      <c r="A227" s="2" t="s">
        <v>411</v>
      </c>
      <c r="B227" s="2" t="s">
        <v>412</v>
      </c>
      <c r="C227" s="2" t="s">
        <v>10</v>
      </c>
      <c r="D227" s="3">
        <v>42645</v>
      </c>
      <c r="E227">
        <v>36468</v>
      </c>
      <c r="F227">
        <v>437</v>
      </c>
      <c r="G227">
        <v>0</v>
      </c>
      <c r="H227" s="2"/>
    </row>
    <row r="228" spans="1:8" x14ac:dyDescent="0.25">
      <c r="A228" s="2" t="s">
        <v>413</v>
      </c>
      <c r="B228" s="2" t="s">
        <v>414</v>
      </c>
      <c r="C228" s="2" t="s">
        <v>13</v>
      </c>
      <c r="D228" s="3">
        <v>42526</v>
      </c>
      <c r="E228">
        <v>423914</v>
      </c>
      <c r="F228">
        <v>644</v>
      </c>
      <c r="G228">
        <v>0</v>
      </c>
      <c r="H228" s="2"/>
    </row>
    <row r="229" spans="1:8" x14ac:dyDescent="0.25">
      <c r="A229" s="2" t="s">
        <v>415</v>
      </c>
      <c r="B229" s="2" t="s">
        <v>217</v>
      </c>
      <c r="C229" s="2" t="s">
        <v>13</v>
      </c>
      <c r="D229" s="3">
        <v>45618</v>
      </c>
      <c r="E229">
        <v>141727</v>
      </c>
      <c r="F229">
        <v>479</v>
      </c>
      <c r="G229">
        <v>0</v>
      </c>
      <c r="H229" s="2"/>
    </row>
    <row r="230" spans="1:8" x14ac:dyDescent="0.25">
      <c r="A230" s="2" t="s">
        <v>416</v>
      </c>
      <c r="B230" s="2" t="s">
        <v>417</v>
      </c>
      <c r="C230" s="2" t="s">
        <v>13</v>
      </c>
      <c r="D230" s="3">
        <v>44996</v>
      </c>
      <c r="E230">
        <v>178969</v>
      </c>
      <c r="F230">
        <v>802</v>
      </c>
      <c r="G230">
        <v>102493</v>
      </c>
      <c r="H230" s="2"/>
    </row>
    <row r="231" spans="1:8" x14ac:dyDescent="0.25">
      <c r="A231" s="2" t="s">
        <v>418</v>
      </c>
      <c r="B231" s="2" t="s">
        <v>405</v>
      </c>
      <c r="C231" s="2" t="s">
        <v>10</v>
      </c>
      <c r="D231" s="3">
        <v>43399</v>
      </c>
      <c r="E231">
        <v>423291</v>
      </c>
      <c r="F231">
        <v>502</v>
      </c>
      <c r="G231">
        <v>0</v>
      </c>
      <c r="H231" s="2"/>
    </row>
    <row r="232" spans="1:8" x14ac:dyDescent="0.25">
      <c r="A232" s="2" t="s">
        <v>419</v>
      </c>
      <c r="B232" s="2" t="s">
        <v>395</v>
      </c>
      <c r="C232" s="2" t="s">
        <v>25</v>
      </c>
      <c r="D232" s="3">
        <v>45105</v>
      </c>
      <c r="E232">
        <v>402575</v>
      </c>
      <c r="F232">
        <v>491</v>
      </c>
      <c r="G232">
        <v>0</v>
      </c>
      <c r="H232" s="2" t="s">
        <v>18</v>
      </c>
    </row>
    <row r="233" spans="1:8" x14ac:dyDescent="0.25">
      <c r="A233" s="2" t="s">
        <v>420</v>
      </c>
      <c r="B233" s="2" t="s">
        <v>421</v>
      </c>
      <c r="C233" s="2" t="s">
        <v>13</v>
      </c>
      <c r="D233" s="3">
        <v>45431</v>
      </c>
      <c r="E233">
        <v>391192</v>
      </c>
      <c r="F233">
        <v>304</v>
      </c>
      <c r="G233">
        <v>196480</v>
      </c>
      <c r="H233" s="2" t="s">
        <v>59</v>
      </c>
    </row>
    <row r="234" spans="1:8" x14ac:dyDescent="0.25">
      <c r="A234" s="2" t="s">
        <v>422</v>
      </c>
      <c r="B234" s="2" t="s">
        <v>423</v>
      </c>
      <c r="C234" s="2" t="s">
        <v>25</v>
      </c>
      <c r="D234" s="3">
        <v>43354</v>
      </c>
      <c r="E234">
        <v>495413</v>
      </c>
      <c r="F234">
        <v>536</v>
      </c>
      <c r="G234">
        <v>0</v>
      </c>
      <c r="H234" s="2"/>
    </row>
    <row r="235" spans="1:8" x14ac:dyDescent="0.25">
      <c r="A235" s="2" t="s">
        <v>424</v>
      </c>
      <c r="B235" s="2" t="s">
        <v>425</v>
      </c>
      <c r="C235" s="2" t="s">
        <v>25</v>
      </c>
      <c r="D235" s="3">
        <v>45520</v>
      </c>
      <c r="E235">
        <v>236187</v>
      </c>
      <c r="F235">
        <v>610</v>
      </c>
      <c r="G235">
        <v>0</v>
      </c>
      <c r="H235" s="2"/>
    </row>
    <row r="236" spans="1:8" x14ac:dyDescent="0.25">
      <c r="A236" s="2" t="s">
        <v>426</v>
      </c>
      <c r="B236" s="2" t="s">
        <v>427</v>
      </c>
      <c r="C236" s="2" t="s">
        <v>10</v>
      </c>
      <c r="D236" s="3">
        <v>45108</v>
      </c>
      <c r="E236">
        <v>42056</v>
      </c>
      <c r="F236">
        <v>848</v>
      </c>
      <c r="G236">
        <v>436739</v>
      </c>
      <c r="H236" s="2"/>
    </row>
    <row r="237" spans="1:8" x14ac:dyDescent="0.25">
      <c r="A237" s="2" t="s">
        <v>428</v>
      </c>
      <c r="B237" s="2" t="s">
        <v>429</v>
      </c>
      <c r="C237" s="2" t="s">
        <v>25</v>
      </c>
      <c r="D237" s="3">
        <v>45453</v>
      </c>
      <c r="E237">
        <v>51831</v>
      </c>
      <c r="F237">
        <v>355</v>
      </c>
      <c r="G237">
        <v>126648</v>
      </c>
      <c r="H237" s="2"/>
    </row>
    <row r="238" spans="1:8" x14ac:dyDescent="0.25">
      <c r="A238" s="2" t="s">
        <v>430</v>
      </c>
      <c r="B238" s="2" t="s">
        <v>369</v>
      </c>
      <c r="C238" s="2" t="s">
        <v>10</v>
      </c>
      <c r="D238" s="3">
        <v>44692</v>
      </c>
      <c r="E238">
        <v>321335</v>
      </c>
      <c r="F238">
        <v>742</v>
      </c>
      <c r="G238">
        <v>292307</v>
      </c>
      <c r="H238" s="2"/>
    </row>
    <row r="239" spans="1:8" x14ac:dyDescent="0.25">
      <c r="A239" s="2" t="s">
        <v>431</v>
      </c>
      <c r="B239" s="2" t="s">
        <v>27</v>
      </c>
      <c r="C239" s="2" t="s">
        <v>10</v>
      </c>
      <c r="D239" s="3">
        <v>42353</v>
      </c>
      <c r="E239">
        <v>249664</v>
      </c>
      <c r="F239">
        <v>536</v>
      </c>
      <c r="G239">
        <v>0</v>
      </c>
      <c r="H239" s="2"/>
    </row>
    <row r="240" spans="1:8" x14ac:dyDescent="0.25">
      <c r="A240" s="2" t="s">
        <v>432</v>
      </c>
      <c r="B240" s="2" t="s">
        <v>433</v>
      </c>
      <c r="C240" s="2" t="s">
        <v>10</v>
      </c>
      <c r="D240" s="3">
        <v>44082</v>
      </c>
      <c r="E240">
        <v>384092</v>
      </c>
      <c r="F240">
        <v>496</v>
      </c>
      <c r="G240">
        <v>92508</v>
      </c>
      <c r="H240" s="2"/>
    </row>
    <row r="241" spans="1:8" x14ac:dyDescent="0.25">
      <c r="A241" s="2" t="s">
        <v>434</v>
      </c>
      <c r="B241" s="2" t="s">
        <v>435</v>
      </c>
      <c r="C241" s="2" t="s">
        <v>10</v>
      </c>
      <c r="D241" s="3">
        <v>45391</v>
      </c>
      <c r="E241">
        <v>426488</v>
      </c>
      <c r="F241">
        <v>813</v>
      </c>
      <c r="G241">
        <v>0</v>
      </c>
      <c r="H241" s="2"/>
    </row>
    <row r="242" spans="1:8" x14ac:dyDescent="0.25">
      <c r="A242" s="2" t="s">
        <v>436</v>
      </c>
      <c r="B242" s="2" t="s">
        <v>437</v>
      </c>
      <c r="C242" s="2" t="s">
        <v>13</v>
      </c>
      <c r="D242" s="3">
        <v>44259</v>
      </c>
      <c r="E242">
        <v>108117</v>
      </c>
      <c r="F242">
        <v>748</v>
      </c>
      <c r="G242">
        <v>0</v>
      </c>
      <c r="H242" s="2"/>
    </row>
    <row r="243" spans="1:8" x14ac:dyDescent="0.25">
      <c r="A243" s="2" t="s">
        <v>438</v>
      </c>
      <c r="B243" s="2" t="s">
        <v>439</v>
      </c>
      <c r="C243" s="2" t="s">
        <v>13</v>
      </c>
      <c r="D243" s="3">
        <v>42575</v>
      </c>
      <c r="E243">
        <v>276815</v>
      </c>
      <c r="F243">
        <v>659</v>
      </c>
      <c r="G243">
        <v>0</v>
      </c>
      <c r="H243" s="2"/>
    </row>
    <row r="244" spans="1:8" x14ac:dyDescent="0.25">
      <c r="A244" s="2" t="s">
        <v>440</v>
      </c>
      <c r="B244" s="2" t="s">
        <v>441</v>
      </c>
      <c r="C244" s="2" t="s">
        <v>13</v>
      </c>
      <c r="D244" s="3">
        <v>43055</v>
      </c>
      <c r="E244">
        <v>289192</v>
      </c>
      <c r="F244">
        <v>329</v>
      </c>
      <c r="G244">
        <v>0</v>
      </c>
      <c r="H244" s="2"/>
    </row>
    <row r="245" spans="1:8" x14ac:dyDescent="0.25">
      <c r="A245" s="2" t="s">
        <v>442</v>
      </c>
      <c r="B245" s="2" t="s">
        <v>443</v>
      </c>
      <c r="C245" s="2" t="s">
        <v>10</v>
      </c>
      <c r="D245" s="3">
        <v>43320</v>
      </c>
      <c r="E245">
        <v>469490</v>
      </c>
      <c r="F245">
        <v>407</v>
      </c>
      <c r="G245">
        <v>69926</v>
      </c>
      <c r="H245" s="2" t="s">
        <v>18</v>
      </c>
    </row>
    <row r="246" spans="1:8" x14ac:dyDescent="0.25">
      <c r="A246" s="2" t="s">
        <v>444</v>
      </c>
      <c r="B246" s="2" t="s">
        <v>124</v>
      </c>
      <c r="C246" s="2" t="s">
        <v>13</v>
      </c>
      <c r="D246" s="3">
        <v>43218</v>
      </c>
      <c r="E246">
        <v>288107</v>
      </c>
      <c r="F246">
        <v>744</v>
      </c>
      <c r="G246">
        <v>0</v>
      </c>
      <c r="H246" s="2"/>
    </row>
    <row r="247" spans="1:8" x14ac:dyDescent="0.25">
      <c r="A247" s="2" t="s">
        <v>445</v>
      </c>
      <c r="B247" s="2" t="s">
        <v>446</v>
      </c>
      <c r="C247" s="2" t="s">
        <v>32</v>
      </c>
      <c r="D247" s="3">
        <v>44104</v>
      </c>
      <c r="E247">
        <v>43954</v>
      </c>
      <c r="F247">
        <v>737</v>
      </c>
      <c r="G247">
        <v>0</v>
      </c>
      <c r="H247" s="2"/>
    </row>
    <row r="248" spans="1:8" x14ac:dyDescent="0.25">
      <c r="A248" s="2" t="s">
        <v>447</v>
      </c>
      <c r="B248" s="2" t="s">
        <v>43</v>
      </c>
      <c r="C248" s="2" t="s">
        <v>25</v>
      </c>
      <c r="D248" s="3">
        <v>42655</v>
      </c>
      <c r="E248">
        <v>465525</v>
      </c>
      <c r="F248">
        <v>756</v>
      </c>
      <c r="G248">
        <v>0</v>
      </c>
      <c r="H248" s="2" t="s">
        <v>39</v>
      </c>
    </row>
    <row r="249" spans="1:8" x14ac:dyDescent="0.25">
      <c r="A249" s="2" t="s">
        <v>448</v>
      </c>
      <c r="B249" s="2" t="s">
        <v>449</v>
      </c>
      <c r="C249" s="2" t="s">
        <v>10</v>
      </c>
      <c r="D249" s="3">
        <v>43567</v>
      </c>
      <c r="E249">
        <v>233192</v>
      </c>
      <c r="F249">
        <v>794</v>
      </c>
      <c r="G249">
        <v>0</v>
      </c>
      <c r="H249" s="2"/>
    </row>
    <row r="250" spans="1:8" x14ac:dyDescent="0.25">
      <c r="A250" s="2" t="s">
        <v>450</v>
      </c>
      <c r="B250" s="2" t="s">
        <v>12</v>
      </c>
      <c r="C250" s="2" t="s">
        <v>13</v>
      </c>
      <c r="D250" s="3">
        <v>42662</v>
      </c>
      <c r="E250">
        <v>357574</v>
      </c>
      <c r="F250">
        <v>546</v>
      </c>
      <c r="G250">
        <v>0</v>
      </c>
      <c r="H250" s="2" t="s">
        <v>39</v>
      </c>
    </row>
    <row r="251" spans="1:8" x14ac:dyDescent="0.25">
      <c r="A251" s="2" t="s">
        <v>451</v>
      </c>
      <c r="B251" s="2" t="s">
        <v>172</v>
      </c>
      <c r="C251" s="2" t="s">
        <v>25</v>
      </c>
      <c r="D251" s="3">
        <v>44785</v>
      </c>
      <c r="E251">
        <v>717</v>
      </c>
      <c r="F251">
        <v>842</v>
      </c>
      <c r="G251">
        <v>197718</v>
      </c>
      <c r="H251" s="2"/>
    </row>
    <row r="252" spans="1:8" x14ac:dyDescent="0.25">
      <c r="A252" s="2" t="s">
        <v>452</v>
      </c>
      <c r="B252" s="2" t="s">
        <v>453</v>
      </c>
      <c r="C252" s="2" t="s">
        <v>25</v>
      </c>
      <c r="D252" s="3">
        <v>44736</v>
      </c>
      <c r="E252">
        <v>273820</v>
      </c>
      <c r="F252">
        <v>738</v>
      </c>
      <c r="G252">
        <v>0</v>
      </c>
      <c r="H252" s="2"/>
    </row>
    <row r="253" spans="1:8" x14ac:dyDescent="0.25">
      <c r="A253" s="2" t="s">
        <v>454</v>
      </c>
      <c r="B253" s="2" t="s">
        <v>455</v>
      </c>
      <c r="C253" s="2" t="s">
        <v>25</v>
      </c>
      <c r="D253" s="3">
        <v>42316</v>
      </c>
      <c r="E253">
        <v>397650</v>
      </c>
      <c r="F253">
        <v>577</v>
      </c>
      <c r="G253">
        <v>0</v>
      </c>
      <c r="H253" s="2"/>
    </row>
    <row r="254" spans="1:8" x14ac:dyDescent="0.25">
      <c r="A254" s="2" t="s">
        <v>456</v>
      </c>
      <c r="B254" s="2" t="s">
        <v>242</v>
      </c>
      <c r="C254" s="2" t="s">
        <v>13</v>
      </c>
      <c r="D254" s="3">
        <v>43441</v>
      </c>
      <c r="E254">
        <v>180882</v>
      </c>
      <c r="F254">
        <v>410</v>
      </c>
      <c r="G254">
        <v>0</v>
      </c>
      <c r="H254" s="2" t="s">
        <v>39</v>
      </c>
    </row>
    <row r="255" spans="1:8" x14ac:dyDescent="0.25">
      <c r="A255" s="2" t="s">
        <v>457</v>
      </c>
      <c r="B255" s="2" t="s">
        <v>458</v>
      </c>
      <c r="C255" s="2" t="s">
        <v>10</v>
      </c>
      <c r="D255" s="3">
        <v>45233</v>
      </c>
      <c r="E255">
        <v>496577</v>
      </c>
      <c r="F255">
        <v>684</v>
      </c>
      <c r="G255">
        <v>185388</v>
      </c>
      <c r="H255" s="2"/>
    </row>
    <row r="256" spans="1:8" x14ac:dyDescent="0.25">
      <c r="A256" s="2" t="s">
        <v>459</v>
      </c>
      <c r="B256" s="2" t="s">
        <v>460</v>
      </c>
      <c r="C256" s="2" t="s">
        <v>13</v>
      </c>
      <c r="D256" s="3">
        <v>45511</v>
      </c>
      <c r="E256">
        <v>118696</v>
      </c>
      <c r="F256">
        <v>490</v>
      </c>
      <c r="G256">
        <v>372508</v>
      </c>
      <c r="H256" s="2"/>
    </row>
    <row r="257" spans="1:8" x14ac:dyDescent="0.25">
      <c r="A257" s="2" t="s">
        <v>461</v>
      </c>
      <c r="B257" s="2" t="s">
        <v>318</v>
      </c>
      <c r="C257" s="2" t="s">
        <v>13</v>
      </c>
      <c r="D257" s="3">
        <v>44284</v>
      </c>
      <c r="E257">
        <v>487852</v>
      </c>
      <c r="F257">
        <v>789</v>
      </c>
      <c r="G257">
        <v>0</v>
      </c>
      <c r="H257" s="2"/>
    </row>
    <row r="258" spans="1:8" x14ac:dyDescent="0.25">
      <c r="A258" s="2" t="s">
        <v>462</v>
      </c>
      <c r="B258" s="2" t="s">
        <v>363</v>
      </c>
      <c r="C258" s="2" t="s">
        <v>25</v>
      </c>
      <c r="D258" s="3">
        <v>43004</v>
      </c>
      <c r="E258">
        <v>392974</v>
      </c>
      <c r="F258">
        <v>725</v>
      </c>
      <c r="G258">
        <v>282648</v>
      </c>
      <c r="H258" s="2"/>
    </row>
    <row r="259" spans="1:8" x14ac:dyDescent="0.25">
      <c r="A259" s="2" t="s">
        <v>463</v>
      </c>
      <c r="B259" s="2" t="s">
        <v>464</v>
      </c>
      <c r="C259" s="2" t="s">
        <v>25</v>
      </c>
      <c r="D259" s="3">
        <v>43620</v>
      </c>
      <c r="E259">
        <v>4994</v>
      </c>
      <c r="F259">
        <v>704</v>
      </c>
      <c r="G259">
        <v>204665</v>
      </c>
      <c r="H259" s="2" t="s">
        <v>39</v>
      </c>
    </row>
    <row r="260" spans="1:8" x14ac:dyDescent="0.25">
      <c r="A260" s="2" t="s">
        <v>465</v>
      </c>
      <c r="B260" s="2" t="s">
        <v>15</v>
      </c>
      <c r="C260" s="2" t="s">
        <v>10</v>
      </c>
      <c r="D260" s="3">
        <v>45597</v>
      </c>
      <c r="E260">
        <v>266378</v>
      </c>
      <c r="F260">
        <v>634</v>
      </c>
      <c r="G260">
        <v>0</v>
      </c>
      <c r="H260" s="2"/>
    </row>
    <row r="261" spans="1:8" x14ac:dyDescent="0.25">
      <c r="A261" s="2" t="s">
        <v>466</v>
      </c>
      <c r="B261" s="2" t="s">
        <v>467</v>
      </c>
      <c r="C261" s="2" t="s">
        <v>25</v>
      </c>
      <c r="D261" s="3">
        <v>42661</v>
      </c>
      <c r="E261">
        <v>69300</v>
      </c>
      <c r="F261">
        <v>508</v>
      </c>
      <c r="G261">
        <v>0</v>
      </c>
      <c r="H261" s="2"/>
    </row>
    <row r="262" spans="1:8" x14ac:dyDescent="0.25">
      <c r="A262" s="2" t="s">
        <v>468</v>
      </c>
      <c r="B262" s="2" t="s">
        <v>469</v>
      </c>
      <c r="C262" s="2" t="s">
        <v>10</v>
      </c>
      <c r="D262" s="3">
        <v>43313</v>
      </c>
      <c r="E262">
        <v>306093</v>
      </c>
      <c r="F262">
        <v>321</v>
      </c>
      <c r="G262">
        <v>0</v>
      </c>
      <c r="H262" s="2"/>
    </row>
    <row r="263" spans="1:8" x14ac:dyDescent="0.25">
      <c r="A263" s="2" t="s">
        <v>470</v>
      </c>
      <c r="B263" s="2" t="s">
        <v>311</v>
      </c>
      <c r="C263" s="2" t="s">
        <v>10</v>
      </c>
      <c r="D263" s="3">
        <v>44634</v>
      </c>
      <c r="E263">
        <v>37405</v>
      </c>
      <c r="F263">
        <v>507</v>
      </c>
      <c r="G263">
        <v>0</v>
      </c>
      <c r="H263" s="2" t="s">
        <v>18</v>
      </c>
    </row>
    <row r="264" spans="1:8" x14ac:dyDescent="0.25">
      <c r="A264" s="2" t="s">
        <v>471</v>
      </c>
      <c r="B264" s="2" t="s">
        <v>322</v>
      </c>
      <c r="C264" s="2" t="s">
        <v>13</v>
      </c>
      <c r="D264" s="3">
        <v>45840</v>
      </c>
      <c r="E264">
        <v>297016</v>
      </c>
      <c r="F264">
        <v>307</v>
      </c>
      <c r="G264">
        <v>0</v>
      </c>
      <c r="H264" s="2" t="s">
        <v>59</v>
      </c>
    </row>
    <row r="265" spans="1:8" x14ac:dyDescent="0.25">
      <c r="A265" s="2" t="s">
        <v>472</v>
      </c>
      <c r="B265" s="2" t="s">
        <v>473</v>
      </c>
      <c r="C265" s="2" t="s">
        <v>32</v>
      </c>
      <c r="D265" s="3">
        <v>45501</v>
      </c>
      <c r="E265">
        <v>304359</v>
      </c>
      <c r="F265">
        <v>828</v>
      </c>
      <c r="G265">
        <v>217369</v>
      </c>
      <c r="H265" s="2" t="s">
        <v>18</v>
      </c>
    </row>
    <row r="266" spans="1:8" x14ac:dyDescent="0.25">
      <c r="A266" s="2" t="s">
        <v>474</v>
      </c>
      <c r="B266" s="2" t="s">
        <v>228</v>
      </c>
      <c r="C266" s="2" t="s">
        <v>13</v>
      </c>
      <c r="D266" s="3">
        <v>42487</v>
      </c>
      <c r="E266">
        <v>23185</v>
      </c>
      <c r="F266">
        <v>465</v>
      </c>
      <c r="G266">
        <v>0</v>
      </c>
      <c r="H266" s="2"/>
    </row>
    <row r="267" spans="1:8" x14ac:dyDescent="0.25">
      <c r="A267" s="2" t="s">
        <v>475</v>
      </c>
      <c r="B267" s="2" t="s">
        <v>476</v>
      </c>
      <c r="C267" s="2" t="s">
        <v>32</v>
      </c>
      <c r="D267" s="3">
        <v>44322</v>
      </c>
      <c r="E267">
        <v>174514</v>
      </c>
      <c r="F267">
        <v>795</v>
      </c>
      <c r="G267">
        <v>0</v>
      </c>
      <c r="H267" s="2"/>
    </row>
    <row r="268" spans="1:8" x14ac:dyDescent="0.25">
      <c r="A268" s="2" t="s">
        <v>477</v>
      </c>
      <c r="B268" s="2" t="s">
        <v>469</v>
      </c>
      <c r="C268" s="2" t="s">
        <v>25</v>
      </c>
      <c r="D268" s="3">
        <v>45121</v>
      </c>
      <c r="E268">
        <v>444975</v>
      </c>
      <c r="F268">
        <v>728</v>
      </c>
      <c r="G268">
        <v>0</v>
      </c>
      <c r="H268" s="2"/>
    </row>
    <row r="269" spans="1:8" x14ac:dyDescent="0.25">
      <c r="A269" s="2" t="s">
        <v>478</v>
      </c>
      <c r="B269" s="2" t="s">
        <v>66</v>
      </c>
      <c r="C269" s="2" t="s">
        <v>13</v>
      </c>
      <c r="D269" s="3">
        <v>44000</v>
      </c>
      <c r="E269">
        <v>303297</v>
      </c>
      <c r="F269">
        <v>462</v>
      </c>
      <c r="G269">
        <v>0</v>
      </c>
      <c r="H269" s="2"/>
    </row>
    <row r="270" spans="1:8" x14ac:dyDescent="0.25">
      <c r="A270" s="2" t="s">
        <v>479</v>
      </c>
      <c r="B270" s="2" t="s">
        <v>480</v>
      </c>
      <c r="C270" s="2" t="s">
        <v>10</v>
      </c>
      <c r="D270" s="3">
        <v>43413</v>
      </c>
      <c r="E270">
        <v>339679</v>
      </c>
      <c r="F270">
        <v>665</v>
      </c>
      <c r="G270">
        <v>215387</v>
      </c>
      <c r="H270" s="2"/>
    </row>
    <row r="271" spans="1:8" x14ac:dyDescent="0.25">
      <c r="A271" s="2" t="s">
        <v>481</v>
      </c>
      <c r="B271" s="2" t="s">
        <v>249</v>
      </c>
      <c r="C271" s="2" t="s">
        <v>25</v>
      </c>
      <c r="D271" s="3">
        <v>43275</v>
      </c>
      <c r="E271">
        <v>495239</v>
      </c>
      <c r="F271">
        <v>825</v>
      </c>
      <c r="G271">
        <v>0</v>
      </c>
      <c r="H271" s="2"/>
    </row>
    <row r="272" spans="1:8" x14ac:dyDescent="0.25">
      <c r="A272" s="2" t="s">
        <v>482</v>
      </c>
      <c r="B272" s="2" t="s">
        <v>483</v>
      </c>
      <c r="C272" s="2" t="s">
        <v>10</v>
      </c>
      <c r="D272" s="3">
        <v>43250</v>
      </c>
      <c r="E272">
        <v>133653</v>
      </c>
      <c r="F272">
        <v>538</v>
      </c>
      <c r="G272">
        <v>0</v>
      </c>
      <c r="H272" s="2"/>
    </row>
    <row r="273" spans="1:8" x14ac:dyDescent="0.25">
      <c r="A273" s="2" t="s">
        <v>484</v>
      </c>
      <c r="B273" s="2" t="s">
        <v>485</v>
      </c>
      <c r="C273" s="2" t="s">
        <v>32</v>
      </c>
      <c r="D273" s="3">
        <v>43420</v>
      </c>
      <c r="E273">
        <v>51717</v>
      </c>
      <c r="F273">
        <v>371</v>
      </c>
      <c r="G273">
        <v>0</v>
      </c>
      <c r="H273" s="2" t="s">
        <v>59</v>
      </c>
    </row>
    <row r="274" spans="1:8" x14ac:dyDescent="0.25">
      <c r="A274" s="2" t="s">
        <v>486</v>
      </c>
      <c r="B274" s="2" t="s">
        <v>487</v>
      </c>
      <c r="C274" s="2" t="s">
        <v>32</v>
      </c>
      <c r="D274" s="3">
        <v>44680</v>
      </c>
      <c r="E274">
        <v>2763</v>
      </c>
      <c r="F274">
        <v>744</v>
      </c>
      <c r="G274">
        <v>0</v>
      </c>
      <c r="H274" s="2"/>
    </row>
    <row r="275" spans="1:8" x14ac:dyDescent="0.25">
      <c r="A275" s="2" t="s">
        <v>488</v>
      </c>
      <c r="B275" s="2" t="s">
        <v>489</v>
      </c>
      <c r="C275" s="2" t="s">
        <v>10</v>
      </c>
      <c r="D275" s="3">
        <v>42951</v>
      </c>
      <c r="E275">
        <v>355054</v>
      </c>
      <c r="F275">
        <v>808</v>
      </c>
      <c r="G275">
        <v>0</v>
      </c>
      <c r="H275" s="2"/>
    </row>
    <row r="276" spans="1:8" x14ac:dyDescent="0.25">
      <c r="A276" s="2" t="s">
        <v>490</v>
      </c>
      <c r="B276" s="2" t="s">
        <v>491</v>
      </c>
      <c r="C276" s="2" t="s">
        <v>13</v>
      </c>
      <c r="D276" s="3">
        <v>45124</v>
      </c>
      <c r="E276">
        <v>55480</v>
      </c>
      <c r="F276">
        <v>568</v>
      </c>
      <c r="G276">
        <v>0</v>
      </c>
      <c r="H276" s="2" t="s">
        <v>59</v>
      </c>
    </row>
    <row r="277" spans="1:8" x14ac:dyDescent="0.25">
      <c r="A277" s="2" t="s">
        <v>492</v>
      </c>
      <c r="B277" s="2" t="s">
        <v>493</v>
      </c>
      <c r="C277" s="2" t="s">
        <v>32</v>
      </c>
      <c r="D277" s="3">
        <v>44928</v>
      </c>
      <c r="E277">
        <v>169831</v>
      </c>
      <c r="F277">
        <v>714</v>
      </c>
      <c r="G277">
        <v>0</v>
      </c>
      <c r="H277" s="2"/>
    </row>
    <row r="278" spans="1:8" x14ac:dyDescent="0.25">
      <c r="A278" s="2" t="s">
        <v>494</v>
      </c>
      <c r="B278" s="2" t="s">
        <v>495</v>
      </c>
      <c r="C278" s="2" t="s">
        <v>10</v>
      </c>
      <c r="D278" s="3">
        <v>42664</v>
      </c>
      <c r="E278">
        <v>207139</v>
      </c>
      <c r="F278">
        <v>544</v>
      </c>
      <c r="G278">
        <v>382411</v>
      </c>
      <c r="H278" s="2"/>
    </row>
    <row r="279" spans="1:8" x14ac:dyDescent="0.25">
      <c r="A279" s="2" t="s">
        <v>496</v>
      </c>
      <c r="B279" s="2" t="s">
        <v>497</v>
      </c>
      <c r="C279" s="2" t="s">
        <v>13</v>
      </c>
      <c r="D279" s="3">
        <v>43422</v>
      </c>
      <c r="E279">
        <v>118094</v>
      </c>
      <c r="F279">
        <v>359</v>
      </c>
      <c r="G279">
        <v>0</v>
      </c>
      <c r="H279" s="2"/>
    </row>
    <row r="280" spans="1:8" x14ac:dyDescent="0.25">
      <c r="A280" s="2" t="s">
        <v>498</v>
      </c>
      <c r="B280" s="2" t="s">
        <v>499</v>
      </c>
      <c r="C280" s="2" t="s">
        <v>13</v>
      </c>
      <c r="D280" s="3">
        <v>43986</v>
      </c>
      <c r="E280">
        <v>156379</v>
      </c>
      <c r="F280">
        <v>305</v>
      </c>
      <c r="G280">
        <v>0</v>
      </c>
      <c r="H280" s="2"/>
    </row>
    <row r="281" spans="1:8" x14ac:dyDescent="0.25">
      <c r="A281" s="2" t="s">
        <v>500</v>
      </c>
      <c r="B281" s="2" t="s">
        <v>417</v>
      </c>
      <c r="C281" s="2" t="s">
        <v>10</v>
      </c>
      <c r="D281" s="3">
        <v>45591</v>
      </c>
      <c r="E281">
        <v>227443</v>
      </c>
      <c r="F281">
        <v>706</v>
      </c>
      <c r="G281">
        <v>44236</v>
      </c>
      <c r="H281" s="2"/>
    </row>
    <row r="282" spans="1:8" x14ac:dyDescent="0.25">
      <c r="A282" s="2" t="s">
        <v>501</v>
      </c>
      <c r="B282" s="2" t="s">
        <v>502</v>
      </c>
      <c r="C282" s="2" t="s">
        <v>32</v>
      </c>
      <c r="D282" s="3">
        <v>43304</v>
      </c>
      <c r="E282">
        <v>11064</v>
      </c>
      <c r="F282">
        <v>516</v>
      </c>
      <c r="G282">
        <v>0</v>
      </c>
      <c r="H282" s="2"/>
    </row>
    <row r="283" spans="1:8" x14ac:dyDescent="0.25">
      <c r="A283" s="2" t="s">
        <v>503</v>
      </c>
      <c r="B283" s="2" t="s">
        <v>304</v>
      </c>
      <c r="C283" s="2" t="s">
        <v>25</v>
      </c>
      <c r="D283" s="3">
        <v>43449</v>
      </c>
      <c r="E283">
        <v>76848</v>
      </c>
      <c r="F283">
        <v>325</v>
      </c>
      <c r="G283">
        <v>0</v>
      </c>
      <c r="H283" s="2"/>
    </row>
    <row r="284" spans="1:8" x14ac:dyDescent="0.25">
      <c r="A284" s="2" t="s">
        <v>504</v>
      </c>
      <c r="B284" s="2" t="s">
        <v>136</v>
      </c>
      <c r="C284" s="2" t="s">
        <v>10</v>
      </c>
      <c r="D284" s="3">
        <v>43908</v>
      </c>
      <c r="E284">
        <v>37548</v>
      </c>
      <c r="F284">
        <v>304</v>
      </c>
      <c r="G284">
        <v>0</v>
      </c>
      <c r="H284" s="2"/>
    </row>
    <row r="285" spans="1:8" x14ac:dyDescent="0.25">
      <c r="A285" s="2" t="s">
        <v>505</v>
      </c>
      <c r="B285" s="2" t="s">
        <v>506</v>
      </c>
      <c r="C285" s="2" t="s">
        <v>13</v>
      </c>
      <c r="D285" s="3">
        <v>45428</v>
      </c>
      <c r="E285">
        <v>168017</v>
      </c>
      <c r="F285">
        <v>831</v>
      </c>
      <c r="G285">
        <v>0</v>
      </c>
      <c r="H285" s="2"/>
    </row>
    <row r="286" spans="1:8" x14ac:dyDescent="0.25">
      <c r="A286" s="2" t="s">
        <v>507</v>
      </c>
      <c r="B286" s="2" t="s">
        <v>508</v>
      </c>
      <c r="C286" s="2" t="s">
        <v>13</v>
      </c>
      <c r="D286" s="3">
        <v>44424</v>
      </c>
      <c r="E286">
        <v>441153</v>
      </c>
      <c r="F286">
        <v>689</v>
      </c>
      <c r="G286">
        <v>34992</v>
      </c>
      <c r="H286" s="2"/>
    </row>
    <row r="287" spans="1:8" x14ac:dyDescent="0.25">
      <c r="A287" s="2" t="s">
        <v>509</v>
      </c>
      <c r="B287" s="2" t="s">
        <v>267</v>
      </c>
      <c r="C287" s="2" t="s">
        <v>25</v>
      </c>
      <c r="D287" s="3">
        <v>45395</v>
      </c>
      <c r="E287">
        <v>268620</v>
      </c>
      <c r="F287">
        <v>747</v>
      </c>
      <c r="G287">
        <v>0</v>
      </c>
      <c r="H287" s="2"/>
    </row>
    <row r="288" spans="1:8" x14ac:dyDescent="0.25">
      <c r="A288" s="2" t="s">
        <v>510</v>
      </c>
      <c r="B288" s="2" t="s">
        <v>511</v>
      </c>
      <c r="C288" s="2" t="s">
        <v>13</v>
      </c>
      <c r="D288" s="3">
        <v>45685</v>
      </c>
      <c r="E288">
        <v>444972</v>
      </c>
      <c r="F288">
        <v>445</v>
      </c>
      <c r="G288">
        <v>0</v>
      </c>
      <c r="H288" s="2"/>
    </row>
    <row r="289" spans="1:8" x14ac:dyDescent="0.25">
      <c r="A289" s="2" t="s">
        <v>512</v>
      </c>
      <c r="B289" s="2" t="s">
        <v>513</v>
      </c>
      <c r="C289" s="2" t="s">
        <v>13</v>
      </c>
      <c r="D289" s="3">
        <v>43618</v>
      </c>
      <c r="E289">
        <v>352245</v>
      </c>
      <c r="F289">
        <v>687</v>
      </c>
      <c r="G289">
        <v>0</v>
      </c>
      <c r="H289" s="2"/>
    </row>
    <row r="290" spans="1:8" x14ac:dyDescent="0.25">
      <c r="A290" s="2" t="s">
        <v>514</v>
      </c>
      <c r="B290" s="2" t="s">
        <v>120</v>
      </c>
      <c r="C290" s="2" t="s">
        <v>13</v>
      </c>
      <c r="D290" s="3">
        <v>45689</v>
      </c>
      <c r="E290">
        <v>2382</v>
      </c>
      <c r="F290">
        <v>548</v>
      </c>
      <c r="G290">
        <v>0</v>
      </c>
      <c r="H290" s="2" t="s">
        <v>59</v>
      </c>
    </row>
    <row r="291" spans="1:8" x14ac:dyDescent="0.25">
      <c r="A291" s="2" t="s">
        <v>515</v>
      </c>
      <c r="B291" s="2" t="s">
        <v>516</v>
      </c>
      <c r="C291" s="2" t="s">
        <v>10</v>
      </c>
      <c r="D291" s="3">
        <v>44269</v>
      </c>
      <c r="E291">
        <v>442899</v>
      </c>
      <c r="F291">
        <v>825</v>
      </c>
      <c r="G291">
        <v>0</v>
      </c>
      <c r="H291" s="2" t="s">
        <v>39</v>
      </c>
    </row>
    <row r="292" spans="1:8" x14ac:dyDescent="0.25">
      <c r="A292" s="2" t="s">
        <v>517</v>
      </c>
      <c r="B292" s="2" t="s">
        <v>518</v>
      </c>
      <c r="C292" s="2" t="s">
        <v>32</v>
      </c>
      <c r="D292" s="3">
        <v>45436</v>
      </c>
      <c r="E292">
        <v>481215</v>
      </c>
      <c r="F292">
        <v>761</v>
      </c>
      <c r="G292">
        <v>0</v>
      </c>
      <c r="H292" s="2" t="s">
        <v>59</v>
      </c>
    </row>
    <row r="293" spans="1:8" x14ac:dyDescent="0.25">
      <c r="A293" s="2" t="s">
        <v>519</v>
      </c>
      <c r="B293" s="2" t="s">
        <v>429</v>
      </c>
      <c r="C293" s="2" t="s">
        <v>13</v>
      </c>
      <c r="D293" s="3">
        <v>43502</v>
      </c>
      <c r="E293">
        <v>176348</v>
      </c>
      <c r="F293">
        <v>312</v>
      </c>
      <c r="G293">
        <v>0</v>
      </c>
      <c r="H293" s="2"/>
    </row>
    <row r="294" spans="1:8" x14ac:dyDescent="0.25">
      <c r="A294" s="2" t="s">
        <v>520</v>
      </c>
      <c r="B294" s="2" t="s">
        <v>521</v>
      </c>
      <c r="C294" s="2" t="s">
        <v>10</v>
      </c>
      <c r="D294" s="3">
        <v>45120</v>
      </c>
      <c r="E294">
        <v>426618</v>
      </c>
      <c r="F294">
        <v>683</v>
      </c>
      <c r="G294">
        <v>0</v>
      </c>
      <c r="H294" s="2"/>
    </row>
    <row r="295" spans="1:8" x14ac:dyDescent="0.25">
      <c r="A295" s="2" t="s">
        <v>522</v>
      </c>
      <c r="B295" s="2" t="s">
        <v>523</v>
      </c>
      <c r="C295" s="2" t="s">
        <v>10</v>
      </c>
      <c r="D295" s="3">
        <v>45521</v>
      </c>
      <c r="E295">
        <v>485097</v>
      </c>
      <c r="F295">
        <v>698</v>
      </c>
      <c r="G295">
        <v>301379</v>
      </c>
      <c r="H295" s="2"/>
    </row>
    <row r="296" spans="1:8" x14ac:dyDescent="0.25">
      <c r="A296" s="2" t="s">
        <v>524</v>
      </c>
      <c r="B296" s="2" t="s">
        <v>525</v>
      </c>
      <c r="C296" s="2" t="s">
        <v>32</v>
      </c>
      <c r="D296" s="3">
        <v>43493</v>
      </c>
      <c r="E296">
        <v>420162</v>
      </c>
      <c r="F296">
        <v>318</v>
      </c>
      <c r="G296">
        <v>0</v>
      </c>
      <c r="H296" s="2"/>
    </row>
    <row r="297" spans="1:8" x14ac:dyDescent="0.25">
      <c r="A297" s="2" t="s">
        <v>526</v>
      </c>
      <c r="B297" s="2" t="s">
        <v>527</v>
      </c>
      <c r="C297" s="2" t="s">
        <v>13</v>
      </c>
      <c r="D297" s="3">
        <v>44749</v>
      </c>
      <c r="E297">
        <v>79698</v>
      </c>
      <c r="F297">
        <v>790</v>
      </c>
      <c r="G297">
        <v>0</v>
      </c>
      <c r="H297" s="2"/>
    </row>
    <row r="298" spans="1:8" x14ac:dyDescent="0.25">
      <c r="A298" s="2" t="s">
        <v>528</v>
      </c>
      <c r="B298" s="2" t="s">
        <v>289</v>
      </c>
      <c r="C298" s="2" t="s">
        <v>10</v>
      </c>
      <c r="D298" s="3">
        <v>43730</v>
      </c>
      <c r="E298">
        <v>245762</v>
      </c>
      <c r="F298">
        <v>718</v>
      </c>
      <c r="G298">
        <v>291100</v>
      </c>
      <c r="H298" s="2"/>
    </row>
    <row r="299" spans="1:8" x14ac:dyDescent="0.25">
      <c r="A299" s="2" t="s">
        <v>529</v>
      </c>
      <c r="B299" s="2" t="s">
        <v>530</v>
      </c>
      <c r="C299" s="2" t="s">
        <v>13</v>
      </c>
      <c r="D299" s="3">
        <v>43976</v>
      </c>
      <c r="E299">
        <v>243381</v>
      </c>
      <c r="F299">
        <v>636</v>
      </c>
      <c r="G299">
        <v>0</v>
      </c>
      <c r="H299" s="2" t="s">
        <v>39</v>
      </c>
    </row>
    <row r="300" spans="1:8" x14ac:dyDescent="0.25">
      <c r="A300" s="2" t="s">
        <v>531</v>
      </c>
      <c r="B300" s="2" t="s">
        <v>150</v>
      </c>
      <c r="C300" s="2" t="s">
        <v>25</v>
      </c>
      <c r="D300" s="3">
        <v>43731</v>
      </c>
      <c r="E300">
        <v>467149</v>
      </c>
      <c r="F300">
        <v>718</v>
      </c>
      <c r="G300">
        <v>0</v>
      </c>
      <c r="H300" s="2"/>
    </row>
    <row r="301" spans="1:8" x14ac:dyDescent="0.25">
      <c r="A301" s="2" t="s">
        <v>532</v>
      </c>
      <c r="B301" s="2" t="s">
        <v>533</v>
      </c>
      <c r="C301" s="2" t="s">
        <v>10</v>
      </c>
      <c r="D301" s="3">
        <v>43955</v>
      </c>
      <c r="E301">
        <v>415551</v>
      </c>
      <c r="F301">
        <v>421</v>
      </c>
      <c r="G301">
        <v>0</v>
      </c>
      <c r="H301" s="2"/>
    </row>
    <row r="302" spans="1:8" x14ac:dyDescent="0.25">
      <c r="A302" s="2" t="s">
        <v>534</v>
      </c>
      <c r="B302" s="2" t="s">
        <v>535</v>
      </c>
      <c r="C302" s="2" t="s">
        <v>13</v>
      </c>
      <c r="D302" s="3">
        <v>44983</v>
      </c>
      <c r="E302">
        <v>45095</v>
      </c>
      <c r="F302">
        <v>731</v>
      </c>
      <c r="G302">
        <v>0</v>
      </c>
      <c r="H302" s="2"/>
    </row>
    <row r="303" spans="1:8" x14ac:dyDescent="0.25">
      <c r="A303" s="2" t="s">
        <v>536</v>
      </c>
      <c r="B303" s="2" t="s">
        <v>537</v>
      </c>
      <c r="C303" s="2" t="s">
        <v>10</v>
      </c>
      <c r="D303" s="3">
        <v>42963</v>
      </c>
      <c r="E303">
        <v>473146</v>
      </c>
      <c r="F303">
        <v>343</v>
      </c>
      <c r="G303">
        <v>204757</v>
      </c>
      <c r="H303" s="2"/>
    </row>
    <row r="304" spans="1:8" x14ac:dyDescent="0.25">
      <c r="A304" s="2" t="s">
        <v>538</v>
      </c>
      <c r="B304" s="2" t="s">
        <v>539</v>
      </c>
      <c r="C304" s="2" t="s">
        <v>25</v>
      </c>
      <c r="D304" s="3">
        <v>45842</v>
      </c>
      <c r="E304">
        <v>392118</v>
      </c>
      <c r="F304">
        <v>616</v>
      </c>
      <c r="G304">
        <v>422876</v>
      </c>
      <c r="H304" s="2"/>
    </row>
    <row r="305" spans="1:8" x14ac:dyDescent="0.25">
      <c r="A305" s="2" t="s">
        <v>540</v>
      </c>
      <c r="B305" s="2" t="s">
        <v>176</v>
      </c>
      <c r="C305" s="2" t="s">
        <v>13</v>
      </c>
      <c r="D305" s="3">
        <v>42608</v>
      </c>
      <c r="E305">
        <v>289341</v>
      </c>
      <c r="F305">
        <v>680</v>
      </c>
      <c r="G305">
        <v>242268</v>
      </c>
      <c r="H305" s="2" t="s">
        <v>18</v>
      </c>
    </row>
    <row r="306" spans="1:8" x14ac:dyDescent="0.25">
      <c r="A306" s="2" t="s">
        <v>541</v>
      </c>
      <c r="B306" s="2" t="s">
        <v>542</v>
      </c>
      <c r="C306" s="2" t="s">
        <v>25</v>
      </c>
      <c r="D306" s="3">
        <v>44584</v>
      </c>
      <c r="E306">
        <v>389763</v>
      </c>
      <c r="F306">
        <v>444</v>
      </c>
      <c r="G306">
        <v>0</v>
      </c>
      <c r="H306" s="2" t="s">
        <v>59</v>
      </c>
    </row>
    <row r="307" spans="1:8" x14ac:dyDescent="0.25">
      <c r="A307" s="2" t="s">
        <v>543</v>
      </c>
      <c r="B307" s="2" t="s">
        <v>232</v>
      </c>
      <c r="C307" s="2" t="s">
        <v>13</v>
      </c>
      <c r="D307" s="3">
        <v>43634</v>
      </c>
      <c r="E307">
        <v>22010</v>
      </c>
      <c r="F307">
        <v>626</v>
      </c>
      <c r="G307">
        <v>268312</v>
      </c>
      <c r="H307" s="2" t="s">
        <v>59</v>
      </c>
    </row>
    <row r="308" spans="1:8" x14ac:dyDescent="0.25">
      <c r="A308" s="2" t="s">
        <v>544</v>
      </c>
      <c r="B308" s="2" t="s">
        <v>71</v>
      </c>
      <c r="C308" s="2" t="s">
        <v>10</v>
      </c>
      <c r="D308" s="3">
        <v>45366</v>
      </c>
      <c r="E308">
        <v>417339</v>
      </c>
      <c r="F308">
        <v>662</v>
      </c>
      <c r="G308">
        <v>0</v>
      </c>
      <c r="H308" s="2"/>
    </row>
    <row r="309" spans="1:8" x14ac:dyDescent="0.25">
      <c r="A309" s="2" t="s">
        <v>545</v>
      </c>
      <c r="B309" s="2" t="s">
        <v>205</v>
      </c>
      <c r="C309" s="2" t="s">
        <v>10</v>
      </c>
      <c r="D309" s="3">
        <v>43461</v>
      </c>
      <c r="E309">
        <v>350067</v>
      </c>
      <c r="F309">
        <v>349</v>
      </c>
      <c r="G309">
        <v>0</v>
      </c>
      <c r="H309" s="2"/>
    </row>
    <row r="310" spans="1:8" x14ac:dyDescent="0.25">
      <c r="A310" s="2" t="s">
        <v>546</v>
      </c>
      <c r="B310" s="2" t="s">
        <v>547</v>
      </c>
      <c r="C310" s="2" t="s">
        <v>25</v>
      </c>
      <c r="D310" s="3">
        <v>44766</v>
      </c>
      <c r="E310">
        <v>133962</v>
      </c>
      <c r="F310">
        <v>364</v>
      </c>
      <c r="G310">
        <v>0</v>
      </c>
      <c r="H310" s="2"/>
    </row>
    <row r="311" spans="1:8" x14ac:dyDescent="0.25">
      <c r="A311" s="2" t="s">
        <v>548</v>
      </c>
      <c r="B311" s="2" t="s">
        <v>549</v>
      </c>
      <c r="C311" s="2" t="s">
        <v>13</v>
      </c>
      <c r="D311" s="3">
        <v>43077</v>
      </c>
      <c r="E311">
        <v>486521</v>
      </c>
      <c r="F311">
        <v>654</v>
      </c>
      <c r="G311">
        <v>0</v>
      </c>
      <c r="H311" s="2" t="s">
        <v>39</v>
      </c>
    </row>
    <row r="312" spans="1:8" x14ac:dyDescent="0.25">
      <c r="A312" s="2" t="s">
        <v>550</v>
      </c>
      <c r="B312" s="2" t="s">
        <v>551</v>
      </c>
      <c r="C312" s="2" t="s">
        <v>25</v>
      </c>
      <c r="D312" s="3">
        <v>44537</v>
      </c>
      <c r="E312">
        <v>392670</v>
      </c>
      <c r="F312">
        <v>463</v>
      </c>
      <c r="G312">
        <v>0</v>
      </c>
      <c r="H312" s="2"/>
    </row>
    <row r="313" spans="1:8" x14ac:dyDescent="0.25">
      <c r="A313" s="2" t="s">
        <v>552</v>
      </c>
      <c r="B313" s="2" t="s">
        <v>553</v>
      </c>
      <c r="C313" s="2" t="s">
        <v>25</v>
      </c>
      <c r="D313" s="3">
        <v>43936</v>
      </c>
      <c r="E313">
        <v>109162</v>
      </c>
      <c r="F313">
        <v>440</v>
      </c>
      <c r="G313">
        <v>0</v>
      </c>
      <c r="H313" s="2"/>
    </row>
    <row r="314" spans="1:8" x14ac:dyDescent="0.25">
      <c r="A314" s="2" t="s">
        <v>554</v>
      </c>
      <c r="B314" s="2" t="s">
        <v>555</v>
      </c>
      <c r="C314" s="2" t="s">
        <v>10</v>
      </c>
      <c r="D314" s="3">
        <v>42740</v>
      </c>
      <c r="E314">
        <v>383071</v>
      </c>
      <c r="F314">
        <v>427</v>
      </c>
      <c r="G314">
        <v>0</v>
      </c>
      <c r="H314" s="2"/>
    </row>
    <row r="315" spans="1:8" x14ac:dyDescent="0.25">
      <c r="A315" s="2" t="s">
        <v>556</v>
      </c>
      <c r="B315" s="2" t="s">
        <v>557</v>
      </c>
      <c r="C315" s="2" t="s">
        <v>25</v>
      </c>
      <c r="D315" s="3">
        <v>44495</v>
      </c>
      <c r="E315">
        <v>270170</v>
      </c>
      <c r="F315">
        <v>697</v>
      </c>
      <c r="G315">
        <v>0</v>
      </c>
      <c r="H315" s="2"/>
    </row>
    <row r="316" spans="1:8" x14ac:dyDescent="0.25">
      <c r="A316" s="2" t="s">
        <v>558</v>
      </c>
      <c r="B316" s="2" t="s">
        <v>96</v>
      </c>
      <c r="C316" s="2" t="s">
        <v>25</v>
      </c>
      <c r="D316" s="3">
        <v>44821</v>
      </c>
      <c r="E316">
        <v>327069</v>
      </c>
      <c r="F316">
        <v>762</v>
      </c>
      <c r="G316">
        <v>0</v>
      </c>
      <c r="H316" s="2"/>
    </row>
    <row r="317" spans="1:8" x14ac:dyDescent="0.25">
      <c r="A317" s="2" t="s">
        <v>559</v>
      </c>
      <c r="B317" s="2" t="s">
        <v>100</v>
      </c>
      <c r="C317" s="2" t="s">
        <v>13</v>
      </c>
      <c r="D317" s="3">
        <v>42853</v>
      </c>
      <c r="E317">
        <v>68842</v>
      </c>
      <c r="F317">
        <v>486</v>
      </c>
      <c r="G317">
        <v>127026</v>
      </c>
      <c r="H317" s="2"/>
    </row>
    <row r="318" spans="1:8" x14ac:dyDescent="0.25">
      <c r="A318" s="2" t="s">
        <v>560</v>
      </c>
      <c r="B318" s="2" t="s">
        <v>47</v>
      </c>
      <c r="C318" s="2" t="s">
        <v>13</v>
      </c>
      <c r="D318" s="3">
        <v>43006</v>
      </c>
      <c r="E318">
        <v>295809</v>
      </c>
      <c r="F318">
        <v>489</v>
      </c>
      <c r="G318">
        <v>0</v>
      </c>
      <c r="H318" s="2"/>
    </row>
    <row r="319" spans="1:8" x14ac:dyDescent="0.25">
      <c r="A319" s="2" t="s">
        <v>561</v>
      </c>
      <c r="B319" s="2" t="s">
        <v>562</v>
      </c>
      <c r="C319" s="2" t="s">
        <v>32</v>
      </c>
      <c r="D319" s="3">
        <v>44546</v>
      </c>
      <c r="E319">
        <v>271421</v>
      </c>
      <c r="F319">
        <v>687</v>
      </c>
      <c r="G319">
        <v>0</v>
      </c>
      <c r="H319" s="2"/>
    </row>
    <row r="320" spans="1:8" x14ac:dyDescent="0.25">
      <c r="A320" s="2" t="s">
        <v>563</v>
      </c>
      <c r="B320" s="2" t="s">
        <v>564</v>
      </c>
      <c r="C320" s="2" t="s">
        <v>13</v>
      </c>
      <c r="D320" s="3">
        <v>43753</v>
      </c>
      <c r="E320">
        <v>173311</v>
      </c>
      <c r="F320">
        <v>728</v>
      </c>
      <c r="G320">
        <v>0</v>
      </c>
      <c r="H320" s="2"/>
    </row>
    <row r="321" spans="1:8" x14ac:dyDescent="0.25">
      <c r="A321" s="2" t="s">
        <v>565</v>
      </c>
      <c r="B321" s="2" t="s">
        <v>566</v>
      </c>
      <c r="C321" s="2" t="s">
        <v>25</v>
      </c>
      <c r="D321" s="3">
        <v>43884</v>
      </c>
      <c r="E321">
        <v>440880</v>
      </c>
      <c r="F321">
        <v>583</v>
      </c>
      <c r="G321">
        <v>0</v>
      </c>
      <c r="H321" s="2"/>
    </row>
    <row r="322" spans="1:8" x14ac:dyDescent="0.25">
      <c r="A322" s="2" t="s">
        <v>567</v>
      </c>
      <c r="B322" s="2" t="s">
        <v>513</v>
      </c>
      <c r="C322" s="2" t="s">
        <v>32</v>
      </c>
      <c r="D322" s="3">
        <v>43862</v>
      </c>
      <c r="E322">
        <v>310152</v>
      </c>
      <c r="F322">
        <v>536</v>
      </c>
      <c r="G322">
        <v>0</v>
      </c>
      <c r="H322" s="2"/>
    </row>
    <row r="323" spans="1:8" x14ac:dyDescent="0.25">
      <c r="A323" s="2" t="s">
        <v>568</v>
      </c>
      <c r="B323" s="2" t="s">
        <v>211</v>
      </c>
      <c r="C323" s="2" t="s">
        <v>13</v>
      </c>
      <c r="D323" s="3">
        <v>45160</v>
      </c>
      <c r="E323">
        <v>276827</v>
      </c>
      <c r="F323">
        <v>493</v>
      </c>
      <c r="G323">
        <v>0</v>
      </c>
      <c r="H323" s="2"/>
    </row>
    <row r="324" spans="1:8" x14ac:dyDescent="0.25">
      <c r="A324" s="2" t="s">
        <v>569</v>
      </c>
      <c r="B324" s="2" t="s">
        <v>170</v>
      </c>
      <c r="C324" s="2" t="s">
        <v>10</v>
      </c>
      <c r="D324" s="3">
        <v>45786</v>
      </c>
      <c r="E324">
        <v>131742</v>
      </c>
      <c r="F324">
        <v>586</v>
      </c>
      <c r="G324">
        <v>0</v>
      </c>
      <c r="H324" s="2"/>
    </row>
    <row r="325" spans="1:8" x14ac:dyDescent="0.25">
      <c r="A325" s="2" t="s">
        <v>570</v>
      </c>
      <c r="B325" s="2" t="s">
        <v>397</v>
      </c>
      <c r="C325" s="2" t="s">
        <v>10</v>
      </c>
      <c r="D325" s="3">
        <v>42620</v>
      </c>
      <c r="E325">
        <v>220283</v>
      </c>
      <c r="F325">
        <v>435</v>
      </c>
      <c r="G325">
        <v>316741</v>
      </c>
      <c r="H325" s="2"/>
    </row>
    <row r="326" spans="1:8" x14ac:dyDescent="0.25">
      <c r="A326" s="2" t="s">
        <v>571</v>
      </c>
      <c r="B326" s="2" t="s">
        <v>539</v>
      </c>
      <c r="C326" s="2" t="s">
        <v>10</v>
      </c>
      <c r="D326" s="3">
        <v>45641</v>
      </c>
      <c r="E326">
        <v>148961</v>
      </c>
      <c r="F326">
        <v>470</v>
      </c>
      <c r="G326">
        <v>437348</v>
      </c>
      <c r="H326" s="2"/>
    </row>
    <row r="327" spans="1:8" x14ac:dyDescent="0.25">
      <c r="A327" s="2" t="s">
        <v>572</v>
      </c>
      <c r="B327" s="2" t="s">
        <v>573</v>
      </c>
      <c r="C327" s="2" t="s">
        <v>13</v>
      </c>
      <c r="D327" s="3">
        <v>42483</v>
      </c>
      <c r="E327">
        <v>448828</v>
      </c>
      <c r="F327">
        <v>458</v>
      </c>
      <c r="G327">
        <v>0</v>
      </c>
      <c r="H327" s="2"/>
    </row>
    <row r="328" spans="1:8" x14ac:dyDescent="0.25">
      <c r="A328" s="2" t="s">
        <v>574</v>
      </c>
      <c r="B328" s="2" t="s">
        <v>575</v>
      </c>
      <c r="C328" s="2" t="s">
        <v>13</v>
      </c>
      <c r="D328" s="3">
        <v>43225</v>
      </c>
      <c r="E328">
        <v>175607</v>
      </c>
      <c r="F328">
        <v>500</v>
      </c>
      <c r="G328">
        <v>0</v>
      </c>
      <c r="H328" s="2"/>
    </row>
    <row r="329" spans="1:8" x14ac:dyDescent="0.25">
      <c r="A329" s="2" t="s">
        <v>576</v>
      </c>
      <c r="B329" s="2" t="s">
        <v>255</v>
      </c>
      <c r="C329" s="2" t="s">
        <v>10</v>
      </c>
      <c r="D329" s="3">
        <v>44188</v>
      </c>
      <c r="E329">
        <v>340686</v>
      </c>
      <c r="F329">
        <v>786</v>
      </c>
      <c r="G329">
        <v>0</v>
      </c>
      <c r="H329" s="2"/>
    </row>
    <row r="330" spans="1:8" x14ac:dyDescent="0.25">
      <c r="A330" s="2" t="s">
        <v>577</v>
      </c>
      <c r="B330" s="2" t="s">
        <v>506</v>
      </c>
      <c r="C330" s="2" t="s">
        <v>25</v>
      </c>
      <c r="D330" s="3">
        <v>43026</v>
      </c>
      <c r="E330">
        <v>316463</v>
      </c>
      <c r="F330">
        <v>803</v>
      </c>
      <c r="G330">
        <v>0</v>
      </c>
      <c r="H330" s="2"/>
    </row>
    <row r="331" spans="1:8" x14ac:dyDescent="0.25">
      <c r="A331" s="2" t="s">
        <v>578</v>
      </c>
      <c r="B331" s="2" t="s">
        <v>144</v>
      </c>
      <c r="C331" s="2" t="s">
        <v>25</v>
      </c>
      <c r="D331" s="3">
        <v>43469</v>
      </c>
      <c r="E331">
        <v>245144</v>
      </c>
      <c r="F331">
        <v>670</v>
      </c>
      <c r="G331">
        <v>0</v>
      </c>
      <c r="H331" s="2"/>
    </row>
    <row r="332" spans="1:8" x14ac:dyDescent="0.25">
      <c r="A332" s="2" t="s">
        <v>579</v>
      </c>
      <c r="B332" s="2" t="s">
        <v>128</v>
      </c>
      <c r="C332" s="2" t="s">
        <v>10</v>
      </c>
      <c r="D332" s="3">
        <v>42406</v>
      </c>
      <c r="E332">
        <v>354211</v>
      </c>
      <c r="F332">
        <v>402</v>
      </c>
      <c r="G332">
        <v>0</v>
      </c>
      <c r="H332" s="2"/>
    </row>
    <row r="333" spans="1:8" x14ac:dyDescent="0.25">
      <c r="A333" s="2" t="s">
        <v>580</v>
      </c>
      <c r="B333" s="2" t="s">
        <v>581</v>
      </c>
      <c r="C333" s="2" t="s">
        <v>13</v>
      </c>
      <c r="D333" s="3">
        <v>43227</v>
      </c>
      <c r="E333">
        <v>152711</v>
      </c>
      <c r="F333">
        <v>424</v>
      </c>
      <c r="G333">
        <v>0</v>
      </c>
      <c r="H333" s="2"/>
    </row>
    <row r="334" spans="1:8" x14ac:dyDescent="0.25">
      <c r="A334" s="2" t="s">
        <v>582</v>
      </c>
      <c r="B334" s="2" t="s">
        <v>583</v>
      </c>
      <c r="C334" s="2" t="s">
        <v>10</v>
      </c>
      <c r="D334" s="3">
        <v>43429</v>
      </c>
      <c r="E334">
        <v>195784</v>
      </c>
      <c r="F334">
        <v>612</v>
      </c>
      <c r="G334">
        <v>0</v>
      </c>
      <c r="H334" s="2"/>
    </row>
    <row r="335" spans="1:8" x14ac:dyDescent="0.25">
      <c r="A335" s="2" t="s">
        <v>584</v>
      </c>
      <c r="B335" s="2" t="s">
        <v>281</v>
      </c>
      <c r="C335" s="2" t="s">
        <v>13</v>
      </c>
      <c r="D335" s="3">
        <v>45482</v>
      </c>
      <c r="E335">
        <v>409849</v>
      </c>
      <c r="F335">
        <v>757</v>
      </c>
      <c r="G335">
        <v>0</v>
      </c>
      <c r="H335" s="2"/>
    </row>
    <row r="336" spans="1:8" x14ac:dyDescent="0.25">
      <c r="A336" s="2" t="s">
        <v>585</v>
      </c>
      <c r="B336" s="2" t="s">
        <v>586</v>
      </c>
      <c r="C336" s="2" t="s">
        <v>32</v>
      </c>
      <c r="D336" s="3">
        <v>44934</v>
      </c>
      <c r="E336">
        <v>252217</v>
      </c>
      <c r="F336">
        <v>529</v>
      </c>
      <c r="G336">
        <v>0</v>
      </c>
      <c r="H336" s="2"/>
    </row>
    <row r="337" spans="1:8" x14ac:dyDescent="0.25">
      <c r="A337" s="2" t="s">
        <v>587</v>
      </c>
      <c r="B337" s="2" t="s">
        <v>34</v>
      </c>
      <c r="C337" s="2" t="s">
        <v>25</v>
      </c>
      <c r="D337" s="3">
        <v>44222</v>
      </c>
      <c r="E337">
        <v>427876</v>
      </c>
      <c r="F337">
        <v>496</v>
      </c>
      <c r="G337">
        <v>0</v>
      </c>
      <c r="H337" s="2"/>
    </row>
    <row r="338" spans="1:8" x14ac:dyDescent="0.25">
      <c r="A338" s="2" t="s">
        <v>588</v>
      </c>
      <c r="B338" s="2" t="s">
        <v>291</v>
      </c>
      <c r="C338" s="2" t="s">
        <v>25</v>
      </c>
      <c r="D338" s="3">
        <v>44861</v>
      </c>
      <c r="E338">
        <v>331119</v>
      </c>
      <c r="F338">
        <v>722</v>
      </c>
      <c r="G338">
        <v>0</v>
      </c>
      <c r="H338" s="2"/>
    </row>
    <row r="339" spans="1:8" x14ac:dyDescent="0.25">
      <c r="A339" s="2" t="s">
        <v>589</v>
      </c>
      <c r="B339" s="2" t="s">
        <v>240</v>
      </c>
      <c r="C339" s="2" t="s">
        <v>32</v>
      </c>
      <c r="D339" s="3">
        <v>42767</v>
      </c>
      <c r="E339">
        <v>163244</v>
      </c>
      <c r="F339">
        <v>470</v>
      </c>
      <c r="G339">
        <v>0</v>
      </c>
      <c r="H339" s="2"/>
    </row>
    <row r="340" spans="1:8" x14ac:dyDescent="0.25">
      <c r="A340" s="2" t="s">
        <v>590</v>
      </c>
      <c r="B340" s="2" t="s">
        <v>196</v>
      </c>
      <c r="C340" s="2" t="s">
        <v>13</v>
      </c>
      <c r="D340" s="3">
        <v>45406</v>
      </c>
      <c r="E340">
        <v>452413</v>
      </c>
      <c r="F340">
        <v>681</v>
      </c>
      <c r="G340">
        <v>0</v>
      </c>
      <c r="H340" s="2"/>
    </row>
    <row r="341" spans="1:8" x14ac:dyDescent="0.25">
      <c r="A341" s="2" t="s">
        <v>591</v>
      </c>
      <c r="B341" s="2" t="s">
        <v>542</v>
      </c>
      <c r="C341" s="2" t="s">
        <v>25</v>
      </c>
      <c r="D341" s="3">
        <v>44887</v>
      </c>
      <c r="E341">
        <v>101158</v>
      </c>
      <c r="F341">
        <v>472</v>
      </c>
      <c r="G341">
        <v>0</v>
      </c>
      <c r="H341" s="2"/>
    </row>
    <row r="342" spans="1:8" x14ac:dyDescent="0.25">
      <c r="A342" s="2" t="s">
        <v>592</v>
      </c>
      <c r="B342" s="2" t="s">
        <v>593</v>
      </c>
      <c r="C342" s="2" t="s">
        <v>13</v>
      </c>
      <c r="D342" s="3">
        <v>43599</v>
      </c>
      <c r="E342">
        <v>452063</v>
      </c>
      <c r="F342">
        <v>752</v>
      </c>
      <c r="G342">
        <v>467927</v>
      </c>
      <c r="H342" s="2" t="s">
        <v>59</v>
      </c>
    </row>
    <row r="343" spans="1:8" x14ac:dyDescent="0.25">
      <c r="A343" s="2" t="s">
        <v>594</v>
      </c>
      <c r="B343" s="2" t="s">
        <v>595</v>
      </c>
      <c r="C343" s="2" t="s">
        <v>32</v>
      </c>
      <c r="D343" s="3">
        <v>44417</v>
      </c>
      <c r="E343">
        <v>273721</v>
      </c>
      <c r="F343">
        <v>649</v>
      </c>
      <c r="G343">
        <v>0</v>
      </c>
      <c r="H343" s="2"/>
    </row>
    <row r="344" spans="1:8" x14ac:dyDescent="0.25">
      <c r="A344" s="2" t="s">
        <v>596</v>
      </c>
      <c r="B344" s="2" t="s">
        <v>597</v>
      </c>
      <c r="C344" s="2" t="s">
        <v>13</v>
      </c>
      <c r="D344" s="3">
        <v>45227</v>
      </c>
      <c r="E344">
        <v>339443</v>
      </c>
      <c r="F344">
        <v>793</v>
      </c>
      <c r="G344">
        <v>393333</v>
      </c>
      <c r="H344" s="2"/>
    </row>
    <row r="345" spans="1:8" x14ac:dyDescent="0.25">
      <c r="A345" s="2" t="s">
        <v>598</v>
      </c>
      <c r="B345" s="2" t="s">
        <v>599</v>
      </c>
      <c r="C345" s="2" t="s">
        <v>25</v>
      </c>
      <c r="D345" s="3">
        <v>44551</v>
      </c>
      <c r="E345">
        <v>282320</v>
      </c>
      <c r="F345">
        <v>303</v>
      </c>
      <c r="G345">
        <v>0</v>
      </c>
      <c r="H345" s="2"/>
    </row>
    <row r="346" spans="1:8" x14ac:dyDescent="0.25">
      <c r="A346" s="2" t="s">
        <v>600</v>
      </c>
      <c r="B346" s="2" t="s">
        <v>132</v>
      </c>
      <c r="C346" s="2" t="s">
        <v>25</v>
      </c>
      <c r="D346" s="3">
        <v>45530</v>
      </c>
      <c r="E346">
        <v>437602</v>
      </c>
      <c r="F346">
        <v>392</v>
      </c>
      <c r="G346">
        <v>0</v>
      </c>
      <c r="H346" s="2"/>
    </row>
    <row r="347" spans="1:8" x14ac:dyDescent="0.25">
      <c r="A347" s="2" t="s">
        <v>601</v>
      </c>
      <c r="B347" s="2" t="s">
        <v>593</v>
      </c>
      <c r="C347" s="2" t="s">
        <v>13</v>
      </c>
      <c r="D347" s="3">
        <v>44962</v>
      </c>
      <c r="E347">
        <v>63972</v>
      </c>
      <c r="F347">
        <v>305</v>
      </c>
      <c r="G347">
        <v>0</v>
      </c>
      <c r="H347" s="2"/>
    </row>
    <row r="348" spans="1:8" x14ac:dyDescent="0.25">
      <c r="A348" s="2" t="s">
        <v>602</v>
      </c>
      <c r="B348" s="2" t="s">
        <v>90</v>
      </c>
      <c r="C348" s="2" t="s">
        <v>13</v>
      </c>
      <c r="D348" s="3">
        <v>43171</v>
      </c>
      <c r="E348">
        <v>382162</v>
      </c>
      <c r="F348">
        <v>587</v>
      </c>
      <c r="G348">
        <v>277869</v>
      </c>
      <c r="H348" s="2"/>
    </row>
    <row r="349" spans="1:8" x14ac:dyDescent="0.25">
      <c r="A349" s="2" t="s">
        <v>603</v>
      </c>
      <c r="B349" s="2" t="s">
        <v>604</v>
      </c>
      <c r="C349" s="2" t="s">
        <v>25</v>
      </c>
      <c r="D349" s="3">
        <v>44803</v>
      </c>
      <c r="E349">
        <v>483007</v>
      </c>
      <c r="F349">
        <v>445</v>
      </c>
      <c r="G349">
        <v>0</v>
      </c>
      <c r="H349" s="2"/>
    </row>
    <row r="350" spans="1:8" x14ac:dyDescent="0.25">
      <c r="A350" s="2" t="s">
        <v>605</v>
      </c>
      <c r="B350" s="2" t="s">
        <v>397</v>
      </c>
      <c r="C350" s="2" t="s">
        <v>10</v>
      </c>
      <c r="D350" s="3">
        <v>44433</v>
      </c>
      <c r="E350">
        <v>434219</v>
      </c>
      <c r="F350">
        <v>723</v>
      </c>
      <c r="G350">
        <v>0</v>
      </c>
      <c r="H350" s="2"/>
    </row>
    <row r="351" spans="1:8" x14ac:dyDescent="0.25">
      <c r="A351" s="2" t="s">
        <v>606</v>
      </c>
      <c r="B351" s="2" t="s">
        <v>15</v>
      </c>
      <c r="C351" s="2" t="s">
        <v>13</v>
      </c>
      <c r="D351" s="3">
        <v>43800</v>
      </c>
      <c r="E351">
        <v>282140</v>
      </c>
      <c r="F351">
        <v>756</v>
      </c>
      <c r="G351">
        <v>0</v>
      </c>
      <c r="H351" s="2" t="s">
        <v>39</v>
      </c>
    </row>
    <row r="352" spans="1:8" x14ac:dyDescent="0.25">
      <c r="A352" s="2" t="s">
        <v>607</v>
      </c>
      <c r="B352" s="2" t="s">
        <v>608</v>
      </c>
      <c r="C352" s="2" t="s">
        <v>13</v>
      </c>
      <c r="D352" s="3">
        <v>43973</v>
      </c>
      <c r="E352">
        <v>100922</v>
      </c>
      <c r="F352">
        <v>501</v>
      </c>
      <c r="G352">
        <v>0</v>
      </c>
      <c r="H352" s="2"/>
    </row>
    <row r="353" spans="1:8" x14ac:dyDescent="0.25">
      <c r="A353" s="2" t="s">
        <v>609</v>
      </c>
      <c r="B353" s="2" t="s">
        <v>610</v>
      </c>
      <c r="C353" s="2" t="s">
        <v>13</v>
      </c>
      <c r="D353" s="3">
        <v>45651</v>
      </c>
      <c r="E353">
        <v>348742</v>
      </c>
      <c r="F353">
        <v>511</v>
      </c>
      <c r="G353">
        <v>0</v>
      </c>
      <c r="H353" s="2" t="s">
        <v>39</v>
      </c>
    </row>
    <row r="354" spans="1:8" x14ac:dyDescent="0.25">
      <c r="A354" s="2" t="s">
        <v>611</v>
      </c>
      <c r="B354" s="2" t="s">
        <v>455</v>
      </c>
      <c r="C354" s="2" t="s">
        <v>25</v>
      </c>
      <c r="D354" s="3">
        <v>42667</v>
      </c>
      <c r="E354">
        <v>35931</v>
      </c>
      <c r="F354">
        <v>305</v>
      </c>
      <c r="G354">
        <v>0</v>
      </c>
      <c r="H354" s="2"/>
    </row>
    <row r="355" spans="1:8" x14ac:dyDescent="0.25">
      <c r="A355" s="2" t="s">
        <v>612</v>
      </c>
      <c r="B355" s="2" t="s">
        <v>112</v>
      </c>
      <c r="C355" s="2" t="s">
        <v>10</v>
      </c>
      <c r="D355" s="3">
        <v>43668</v>
      </c>
      <c r="E355">
        <v>124168</v>
      </c>
      <c r="F355">
        <v>675</v>
      </c>
      <c r="G355">
        <v>478006</v>
      </c>
      <c r="H355" s="2"/>
    </row>
    <row r="356" spans="1:8" x14ac:dyDescent="0.25">
      <c r="A356" s="2" t="s">
        <v>613</v>
      </c>
      <c r="B356" s="2" t="s">
        <v>614</v>
      </c>
      <c r="C356" s="2" t="s">
        <v>13</v>
      </c>
      <c r="D356" s="3">
        <v>43741</v>
      </c>
      <c r="E356">
        <v>166782</v>
      </c>
      <c r="F356">
        <v>746</v>
      </c>
      <c r="G356">
        <v>0</v>
      </c>
      <c r="H356" s="2"/>
    </row>
    <row r="357" spans="1:8" x14ac:dyDescent="0.25">
      <c r="A357" s="2" t="s">
        <v>615</v>
      </c>
      <c r="B357" s="2" t="s">
        <v>616</v>
      </c>
      <c r="C357" s="2" t="s">
        <v>13</v>
      </c>
      <c r="D357" s="3">
        <v>45080</v>
      </c>
      <c r="E357">
        <v>123099</v>
      </c>
      <c r="F357">
        <v>405</v>
      </c>
      <c r="G357">
        <v>0</v>
      </c>
      <c r="H357" s="2"/>
    </row>
    <row r="358" spans="1:8" x14ac:dyDescent="0.25">
      <c r="A358" s="2" t="s">
        <v>617</v>
      </c>
      <c r="B358" s="2" t="s">
        <v>156</v>
      </c>
      <c r="C358" s="2" t="s">
        <v>13</v>
      </c>
      <c r="D358" s="3">
        <v>44928</v>
      </c>
      <c r="E358">
        <v>34693</v>
      </c>
      <c r="F358">
        <v>700</v>
      </c>
      <c r="G358">
        <v>0</v>
      </c>
      <c r="H358" s="2" t="s">
        <v>59</v>
      </c>
    </row>
    <row r="359" spans="1:8" x14ac:dyDescent="0.25">
      <c r="A359" s="2" t="s">
        <v>618</v>
      </c>
      <c r="B359" s="2" t="s">
        <v>619</v>
      </c>
      <c r="C359" s="2" t="s">
        <v>13</v>
      </c>
      <c r="D359" s="3">
        <v>42725</v>
      </c>
      <c r="E359">
        <v>428956</v>
      </c>
      <c r="F359">
        <v>395</v>
      </c>
      <c r="G359">
        <v>0</v>
      </c>
      <c r="H359" s="2"/>
    </row>
    <row r="360" spans="1:8" x14ac:dyDescent="0.25">
      <c r="A360" s="2" t="s">
        <v>620</v>
      </c>
      <c r="B360" s="2" t="s">
        <v>621</v>
      </c>
      <c r="C360" s="2" t="s">
        <v>10</v>
      </c>
      <c r="D360" s="3">
        <v>44388</v>
      </c>
      <c r="E360">
        <v>470457</v>
      </c>
      <c r="F360">
        <v>687</v>
      </c>
      <c r="G360">
        <v>0</v>
      </c>
      <c r="H360" s="2"/>
    </row>
    <row r="361" spans="1:8" x14ac:dyDescent="0.25">
      <c r="A361" s="2" t="s">
        <v>622</v>
      </c>
      <c r="B361" s="2" t="s">
        <v>196</v>
      </c>
      <c r="C361" s="2" t="s">
        <v>13</v>
      </c>
      <c r="D361" s="3">
        <v>43497</v>
      </c>
      <c r="E361">
        <v>108944</v>
      </c>
      <c r="F361">
        <v>751</v>
      </c>
      <c r="G361">
        <v>63560</v>
      </c>
      <c r="H361" s="2"/>
    </row>
    <row r="362" spans="1:8" x14ac:dyDescent="0.25">
      <c r="A362" s="2" t="s">
        <v>623</v>
      </c>
      <c r="B362" s="2" t="s">
        <v>624</v>
      </c>
      <c r="C362" s="2" t="s">
        <v>13</v>
      </c>
      <c r="D362" s="3">
        <v>44462</v>
      </c>
      <c r="E362">
        <v>224655</v>
      </c>
      <c r="F362">
        <v>715</v>
      </c>
      <c r="G362">
        <v>0</v>
      </c>
      <c r="H362" s="2"/>
    </row>
    <row r="363" spans="1:8" x14ac:dyDescent="0.25">
      <c r="A363" s="2" t="s">
        <v>625</v>
      </c>
      <c r="B363" s="2" t="s">
        <v>24</v>
      </c>
      <c r="C363" s="2" t="s">
        <v>25</v>
      </c>
      <c r="D363" s="3">
        <v>43869</v>
      </c>
      <c r="E363">
        <v>207574</v>
      </c>
      <c r="F363">
        <v>803</v>
      </c>
      <c r="G363">
        <v>0</v>
      </c>
      <c r="H363" s="2"/>
    </row>
    <row r="364" spans="1:8" x14ac:dyDescent="0.25">
      <c r="A364" s="2" t="s">
        <v>626</v>
      </c>
      <c r="B364" s="2" t="s">
        <v>619</v>
      </c>
      <c r="C364" s="2" t="s">
        <v>13</v>
      </c>
      <c r="D364" s="3">
        <v>42862</v>
      </c>
      <c r="E364">
        <v>279518</v>
      </c>
      <c r="F364">
        <v>753</v>
      </c>
      <c r="G364">
        <v>155953</v>
      </c>
      <c r="H364" s="2" t="s">
        <v>59</v>
      </c>
    </row>
    <row r="365" spans="1:8" x14ac:dyDescent="0.25">
      <c r="A365" s="2" t="s">
        <v>627</v>
      </c>
      <c r="B365" s="2" t="s">
        <v>285</v>
      </c>
      <c r="C365" s="2" t="s">
        <v>10</v>
      </c>
      <c r="D365" s="3">
        <v>42545</v>
      </c>
      <c r="E365">
        <v>469890</v>
      </c>
      <c r="F365">
        <v>590</v>
      </c>
      <c r="G365">
        <v>222364</v>
      </c>
      <c r="H365" s="2"/>
    </row>
    <row r="366" spans="1:8" x14ac:dyDescent="0.25">
      <c r="A366" s="2" t="s">
        <v>628</v>
      </c>
      <c r="B366" s="2" t="s">
        <v>629</v>
      </c>
      <c r="C366" s="2" t="s">
        <v>10</v>
      </c>
      <c r="D366" s="3">
        <v>45831</v>
      </c>
      <c r="E366">
        <v>247572</v>
      </c>
      <c r="F366">
        <v>833</v>
      </c>
      <c r="G366">
        <v>0</v>
      </c>
      <c r="H366" s="2"/>
    </row>
    <row r="367" spans="1:8" x14ac:dyDescent="0.25">
      <c r="A367" s="2" t="s">
        <v>630</v>
      </c>
      <c r="B367" s="2" t="s">
        <v>631</v>
      </c>
      <c r="C367" s="2" t="s">
        <v>10</v>
      </c>
      <c r="D367" s="3">
        <v>43612</v>
      </c>
      <c r="E367">
        <v>343615</v>
      </c>
      <c r="F367">
        <v>492</v>
      </c>
      <c r="G367">
        <v>231024</v>
      </c>
      <c r="H367" s="2"/>
    </row>
    <row r="368" spans="1:8" x14ac:dyDescent="0.25">
      <c r="A368" s="2" t="s">
        <v>632</v>
      </c>
      <c r="B368" s="2" t="s">
        <v>633</v>
      </c>
      <c r="C368" s="2" t="s">
        <v>10</v>
      </c>
      <c r="D368" s="3">
        <v>44439</v>
      </c>
      <c r="E368">
        <v>45913</v>
      </c>
      <c r="F368">
        <v>449</v>
      </c>
      <c r="G368">
        <v>185775</v>
      </c>
      <c r="H368" s="2"/>
    </row>
    <row r="369" spans="1:8" x14ac:dyDescent="0.25">
      <c r="A369" s="2" t="s">
        <v>634</v>
      </c>
      <c r="B369" s="2" t="s">
        <v>90</v>
      </c>
      <c r="C369" s="2" t="s">
        <v>10</v>
      </c>
      <c r="D369" s="3">
        <v>42538</v>
      </c>
      <c r="E369">
        <v>385827</v>
      </c>
      <c r="F369">
        <v>814</v>
      </c>
      <c r="G369">
        <v>0</v>
      </c>
      <c r="H369" s="2" t="s">
        <v>18</v>
      </c>
    </row>
    <row r="370" spans="1:8" x14ac:dyDescent="0.25">
      <c r="A370" s="2" t="s">
        <v>635</v>
      </c>
      <c r="B370" s="2" t="s">
        <v>636</v>
      </c>
      <c r="C370" s="2" t="s">
        <v>25</v>
      </c>
      <c r="D370" s="3">
        <v>42334</v>
      </c>
      <c r="E370">
        <v>197097</v>
      </c>
      <c r="F370">
        <v>692</v>
      </c>
      <c r="G370">
        <v>96288</v>
      </c>
      <c r="H370" s="2"/>
    </row>
    <row r="371" spans="1:8" x14ac:dyDescent="0.25">
      <c r="A371" s="2" t="s">
        <v>637</v>
      </c>
      <c r="B371" s="2" t="s">
        <v>638</v>
      </c>
      <c r="C371" s="2" t="s">
        <v>10</v>
      </c>
      <c r="D371" s="3">
        <v>43430</v>
      </c>
      <c r="E371">
        <v>306660</v>
      </c>
      <c r="F371">
        <v>615</v>
      </c>
      <c r="G371">
        <v>0</v>
      </c>
      <c r="H371" s="2" t="s">
        <v>59</v>
      </c>
    </row>
    <row r="372" spans="1:8" x14ac:dyDescent="0.25">
      <c r="A372" s="2" t="s">
        <v>639</v>
      </c>
      <c r="B372" s="2" t="s">
        <v>640</v>
      </c>
      <c r="C372" s="2" t="s">
        <v>10</v>
      </c>
      <c r="D372" s="3">
        <v>43371</v>
      </c>
      <c r="E372">
        <v>87796</v>
      </c>
      <c r="F372">
        <v>375</v>
      </c>
      <c r="G372">
        <v>0</v>
      </c>
      <c r="H372" s="2"/>
    </row>
    <row r="373" spans="1:8" x14ac:dyDescent="0.25">
      <c r="A373" s="2" t="s">
        <v>641</v>
      </c>
      <c r="B373" s="2" t="s">
        <v>443</v>
      </c>
      <c r="C373" s="2" t="s">
        <v>25</v>
      </c>
      <c r="D373" s="3">
        <v>45576</v>
      </c>
      <c r="E373">
        <v>288213</v>
      </c>
      <c r="F373">
        <v>569</v>
      </c>
      <c r="G373">
        <v>0</v>
      </c>
      <c r="H373" s="2"/>
    </row>
    <row r="374" spans="1:8" x14ac:dyDescent="0.25">
      <c r="A374" s="2" t="s">
        <v>642</v>
      </c>
      <c r="B374" s="2" t="s">
        <v>643</v>
      </c>
      <c r="C374" s="2" t="s">
        <v>10</v>
      </c>
      <c r="D374" s="3">
        <v>43851</v>
      </c>
      <c r="E374">
        <v>380477</v>
      </c>
      <c r="F374">
        <v>524</v>
      </c>
      <c r="G374">
        <v>0</v>
      </c>
      <c r="H374" s="2"/>
    </row>
    <row r="375" spans="1:8" x14ac:dyDescent="0.25">
      <c r="A375" s="2" t="s">
        <v>644</v>
      </c>
      <c r="B375" s="2" t="s">
        <v>645</v>
      </c>
      <c r="C375" s="2" t="s">
        <v>13</v>
      </c>
      <c r="D375" s="3">
        <v>44164</v>
      </c>
      <c r="E375">
        <v>449449</v>
      </c>
      <c r="F375">
        <v>829</v>
      </c>
      <c r="G375">
        <v>0</v>
      </c>
      <c r="H375" s="2"/>
    </row>
    <row r="376" spans="1:8" x14ac:dyDescent="0.25">
      <c r="A376" s="2" t="s">
        <v>646</v>
      </c>
      <c r="B376" s="2" t="s">
        <v>581</v>
      </c>
      <c r="C376" s="2" t="s">
        <v>13</v>
      </c>
      <c r="D376" s="3">
        <v>45779</v>
      </c>
      <c r="E376">
        <v>84811</v>
      </c>
      <c r="F376">
        <v>412</v>
      </c>
      <c r="G376">
        <v>0</v>
      </c>
      <c r="H376" s="2"/>
    </row>
    <row r="377" spans="1:8" x14ac:dyDescent="0.25">
      <c r="A377" s="2" t="s">
        <v>647</v>
      </c>
      <c r="B377" s="2" t="s">
        <v>118</v>
      </c>
      <c r="C377" s="2" t="s">
        <v>13</v>
      </c>
      <c r="D377" s="3">
        <v>44075</v>
      </c>
      <c r="E377">
        <v>190121</v>
      </c>
      <c r="F377">
        <v>550</v>
      </c>
      <c r="G377">
        <v>0</v>
      </c>
      <c r="H377" s="2"/>
    </row>
    <row r="378" spans="1:8" x14ac:dyDescent="0.25">
      <c r="A378" s="2" t="s">
        <v>648</v>
      </c>
      <c r="B378" s="2" t="s">
        <v>649</v>
      </c>
      <c r="C378" s="2" t="s">
        <v>25</v>
      </c>
      <c r="D378" s="3">
        <v>43396</v>
      </c>
      <c r="E378">
        <v>232892</v>
      </c>
      <c r="F378">
        <v>532</v>
      </c>
      <c r="G378">
        <v>0</v>
      </c>
      <c r="H378" s="2"/>
    </row>
    <row r="379" spans="1:8" x14ac:dyDescent="0.25">
      <c r="A379" s="2" t="s">
        <v>650</v>
      </c>
      <c r="B379" s="2" t="s">
        <v>336</v>
      </c>
      <c r="C379" s="2" t="s">
        <v>25</v>
      </c>
      <c r="D379" s="3">
        <v>45154</v>
      </c>
      <c r="E379">
        <v>380172</v>
      </c>
      <c r="F379">
        <v>382</v>
      </c>
      <c r="G379">
        <v>0</v>
      </c>
      <c r="H379" s="2" t="s">
        <v>39</v>
      </c>
    </row>
    <row r="380" spans="1:8" x14ac:dyDescent="0.25">
      <c r="A380" s="2" t="s">
        <v>651</v>
      </c>
      <c r="B380" s="2" t="s">
        <v>652</v>
      </c>
      <c r="C380" s="2" t="s">
        <v>32</v>
      </c>
      <c r="D380" s="3">
        <v>45188</v>
      </c>
      <c r="E380">
        <v>39178</v>
      </c>
      <c r="F380">
        <v>424</v>
      </c>
      <c r="G380">
        <v>0</v>
      </c>
      <c r="H380" s="2"/>
    </row>
    <row r="381" spans="1:8" x14ac:dyDescent="0.25">
      <c r="A381" s="2" t="s">
        <v>653</v>
      </c>
      <c r="B381" s="2" t="s">
        <v>287</v>
      </c>
      <c r="C381" s="2" t="s">
        <v>10</v>
      </c>
      <c r="D381" s="3">
        <v>44080</v>
      </c>
      <c r="E381">
        <v>294965</v>
      </c>
      <c r="F381">
        <v>474</v>
      </c>
      <c r="G381">
        <v>0</v>
      </c>
      <c r="H381" s="2"/>
    </row>
    <row r="382" spans="1:8" x14ac:dyDescent="0.25">
      <c r="A382" s="2" t="s">
        <v>654</v>
      </c>
      <c r="B382" s="2" t="s">
        <v>655</v>
      </c>
      <c r="C382" s="2" t="s">
        <v>10</v>
      </c>
      <c r="D382" s="3">
        <v>43144</v>
      </c>
      <c r="E382">
        <v>444943</v>
      </c>
      <c r="F382">
        <v>368</v>
      </c>
      <c r="G382">
        <v>493815</v>
      </c>
      <c r="H382" s="2"/>
    </row>
    <row r="383" spans="1:8" x14ac:dyDescent="0.25">
      <c r="A383" s="2" t="s">
        <v>656</v>
      </c>
      <c r="B383" s="2" t="s">
        <v>657</v>
      </c>
      <c r="C383" s="2" t="s">
        <v>13</v>
      </c>
      <c r="D383" s="3">
        <v>43532</v>
      </c>
      <c r="E383">
        <v>454151</v>
      </c>
      <c r="F383">
        <v>346</v>
      </c>
      <c r="G383">
        <v>0</v>
      </c>
      <c r="H383" s="2"/>
    </row>
    <row r="384" spans="1:8" x14ac:dyDescent="0.25">
      <c r="A384" s="2" t="s">
        <v>658</v>
      </c>
      <c r="B384" s="2" t="s">
        <v>659</v>
      </c>
      <c r="C384" s="2" t="s">
        <v>10</v>
      </c>
      <c r="D384" s="3">
        <v>45259</v>
      </c>
      <c r="E384">
        <v>16999</v>
      </c>
      <c r="F384">
        <v>555</v>
      </c>
      <c r="G384">
        <v>378957</v>
      </c>
      <c r="H384" s="2"/>
    </row>
    <row r="385" spans="1:8" x14ac:dyDescent="0.25">
      <c r="A385" s="2" t="s">
        <v>660</v>
      </c>
      <c r="B385" s="2" t="s">
        <v>318</v>
      </c>
      <c r="C385" s="2" t="s">
        <v>10</v>
      </c>
      <c r="D385" s="3">
        <v>43283</v>
      </c>
      <c r="E385">
        <v>455738</v>
      </c>
      <c r="F385">
        <v>329</v>
      </c>
      <c r="G385">
        <v>0</v>
      </c>
      <c r="H385" s="2"/>
    </row>
    <row r="386" spans="1:8" x14ac:dyDescent="0.25">
      <c r="A386" s="2" t="s">
        <v>661</v>
      </c>
      <c r="B386" s="2" t="s">
        <v>662</v>
      </c>
      <c r="C386" s="2" t="s">
        <v>32</v>
      </c>
      <c r="D386" s="3">
        <v>42983</v>
      </c>
      <c r="E386">
        <v>300856</v>
      </c>
      <c r="F386">
        <v>580</v>
      </c>
      <c r="G386">
        <v>0</v>
      </c>
      <c r="H386" s="2"/>
    </row>
    <row r="387" spans="1:8" x14ac:dyDescent="0.25">
      <c r="A387" s="2" t="s">
        <v>663</v>
      </c>
      <c r="B387" s="2" t="s">
        <v>664</v>
      </c>
      <c r="C387" s="2" t="s">
        <v>13</v>
      </c>
      <c r="D387" s="3">
        <v>44121</v>
      </c>
      <c r="E387">
        <v>195623</v>
      </c>
      <c r="F387">
        <v>536</v>
      </c>
      <c r="G387">
        <v>0</v>
      </c>
      <c r="H387" s="2"/>
    </row>
    <row r="388" spans="1:8" x14ac:dyDescent="0.25">
      <c r="A388" s="2" t="s">
        <v>665</v>
      </c>
      <c r="B388" s="2" t="s">
        <v>516</v>
      </c>
      <c r="C388" s="2" t="s">
        <v>10</v>
      </c>
      <c r="D388" s="3">
        <v>45864</v>
      </c>
      <c r="E388">
        <v>171244</v>
      </c>
      <c r="F388">
        <v>547</v>
      </c>
      <c r="G388">
        <v>0</v>
      </c>
      <c r="H388" s="2"/>
    </row>
    <row r="389" spans="1:8" x14ac:dyDescent="0.25">
      <c r="A389" s="2" t="s">
        <v>666</v>
      </c>
      <c r="B389" s="2" t="s">
        <v>667</v>
      </c>
      <c r="C389" s="2" t="s">
        <v>10</v>
      </c>
      <c r="D389" s="3">
        <v>43486</v>
      </c>
      <c r="E389">
        <v>295866</v>
      </c>
      <c r="F389">
        <v>667</v>
      </c>
      <c r="G389">
        <v>0</v>
      </c>
      <c r="H389" s="2"/>
    </row>
    <row r="390" spans="1:8" x14ac:dyDescent="0.25">
      <c r="A390" s="2" t="s">
        <v>668</v>
      </c>
      <c r="B390" s="2" t="s">
        <v>71</v>
      </c>
      <c r="C390" s="2" t="s">
        <v>10</v>
      </c>
      <c r="D390" s="3">
        <v>43062</v>
      </c>
      <c r="E390">
        <v>272769</v>
      </c>
      <c r="F390">
        <v>794</v>
      </c>
      <c r="G390">
        <v>0</v>
      </c>
      <c r="H390" s="2"/>
    </row>
    <row r="391" spans="1:8" x14ac:dyDescent="0.25">
      <c r="A391" s="2" t="s">
        <v>669</v>
      </c>
      <c r="B391" s="2" t="s">
        <v>670</v>
      </c>
      <c r="C391" s="2" t="s">
        <v>10</v>
      </c>
      <c r="D391" s="3">
        <v>42373</v>
      </c>
      <c r="E391">
        <v>198237</v>
      </c>
      <c r="F391">
        <v>324</v>
      </c>
      <c r="G391">
        <v>349912</v>
      </c>
      <c r="H391" s="2" t="s">
        <v>39</v>
      </c>
    </row>
    <row r="392" spans="1:8" x14ac:dyDescent="0.25">
      <c r="A392" s="2" t="s">
        <v>671</v>
      </c>
      <c r="B392" s="2" t="s">
        <v>672</v>
      </c>
      <c r="C392" s="2" t="s">
        <v>25</v>
      </c>
      <c r="D392" s="3">
        <v>45397</v>
      </c>
      <c r="E392">
        <v>469725</v>
      </c>
      <c r="F392">
        <v>789</v>
      </c>
      <c r="G392">
        <v>0</v>
      </c>
      <c r="H392" s="2"/>
    </row>
    <row r="393" spans="1:8" x14ac:dyDescent="0.25">
      <c r="A393" s="2" t="s">
        <v>673</v>
      </c>
      <c r="B393" s="2" t="s">
        <v>467</v>
      </c>
      <c r="C393" s="2" t="s">
        <v>13</v>
      </c>
      <c r="D393" s="3">
        <v>43996</v>
      </c>
      <c r="E393">
        <v>6859</v>
      </c>
      <c r="F393">
        <v>793</v>
      </c>
      <c r="G393">
        <v>0</v>
      </c>
      <c r="H393" s="2"/>
    </row>
    <row r="394" spans="1:8" x14ac:dyDescent="0.25">
      <c r="A394" s="2" t="s">
        <v>674</v>
      </c>
      <c r="B394" s="2" t="s">
        <v>34</v>
      </c>
      <c r="C394" s="2" t="s">
        <v>25</v>
      </c>
      <c r="D394" s="3">
        <v>43220</v>
      </c>
      <c r="E394">
        <v>434825</v>
      </c>
      <c r="F394">
        <v>613</v>
      </c>
      <c r="G394">
        <v>0</v>
      </c>
      <c r="H394" s="2"/>
    </row>
    <row r="395" spans="1:8" x14ac:dyDescent="0.25">
      <c r="A395" s="2" t="s">
        <v>675</v>
      </c>
      <c r="B395" s="2" t="s">
        <v>676</v>
      </c>
      <c r="C395" s="2" t="s">
        <v>10</v>
      </c>
      <c r="D395" s="3">
        <v>42510</v>
      </c>
      <c r="E395">
        <v>436523</v>
      </c>
      <c r="F395">
        <v>674</v>
      </c>
      <c r="G395">
        <v>0</v>
      </c>
      <c r="H395" s="2"/>
    </row>
    <row r="396" spans="1:8" x14ac:dyDescent="0.25">
      <c r="A396" s="2" t="s">
        <v>677</v>
      </c>
      <c r="B396" s="2" t="s">
        <v>678</v>
      </c>
      <c r="C396" s="2" t="s">
        <v>25</v>
      </c>
      <c r="D396" s="3">
        <v>45296</v>
      </c>
      <c r="E396">
        <v>110986</v>
      </c>
      <c r="F396">
        <v>324</v>
      </c>
      <c r="G396">
        <v>79231</v>
      </c>
      <c r="H396" s="2" t="s">
        <v>18</v>
      </c>
    </row>
    <row r="397" spans="1:8" x14ac:dyDescent="0.25">
      <c r="A397" s="2" t="s">
        <v>679</v>
      </c>
      <c r="B397" s="2" t="s">
        <v>17</v>
      </c>
      <c r="C397" s="2" t="s">
        <v>25</v>
      </c>
      <c r="D397" s="3">
        <v>45320</v>
      </c>
      <c r="E397">
        <v>232654</v>
      </c>
      <c r="F397">
        <v>633</v>
      </c>
      <c r="G397">
        <v>0</v>
      </c>
      <c r="H397" s="2"/>
    </row>
    <row r="398" spans="1:8" x14ac:dyDescent="0.25">
      <c r="A398" s="2" t="s">
        <v>680</v>
      </c>
      <c r="B398" s="2" t="s">
        <v>681</v>
      </c>
      <c r="C398" s="2" t="s">
        <v>13</v>
      </c>
      <c r="D398" s="3">
        <v>45508</v>
      </c>
      <c r="E398">
        <v>283983</v>
      </c>
      <c r="F398">
        <v>654</v>
      </c>
      <c r="G398">
        <v>0</v>
      </c>
      <c r="H398" s="2"/>
    </row>
    <row r="399" spans="1:8" x14ac:dyDescent="0.25">
      <c r="A399" s="2" t="s">
        <v>682</v>
      </c>
      <c r="B399" s="2" t="s">
        <v>683</v>
      </c>
      <c r="C399" s="2" t="s">
        <v>13</v>
      </c>
      <c r="D399" s="3">
        <v>45732</v>
      </c>
      <c r="E399">
        <v>289360</v>
      </c>
      <c r="F399">
        <v>415</v>
      </c>
      <c r="G399">
        <v>0</v>
      </c>
      <c r="H399" s="2" t="s">
        <v>39</v>
      </c>
    </row>
    <row r="400" spans="1:8" x14ac:dyDescent="0.25">
      <c r="A400" s="2" t="s">
        <v>684</v>
      </c>
      <c r="B400" s="2" t="s">
        <v>685</v>
      </c>
      <c r="C400" s="2" t="s">
        <v>32</v>
      </c>
      <c r="D400" s="3">
        <v>45268</v>
      </c>
      <c r="E400">
        <v>315097</v>
      </c>
      <c r="F400">
        <v>347</v>
      </c>
      <c r="G400">
        <v>0</v>
      </c>
      <c r="H400" s="2" t="s">
        <v>39</v>
      </c>
    </row>
    <row r="401" spans="1:8" x14ac:dyDescent="0.25">
      <c r="A401" s="2" t="s">
        <v>686</v>
      </c>
      <c r="B401" s="2" t="s">
        <v>616</v>
      </c>
      <c r="C401" s="2" t="s">
        <v>10</v>
      </c>
      <c r="D401" s="3">
        <v>42266</v>
      </c>
      <c r="E401">
        <v>477697</v>
      </c>
      <c r="F401">
        <v>398</v>
      </c>
      <c r="G401">
        <v>0</v>
      </c>
      <c r="H401" s="2"/>
    </row>
    <row r="402" spans="1:8" x14ac:dyDescent="0.25">
      <c r="A402" s="2" t="s">
        <v>687</v>
      </c>
      <c r="B402" s="2" t="s">
        <v>688</v>
      </c>
      <c r="C402" s="2" t="s">
        <v>32</v>
      </c>
      <c r="D402" s="3">
        <v>43009</v>
      </c>
      <c r="E402">
        <v>453809</v>
      </c>
      <c r="F402">
        <v>758</v>
      </c>
      <c r="G402">
        <v>0</v>
      </c>
      <c r="H402" s="2"/>
    </row>
    <row r="403" spans="1:8" x14ac:dyDescent="0.25">
      <c r="A403" s="2" t="s">
        <v>689</v>
      </c>
      <c r="B403" s="2" t="s">
        <v>690</v>
      </c>
      <c r="C403" s="2" t="s">
        <v>13</v>
      </c>
      <c r="D403" s="3">
        <v>45340</v>
      </c>
      <c r="E403">
        <v>465291</v>
      </c>
      <c r="F403">
        <v>822</v>
      </c>
      <c r="G403">
        <v>0</v>
      </c>
      <c r="H403" s="2" t="s">
        <v>59</v>
      </c>
    </row>
    <row r="404" spans="1:8" x14ac:dyDescent="0.25">
      <c r="A404" s="2" t="s">
        <v>691</v>
      </c>
      <c r="B404" s="2" t="s">
        <v>213</v>
      </c>
      <c r="C404" s="2" t="s">
        <v>10</v>
      </c>
      <c r="D404" s="3">
        <v>44561</v>
      </c>
      <c r="E404">
        <v>49522</v>
      </c>
      <c r="F404">
        <v>704</v>
      </c>
      <c r="G404">
        <v>0</v>
      </c>
      <c r="H404" s="2"/>
    </row>
    <row r="405" spans="1:8" x14ac:dyDescent="0.25">
      <c r="A405" s="2" t="s">
        <v>692</v>
      </c>
      <c r="B405" s="2" t="s">
        <v>213</v>
      </c>
      <c r="C405" s="2" t="s">
        <v>25</v>
      </c>
      <c r="D405" s="3">
        <v>44906</v>
      </c>
      <c r="E405">
        <v>230233</v>
      </c>
      <c r="F405">
        <v>513</v>
      </c>
      <c r="G405">
        <v>0</v>
      </c>
      <c r="H405" s="2"/>
    </row>
    <row r="406" spans="1:8" x14ac:dyDescent="0.25">
      <c r="A406" s="2" t="s">
        <v>693</v>
      </c>
      <c r="B406" s="2" t="s">
        <v>694</v>
      </c>
      <c r="C406" s="2" t="s">
        <v>32</v>
      </c>
      <c r="D406" s="3">
        <v>45173</v>
      </c>
      <c r="E406">
        <v>398102</v>
      </c>
      <c r="F406">
        <v>802</v>
      </c>
      <c r="G406">
        <v>0</v>
      </c>
      <c r="H406" s="2"/>
    </row>
    <row r="407" spans="1:8" x14ac:dyDescent="0.25">
      <c r="A407" s="2" t="s">
        <v>695</v>
      </c>
      <c r="B407" s="2" t="s">
        <v>228</v>
      </c>
      <c r="C407" s="2" t="s">
        <v>13</v>
      </c>
      <c r="D407" s="3">
        <v>42287</v>
      </c>
      <c r="E407">
        <v>373393</v>
      </c>
      <c r="F407">
        <v>747</v>
      </c>
      <c r="G407">
        <v>0</v>
      </c>
      <c r="H407" s="2"/>
    </row>
    <row r="408" spans="1:8" x14ac:dyDescent="0.25">
      <c r="A408" s="2" t="s">
        <v>696</v>
      </c>
      <c r="B408" s="2" t="s">
        <v>697</v>
      </c>
      <c r="C408" s="2" t="s">
        <v>25</v>
      </c>
      <c r="D408" s="3">
        <v>45604</v>
      </c>
      <c r="E408">
        <v>7485</v>
      </c>
      <c r="F408">
        <v>557</v>
      </c>
      <c r="G408">
        <v>0</v>
      </c>
      <c r="H408" s="2"/>
    </row>
    <row r="409" spans="1:8" x14ac:dyDescent="0.25">
      <c r="A409" s="2" t="s">
        <v>698</v>
      </c>
      <c r="B409" s="2" t="s">
        <v>699</v>
      </c>
      <c r="C409" s="2" t="s">
        <v>10</v>
      </c>
      <c r="D409" s="3">
        <v>44042</v>
      </c>
      <c r="E409">
        <v>424671</v>
      </c>
      <c r="F409">
        <v>420</v>
      </c>
      <c r="G409">
        <v>460229</v>
      </c>
      <c r="H409" s="2"/>
    </row>
    <row r="410" spans="1:8" x14ac:dyDescent="0.25">
      <c r="A410" s="2" t="s">
        <v>700</v>
      </c>
      <c r="B410" s="2" t="s">
        <v>701</v>
      </c>
      <c r="C410" s="2" t="s">
        <v>13</v>
      </c>
      <c r="D410" s="3">
        <v>44178</v>
      </c>
      <c r="E410">
        <v>243056</v>
      </c>
      <c r="F410">
        <v>353</v>
      </c>
      <c r="G410">
        <v>0</v>
      </c>
      <c r="H410" s="2"/>
    </row>
    <row r="411" spans="1:8" x14ac:dyDescent="0.25">
      <c r="A411" s="2" t="s">
        <v>702</v>
      </c>
      <c r="B411" s="2" t="s">
        <v>336</v>
      </c>
      <c r="C411" s="2" t="s">
        <v>10</v>
      </c>
      <c r="D411" s="3">
        <v>45051</v>
      </c>
      <c r="E411">
        <v>409983</v>
      </c>
      <c r="F411">
        <v>630</v>
      </c>
      <c r="G411">
        <v>0</v>
      </c>
      <c r="H411" s="2"/>
    </row>
    <row r="412" spans="1:8" x14ac:dyDescent="0.25">
      <c r="A412" s="2" t="s">
        <v>703</v>
      </c>
      <c r="B412" s="2" t="s">
        <v>27</v>
      </c>
      <c r="C412" s="2" t="s">
        <v>10</v>
      </c>
      <c r="D412" s="3">
        <v>44267</v>
      </c>
      <c r="E412">
        <v>112701</v>
      </c>
      <c r="F412">
        <v>540</v>
      </c>
      <c r="G412">
        <v>0</v>
      </c>
      <c r="H412" s="2"/>
    </row>
    <row r="413" spans="1:8" x14ac:dyDescent="0.25">
      <c r="A413" s="2" t="s">
        <v>704</v>
      </c>
      <c r="B413" s="2" t="s">
        <v>71</v>
      </c>
      <c r="C413" s="2" t="s">
        <v>32</v>
      </c>
      <c r="D413" s="3">
        <v>44487</v>
      </c>
      <c r="E413">
        <v>421669</v>
      </c>
      <c r="F413">
        <v>829</v>
      </c>
      <c r="G413">
        <v>0</v>
      </c>
      <c r="H413" s="2"/>
    </row>
    <row r="414" spans="1:8" x14ac:dyDescent="0.25">
      <c r="A414" s="2" t="s">
        <v>705</v>
      </c>
      <c r="B414" s="2" t="s">
        <v>706</v>
      </c>
      <c r="C414" s="2" t="s">
        <v>10</v>
      </c>
      <c r="D414" s="3">
        <v>45531</v>
      </c>
      <c r="E414">
        <v>207352</v>
      </c>
      <c r="F414">
        <v>782</v>
      </c>
      <c r="G414">
        <v>0</v>
      </c>
      <c r="H414" s="2"/>
    </row>
    <row r="415" spans="1:8" x14ac:dyDescent="0.25">
      <c r="A415" s="2" t="s">
        <v>707</v>
      </c>
      <c r="B415" s="2" t="s">
        <v>708</v>
      </c>
      <c r="C415" s="2" t="s">
        <v>13</v>
      </c>
      <c r="D415" s="3">
        <v>45135</v>
      </c>
      <c r="E415">
        <v>102638</v>
      </c>
      <c r="F415">
        <v>486</v>
      </c>
      <c r="G415">
        <v>485721</v>
      </c>
      <c r="H415" s="2"/>
    </row>
    <row r="416" spans="1:8" x14ac:dyDescent="0.25">
      <c r="A416" s="2" t="s">
        <v>709</v>
      </c>
      <c r="B416" s="2" t="s">
        <v>710</v>
      </c>
      <c r="C416" s="2" t="s">
        <v>13</v>
      </c>
      <c r="D416" s="3">
        <v>44728</v>
      </c>
      <c r="E416">
        <v>184514</v>
      </c>
      <c r="F416">
        <v>561</v>
      </c>
      <c r="G416">
        <v>0</v>
      </c>
      <c r="H416" s="2" t="s">
        <v>18</v>
      </c>
    </row>
    <row r="417" spans="1:8" x14ac:dyDescent="0.25">
      <c r="A417" s="2" t="s">
        <v>711</v>
      </c>
      <c r="B417" s="2" t="s">
        <v>458</v>
      </c>
      <c r="C417" s="2" t="s">
        <v>10</v>
      </c>
      <c r="D417" s="3">
        <v>42894</v>
      </c>
      <c r="E417">
        <v>445093</v>
      </c>
      <c r="F417">
        <v>663</v>
      </c>
      <c r="G417">
        <v>0</v>
      </c>
      <c r="H417" s="2"/>
    </row>
    <row r="418" spans="1:8" x14ac:dyDescent="0.25">
      <c r="A418" s="2" t="s">
        <v>712</v>
      </c>
      <c r="B418" s="2" t="s">
        <v>713</v>
      </c>
      <c r="C418" s="2" t="s">
        <v>13</v>
      </c>
      <c r="D418" s="3">
        <v>44091</v>
      </c>
      <c r="E418">
        <v>274370</v>
      </c>
      <c r="F418">
        <v>790</v>
      </c>
      <c r="G418">
        <v>0</v>
      </c>
      <c r="H418" s="2"/>
    </row>
    <row r="419" spans="1:8" x14ac:dyDescent="0.25">
      <c r="A419" s="2" t="s">
        <v>714</v>
      </c>
      <c r="B419" s="2" t="s">
        <v>304</v>
      </c>
      <c r="C419" s="2" t="s">
        <v>25</v>
      </c>
      <c r="D419" s="3">
        <v>45573</v>
      </c>
      <c r="E419">
        <v>93405</v>
      </c>
      <c r="F419">
        <v>730</v>
      </c>
      <c r="G419">
        <v>0</v>
      </c>
      <c r="H419" s="2"/>
    </row>
    <row r="420" spans="1:8" x14ac:dyDescent="0.25">
      <c r="A420" s="2" t="s">
        <v>715</v>
      </c>
      <c r="B420" s="2" t="s">
        <v>340</v>
      </c>
      <c r="C420" s="2" t="s">
        <v>13</v>
      </c>
      <c r="D420" s="3">
        <v>45645</v>
      </c>
      <c r="E420">
        <v>284732</v>
      </c>
      <c r="F420">
        <v>538</v>
      </c>
      <c r="G420">
        <v>207278</v>
      </c>
      <c r="H420" s="2"/>
    </row>
    <row r="421" spans="1:8" x14ac:dyDescent="0.25">
      <c r="A421" s="2" t="s">
        <v>716</v>
      </c>
      <c r="B421" s="2" t="s">
        <v>717</v>
      </c>
      <c r="C421" s="2" t="s">
        <v>32</v>
      </c>
      <c r="D421" s="3">
        <v>42297</v>
      </c>
      <c r="E421">
        <v>210048</v>
      </c>
      <c r="F421">
        <v>603</v>
      </c>
      <c r="G421">
        <v>0</v>
      </c>
      <c r="H421" s="2"/>
    </row>
    <row r="422" spans="1:8" x14ac:dyDescent="0.25">
      <c r="A422" s="2" t="s">
        <v>718</v>
      </c>
      <c r="B422" s="2" t="s">
        <v>291</v>
      </c>
      <c r="C422" s="2" t="s">
        <v>32</v>
      </c>
      <c r="D422" s="3">
        <v>45530</v>
      </c>
      <c r="E422">
        <v>162781</v>
      </c>
      <c r="F422">
        <v>597</v>
      </c>
      <c r="G422">
        <v>0</v>
      </c>
      <c r="H422" s="2"/>
    </row>
    <row r="423" spans="1:8" x14ac:dyDescent="0.25">
      <c r="A423" s="2" t="s">
        <v>719</v>
      </c>
      <c r="B423" s="2" t="s">
        <v>720</v>
      </c>
      <c r="C423" s="2" t="s">
        <v>10</v>
      </c>
      <c r="D423" s="3">
        <v>44658</v>
      </c>
      <c r="E423">
        <v>441004</v>
      </c>
      <c r="F423">
        <v>375</v>
      </c>
      <c r="G423">
        <v>0</v>
      </c>
      <c r="H423" s="2"/>
    </row>
    <row r="424" spans="1:8" x14ac:dyDescent="0.25">
      <c r="A424" s="2" t="s">
        <v>721</v>
      </c>
      <c r="B424" s="2" t="s">
        <v>244</v>
      </c>
      <c r="C424" s="2" t="s">
        <v>32</v>
      </c>
      <c r="D424" s="3">
        <v>43914</v>
      </c>
      <c r="E424">
        <v>481247</v>
      </c>
      <c r="F424">
        <v>632</v>
      </c>
      <c r="G424">
        <v>0</v>
      </c>
      <c r="H424" s="2"/>
    </row>
    <row r="425" spans="1:8" x14ac:dyDescent="0.25">
      <c r="A425" s="2" t="s">
        <v>722</v>
      </c>
      <c r="B425" s="2" t="s">
        <v>723</v>
      </c>
      <c r="C425" s="2" t="s">
        <v>25</v>
      </c>
      <c r="D425" s="3">
        <v>45720</v>
      </c>
      <c r="E425">
        <v>37019</v>
      </c>
      <c r="F425">
        <v>773</v>
      </c>
      <c r="G425">
        <v>0</v>
      </c>
      <c r="H425" s="2" t="s">
        <v>18</v>
      </c>
    </row>
    <row r="426" spans="1:8" x14ac:dyDescent="0.25">
      <c r="A426" s="2" t="s">
        <v>724</v>
      </c>
      <c r="B426" s="2" t="s">
        <v>725</v>
      </c>
      <c r="C426" s="2" t="s">
        <v>10</v>
      </c>
      <c r="D426" s="3">
        <v>45521</v>
      </c>
      <c r="E426">
        <v>438164</v>
      </c>
      <c r="F426">
        <v>582</v>
      </c>
      <c r="G426">
        <v>0</v>
      </c>
      <c r="H426" s="2" t="s">
        <v>39</v>
      </c>
    </row>
    <row r="427" spans="1:8" x14ac:dyDescent="0.25">
      <c r="A427" s="2" t="s">
        <v>726</v>
      </c>
      <c r="B427" s="2" t="s">
        <v>727</v>
      </c>
      <c r="C427" s="2" t="s">
        <v>13</v>
      </c>
      <c r="D427" s="3">
        <v>44348</v>
      </c>
      <c r="E427">
        <v>261497</v>
      </c>
      <c r="F427">
        <v>371</v>
      </c>
      <c r="G427">
        <v>0</v>
      </c>
      <c r="H427" s="2"/>
    </row>
    <row r="428" spans="1:8" x14ac:dyDescent="0.25">
      <c r="A428" s="2" t="s">
        <v>728</v>
      </c>
      <c r="B428" s="2" t="s">
        <v>535</v>
      </c>
      <c r="C428" s="2" t="s">
        <v>10</v>
      </c>
      <c r="D428" s="3">
        <v>42950</v>
      </c>
      <c r="E428">
        <v>65133</v>
      </c>
      <c r="F428">
        <v>562</v>
      </c>
      <c r="G428">
        <v>12837</v>
      </c>
      <c r="H428" s="2"/>
    </row>
    <row r="429" spans="1:8" x14ac:dyDescent="0.25">
      <c r="A429" s="2" t="s">
        <v>729</v>
      </c>
      <c r="B429" s="2" t="s">
        <v>690</v>
      </c>
      <c r="C429" s="2" t="s">
        <v>10</v>
      </c>
      <c r="D429" s="3">
        <v>45798</v>
      </c>
      <c r="E429">
        <v>376588</v>
      </c>
      <c r="F429">
        <v>311</v>
      </c>
      <c r="G429">
        <v>0</v>
      </c>
      <c r="H429" s="2"/>
    </row>
    <row r="430" spans="1:8" x14ac:dyDescent="0.25">
      <c r="A430" s="2" t="s">
        <v>730</v>
      </c>
      <c r="B430" s="2" t="s">
        <v>277</v>
      </c>
      <c r="C430" s="2" t="s">
        <v>25</v>
      </c>
      <c r="D430" s="3">
        <v>45563</v>
      </c>
      <c r="E430">
        <v>197530</v>
      </c>
      <c r="F430">
        <v>440</v>
      </c>
      <c r="G430">
        <v>183371</v>
      </c>
      <c r="H430" s="2" t="s">
        <v>39</v>
      </c>
    </row>
    <row r="431" spans="1:8" x14ac:dyDescent="0.25">
      <c r="A431" s="2" t="s">
        <v>731</v>
      </c>
      <c r="B431" s="2" t="s">
        <v>31</v>
      </c>
      <c r="C431" s="2" t="s">
        <v>10</v>
      </c>
      <c r="D431" s="3">
        <v>44014</v>
      </c>
      <c r="E431">
        <v>379747</v>
      </c>
      <c r="F431">
        <v>316</v>
      </c>
      <c r="G431">
        <v>0</v>
      </c>
      <c r="H431" s="2"/>
    </row>
    <row r="432" spans="1:8" x14ac:dyDescent="0.25">
      <c r="A432" s="2" t="s">
        <v>732</v>
      </c>
      <c r="B432" s="2" t="s">
        <v>108</v>
      </c>
      <c r="C432" s="2" t="s">
        <v>25</v>
      </c>
      <c r="D432" s="3">
        <v>45166</v>
      </c>
      <c r="E432">
        <v>158598</v>
      </c>
      <c r="F432">
        <v>362</v>
      </c>
      <c r="G432">
        <v>0</v>
      </c>
      <c r="H432" s="2" t="s">
        <v>18</v>
      </c>
    </row>
    <row r="433" spans="1:8" x14ac:dyDescent="0.25">
      <c r="A433" s="2" t="s">
        <v>733</v>
      </c>
      <c r="B433" s="2" t="s">
        <v>283</v>
      </c>
      <c r="C433" s="2" t="s">
        <v>10</v>
      </c>
      <c r="D433" s="3">
        <v>44789</v>
      </c>
      <c r="E433">
        <v>466709</v>
      </c>
      <c r="F433">
        <v>552</v>
      </c>
      <c r="G433">
        <v>0</v>
      </c>
      <c r="H433" s="2" t="s">
        <v>18</v>
      </c>
    </row>
    <row r="434" spans="1:8" x14ac:dyDescent="0.25">
      <c r="A434" s="2" t="s">
        <v>734</v>
      </c>
      <c r="B434" s="2" t="s">
        <v>523</v>
      </c>
      <c r="C434" s="2" t="s">
        <v>13</v>
      </c>
      <c r="D434" s="3">
        <v>43710</v>
      </c>
      <c r="E434">
        <v>128585</v>
      </c>
      <c r="F434">
        <v>764</v>
      </c>
      <c r="G434">
        <v>0</v>
      </c>
      <c r="H434" s="2" t="s">
        <v>59</v>
      </c>
    </row>
    <row r="435" spans="1:8" x14ac:dyDescent="0.25">
      <c r="A435" s="2" t="s">
        <v>735</v>
      </c>
      <c r="B435" s="2" t="s">
        <v>599</v>
      </c>
      <c r="C435" s="2" t="s">
        <v>32</v>
      </c>
      <c r="D435" s="3">
        <v>45679</v>
      </c>
      <c r="E435">
        <v>445414</v>
      </c>
      <c r="F435">
        <v>675</v>
      </c>
      <c r="G435">
        <v>0</v>
      </c>
      <c r="H435" s="2"/>
    </row>
    <row r="436" spans="1:8" x14ac:dyDescent="0.25">
      <c r="A436" s="2" t="s">
        <v>736</v>
      </c>
      <c r="B436" s="2" t="s">
        <v>324</v>
      </c>
      <c r="C436" s="2" t="s">
        <v>10</v>
      </c>
      <c r="D436" s="3">
        <v>45866</v>
      </c>
      <c r="E436">
        <v>245172</v>
      </c>
      <c r="F436">
        <v>819</v>
      </c>
      <c r="G436">
        <v>0</v>
      </c>
      <c r="H436" s="2"/>
    </row>
    <row r="437" spans="1:8" x14ac:dyDescent="0.25">
      <c r="A437" s="2" t="s">
        <v>737</v>
      </c>
      <c r="B437" s="2" t="s">
        <v>738</v>
      </c>
      <c r="C437" s="2" t="s">
        <v>13</v>
      </c>
      <c r="D437" s="3">
        <v>43921</v>
      </c>
      <c r="E437">
        <v>492750</v>
      </c>
      <c r="F437">
        <v>389</v>
      </c>
      <c r="G437">
        <v>0</v>
      </c>
      <c r="H437" s="2"/>
    </row>
    <row r="438" spans="1:8" x14ac:dyDescent="0.25">
      <c r="A438" s="2" t="s">
        <v>739</v>
      </c>
      <c r="B438" s="2" t="s">
        <v>740</v>
      </c>
      <c r="C438" s="2" t="s">
        <v>10</v>
      </c>
      <c r="D438" s="3">
        <v>43848</v>
      </c>
      <c r="E438">
        <v>305539</v>
      </c>
      <c r="F438">
        <v>474</v>
      </c>
      <c r="G438">
        <v>0</v>
      </c>
      <c r="H438" s="2"/>
    </row>
    <row r="439" spans="1:8" x14ac:dyDescent="0.25">
      <c r="A439" s="2" t="s">
        <v>741</v>
      </c>
      <c r="B439" s="2" t="s">
        <v>118</v>
      </c>
      <c r="C439" s="2" t="s">
        <v>13</v>
      </c>
      <c r="D439" s="3">
        <v>45616</v>
      </c>
      <c r="E439">
        <v>417247</v>
      </c>
      <c r="F439">
        <v>375</v>
      </c>
      <c r="G439">
        <v>0</v>
      </c>
      <c r="H439" s="2" t="s">
        <v>59</v>
      </c>
    </row>
    <row r="440" spans="1:8" x14ac:dyDescent="0.25">
      <c r="A440" s="2" t="s">
        <v>742</v>
      </c>
      <c r="B440" s="2" t="s">
        <v>743</v>
      </c>
      <c r="C440" s="2" t="s">
        <v>10</v>
      </c>
      <c r="D440" s="3">
        <v>44441</v>
      </c>
      <c r="E440">
        <v>468758</v>
      </c>
      <c r="F440">
        <v>699</v>
      </c>
      <c r="G440">
        <v>0</v>
      </c>
      <c r="H440" s="2"/>
    </row>
    <row r="441" spans="1:8" x14ac:dyDescent="0.25">
      <c r="A441" s="2" t="s">
        <v>744</v>
      </c>
      <c r="B441" s="2" t="s">
        <v>745</v>
      </c>
      <c r="C441" s="2" t="s">
        <v>10</v>
      </c>
      <c r="D441" s="3">
        <v>42791</v>
      </c>
      <c r="E441">
        <v>125814</v>
      </c>
      <c r="F441">
        <v>370</v>
      </c>
      <c r="G441">
        <v>0</v>
      </c>
      <c r="H441" s="2"/>
    </row>
    <row r="442" spans="1:8" x14ac:dyDescent="0.25">
      <c r="A442" s="2" t="s">
        <v>746</v>
      </c>
      <c r="B442" s="2" t="s">
        <v>53</v>
      </c>
      <c r="C442" s="2" t="s">
        <v>10</v>
      </c>
      <c r="D442" s="3">
        <v>44015</v>
      </c>
      <c r="E442">
        <v>430917</v>
      </c>
      <c r="F442">
        <v>479</v>
      </c>
      <c r="G442">
        <v>0</v>
      </c>
      <c r="H442" s="2"/>
    </row>
    <row r="443" spans="1:8" x14ac:dyDescent="0.25">
      <c r="A443" s="2" t="s">
        <v>747</v>
      </c>
      <c r="B443" s="2" t="s">
        <v>748</v>
      </c>
      <c r="C443" s="2" t="s">
        <v>32</v>
      </c>
      <c r="D443" s="3">
        <v>43451</v>
      </c>
      <c r="E443">
        <v>374743</v>
      </c>
      <c r="F443">
        <v>423</v>
      </c>
      <c r="G443">
        <v>0</v>
      </c>
      <c r="H443" s="2" t="s">
        <v>39</v>
      </c>
    </row>
    <row r="444" spans="1:8" x14ac:dyDescent="0.25">
      <c r="A444" s="2" t="s">
        <v>749</v>
      </c>
      <c r="B444" s="2" t="s">
        <v>750</v>
      </c>
      <c r="C444" s="2" t="s">
        <v>10</v>
      </c>
      <c r="D444" s="3">
        <v>45088</v>
      </c>
      <c r="E444">
        <v>25939</v>
      </c>
      <c r="F444">
        <v>680</v>
      </c>
      <c r="G444">
        <v>13720</v>
      </c>
      <c r="H444" s="2"/>
    </row>
    <row r="445" spans="1:8" x14ac:dyDescent="0.25">
      <c r="A445" s="2" t="s">
        <v>751</v>
      </c>
      <c r="B445" s="2" t="s">
        <v>194</v>
      </c>
      <c r="C445" s="2" t="s">
        <v>13</v>
      </c>
      <c r="D445" s="3">
        <v>42720</v>
      </c>
      <c r="E445">
        <v>442361</v>
      </c>
      <c r="F445">
        <v>592</v>
      </c>
      <c r="G445">
        <v>173733</v>
      </c>
      <c r="H445" s="2"/>
    </row>
    <row r="446" spans="1:8" x14ac:dyDescent="0.25">
      <c r="A446" s="2" t="s">
        <v>752</v>
      </c>
      <c r="B446" s="2" t="s">
        <v>371</v>
      </c>
      <c r="C446" s="2" t="s">
        <v>10</v>
      </c>
      <c r="D446" s="3">
        <v>42704</v>
      </c>
      <c r="E446">
        <v>413540</v>
      </c>
      <c r="F446">
        <v>494</v>
      </c>
      <c r="G446">
        <v>0</v>
      </c>
      <c r="H446" s="2"/>
    </row>
    <row r="447" spans="1:8" x14ac:dyDescent="0.25">
      <c r="A447" s="2" t="s">
        <v>753</v>
      </c>
      <c r="B447" s="2" t="s">
        <v>754</v>
      </c>
      <c r="C447" s="2" t="s">
        <v>32</v>
      </c>
      <c r="D447" s="3">
        <v>42778</v>
      </c>
      <c r="E447">
        <v>153939</v>
      </c>
      <c r="F447">
        <v>527</v>
      </c>
      <c r="G447">
        <v>229970</v>
      </c>
      <c r="H447" s="2"/>
    </row>
    <row r="448" spans="1:8" x14ac:dyDescent="0.25">
      <c r="A448" s="2" t="s">
        <v>755</v>
      </c>
      <c r="B448" s="2" t="s">
        <v>485</v>
      </c>
      <c r="C448" s="2" t="s">
        <v>13</v>
      </c>
      <c r="D448" s="3">
        <v>43456</v>
      </c>
      <c r="E448">
        <v>262347</v>
      </c>
      <c r="F448">
        <v>730</v>
      </c>
      <c r="G448">
        <v>0</v>
      </c>
      <c r="H448" s="2" t="s">
        <v>18</v>
      </c>
    </row>
    <row r="449" spans="1:8" x14ac:dyDescent="0.25">
      <c r="A449" s="2" t="s">
        <v>756</v>
      </c>
      <c r="B449" s="2" t="s">
        <v>757</v>
      </c>
      <c r="C449" s="2" t="s">
        <v>13</v>
      </c>
      <c r="D449" s="3">
        <v>43828</v>
      </c>
      <c r="E449">
        <v>409760</v>
      </c>
      <c r="F449">
        <v>735</v>
      </c>
      <c r="G449">
        <v>0</v>
      </c>
      <c r="H449" s="2"/>
    </row>
    <row r="450" spans="1:8" x14ac:dyDescent="0.25">
      <c r="A450" s="2" t="s">
        <v>758</v>
      </c>
      <c r="B450" s="2" t="s">
        <v>659</v>
      </c>
      <c r="C450" s="2" t="s">
        <v>13</v>
      </c>
      <c r="D450" s="3">
        <v>43877</v>
      </c>
      <c r="E450">
        <v>409115</v>
      </c>
      <c r="F450">
        <v>760</v>
      </c>
      <c r="G450">
        <v>419336</v>
      </c>
      <c r="H450" s="2" t="s">
        <v>59</v>
      </c>
    </row>
    <row r="451" spans="1:8" x14ac:dyDescent="0.25">
      <c r="A451" s="2" t="s">
        <v>759</v>
      </c>
      <c r="B451" s="2" t="s">
        <v>417</v>
      </c>
      <c r="C451" s="2" t="s">
        <v>13</v>
      </c>
      <c r="D451" s="3">
        <v>43400</v>
      </c>
      <c r="E451">
        <v>291207</v>
      </c>
      <c r="F451">
        <v>320</v>
      </c>
      <c r="G451">
        <v>0</v>
      </c>
      <c r="H451" s="2"/>
    </row>
    <row r="452" spans="1:8" x14ac:dyDescent="0.25">
      <c r="A452" s="2" t="s">
        <v>760</v>
      </c>
      <c r="B452" s="2" t="s">
        <v>761</v>
      </c>
      <c r="C452" s="2" t="s">
        <v>25</v>
      </c>
      <c r="D452" s="3">
        <v>45318</v>
      </c>
      <c r="E452">
        <v>90880</v>
      </c>
      <c r="F452">
        <v>363</v>
      </c>
      <c r="G452">
        <v>63655</v>
      </c>
      <c r="H452" s="2"/>
    </row>
    <row r="453" spans="1:8" x14ac:dyDescent="0.25">
      <c r="A453" s="2" t="s">
        <v>762</v>
      </c>
      <c r="B453" s="2" t="s">
        <v>437</v>
      </c>
      <c r="C453" s="2" t="s">
        <v>25</v>
      </c>
      <c r="D453" s="3">
        <v>44316</v>
      </c>
      <c r="E453">
        <v>3748</v>
      </c>
      <c r="F453">
        <v>464</v>
      </c>
      <c r="G453">
        <v>0</v>
      </c>
      <c r="H453" s="2" t="s">
        <v>18</v>
      </c>
    </row>
    <row r="454" spans="1:8" x14ac:dyDescent="0.25">
      <c r="A454" s="2" t="s">
        <v>763</v>
      </c>
      <c r="B454" s="2" t="s">
        <v>304</v>
      </c>
      <c r="C454" s="2" t="s">
        <v>13</v>
      </c>
      <c r="D454" s="3">
        <v>43213</v>
      </c>
      <c r="E454">
        <v>236094</v>
      </c>
      <c r="F454">
        <v>326</v>
      </c>
      <c r="G454">
        <v>98448</v>
      </c>
      <c r="H454" s="2"/>
    </row>
    <row r="455" spans="1:8" x14ac:dyDescent="0.25">
      <c r="A455" s="2" t="s">
        <v>764</v>
      </c>
      <c r="B455" s="2" t="s">
        <v>713</v>
      </c>
      <c r="C455" s="2" t="s">
        <v>10</v>
      </c>
      <c r="D455" s="3">
        <v>42314</v>
      </c>
      <c r="E455">
        <v>379413</v>
      </c>
      <c r="F455">
        <v>610</v>
      </c>
      <c r="G455">
        <v>0</v>
      </c>
      <c r="H455" s="2"/>
    </row>
    <row r="456" spans="1:8" x14ac:dyDescent="0.25">
      <c r="A456" s="2" t="s">
        <v>765</v>
      </c>
      <c r="B456" s="2" t="s">
        <v>96</v>
      </c>
      <c r="C456" s="2" t="s">
        <v>13</v>
      </c>
      <c r="D456" s="3">
        <v>42841</v>
      </c>
      <c r="E456">
        <v>459845</v>
      </c>
      <c r="F456">
        <v>584</v>
      </c>
      <c r="G456">
        <v>0</v>
      </c>
      <c r="H456" s="2" t="s">
        <v>18</v>
      </c>
    </row>
    <row r="457" spans="1:8" x14ac:dyDescent="0.25">
      <c r="A457" s="2" t="s">
        <v>766</v>
      </c>
      <c r="B457" s="2" t="s">
        <v>388</v>
      </c>
      <c r="C457" s="2" t="s">
        <v>32</v>
      </c>
      <c r="D457" s="3">
        <v>44430</v>
      </c>
      <c r="E457">
        <v>342908</v>
      </c>
      <c r="F457">
        <v>580</v>
      </c>
      <c r="G457">
        <v>0</v>
      </c>
      <c r="H457" s="2"/>
    </row>
    <row r="458" spans="1:8" x14ac:dyDescent="0.25">
      <c r="A458" s="2" t="s">
        <v>767</v>
      </c>
      <c r="B458" s="2" t="s">
        <v>397</v>
      </c>
      <c r="C458" s="2" t="s">
        <v>32</v>
      </c>
      <c r="D458" s="3">
        <v>42297</v>
      </c>
      <c r="E458">
        <v>151956</v>
      </c>
      <c r="F458">
        <v>463</v>
      </c>
      <c r="G458">
        <v>0</v>
      </c>
      <c r="H458" s="2"/>
    </row>
    <row r="459" spans="1:8" x14ac:dyDescent="0.25">
      <c r="A459" s="2" t="s">
        <v>768</v>
      </c>
      <c r="B459" s="2" t="s">
        <v>769</v>
      </c>
      <c r="C459" s="2" t="s">
        <v>13</v>
      </c>
      <c r="D459" s="3">
        <v>44081</v>
      </c>
      <c r="E459">
        <v>156255</v>
      </c>
      <c r="F459">
        <v>523</v>
      </c>
      <c r="G459">
        <v>0</v>
      </c>
      <c r="H459" s="2"/>
    </row>
    <row r="460" spans="1:8" x14ac:dyDescent="0.25">
      <c r="A460" s="2" t="s">
        <v>770</v>
      </c>
      <c r="B460" s="2" t="s">
        <v>92</v>
      </c>
      <c r="C460" s="2" t="s">
        <v>25</v>
      </c>
      <c r="D460" s="3">
        <v>44948</v>
      </c>
      <c r="E460">
        <v>474786</v>
      </c>
      <c r="F460">
        <v>445</v>
      </c>
      <c r="G460">
        <v>0</v>
      </c>
      <c r="H460" s="2"/>
    </row>
    <row r="461" spans="1:8" x14ac:dyDescent="0.25">
      <c r="A461" s="2" t="s">
        <v>771</v>
      </c>
      <c r="B461" s="2" t="s">
        <v>106</v>
      </c>
      <c r="C461" s="2" t="s">
        <v>25</v>
      </c>
      <c r="D461" s="3">
        <v>45766</v>
      </c>
      <c r="E461">
        <v>464462</v>
      </c>
      <c r="F461">
        <v>329</v>
      </c>
      <c r="G461">
        <v>0</v>
      </c>
      <c r="H461" s="2"/>
    </row>
    <row r="462" spans="1:8" x14ac:dyDescent="0.25">
      <c r="A462" s="2" t="s">
        <v>772</v>
      </c>
      <c r="B462" s="2" t="s">
        <v>773</v>
      </c>
      <c r="C462" s="2" t="s">
        <v>13</v>
      </c>
      <c r="D462" s="3">
        <v>45360</v>
      </c>
      <c r="E462">
        <v>370180</v>
      </c>
      <c r="F462">
        <v>344</v>
      </c>
      <c r="G462">
        <v>0</v>
      </c>
      <c r="H462" s="2"/>
    </row>
    <row r="463" spans="1:8" x14ac:dyDescent="0.25">
      <c r="A463" s="2" t="s">
        <v>774</v>
      </c>
      <c r="B463" s="2" t="s">
        <v>508</v>
      </c>
      <c r="C463" s="2" t="s">
        <v>13</v>
      </c>
      <c r="D463" s="3">
        <v>44958</v>
      </c>
      <c r="E463">
        <v>150331</v>
      </c>
      <c r="F463">
        <v>770</v>
      </c>
      <c r="G463">
        <v>0</v>
      </c>
      <c r="H463" s="2"/>
    </row>
    <row r="464" spans="1:8" x14ac:dyDescent="0.25">
      <c r="A464" s="2" t="s">
        <v>775</v>
      </c>
      <c r="B464" s="2" t="s">
        <v>643</v>
      </c>
      <c r="C464" s="2" t="s">
        <v>10</v>
      </c>
      <c r="D464" s="3">
        <v>44612</v>
      </c>
      <c r="E464">
        <v>167031</v>
      </c>
      <c r="F464">
        <v>333</v>
      </c>
      <c r="G464">
        <v>0</v>
      </c>
      <c r="H464" s="2"/>
    </row>
    <row r="465" spans="1:8" x14ac:dyDescent="0.25">
      <c r="A465" s="2" t="s">
        <v>776</v>
      </c>
      <c r="B465" s="2" t="s">
        <v>777</v>
      </c>
      <c r="C465" s="2" t="s">
        <v>25</v>
      </c>
      <c r="D465" s="3">
        <v>42705</v>
      </c>
      <c r="E465">
        <v>378669</v>
      </c>
      <c r="F465">
        <v>726</v>
      </c>
      <c r="G465">
        <v>0</v>
      </c>
      <c r="H465" s="2" t="s">
        <v>39</v>
      </c>
    </row>
    <row r="466" spans="1:8" x14ac:dyDescent="0.25">
      <c r="A466" s="2" t="s">
        <v>778</v>
      </c>
      <c r="B466" s="2" t="s">
        <v>645</v>
      </c>
      <c r="C466" s="2" t="s">
        <v>32</v>
      </c>
      <c r="D466" s="3">
        <v>44272</v>
      </c>
      <c r="E466">
        <v>426673</v>
      </c>
      <c r="F466">
        <v>520</v>
      </c>
      <c r="G466">
        <v>0</v>
      </c>
      <c r="H466" s="2"/>
    </row>
    <row r="467" spans="1:8" x14ac:dyDescent="0.25">
      <c r="A467" s="2" t="s">
        <v>779</v>
      </c>
      <c r="B467" s="2" t="s">
        <v>780</v>
      </c>
      <c r="C467" s="2" t="s">
        <v>25</v>
      </c>
      <c r="D467" s="3">
        <v>42275</v>
      </c>
      <c r="E467">
        <v>347823</v>
      </c>
      <c r="F467">
        <v>833</v>
      </c>
      <c r="G467">
        <v>0</v>
      </c>
      <c r="H467" s="2"/>
    </row>
    <row r="468" spans="1:8" x14ac:dyDescent="0.25">
      <c r="A468" s="2" t="s">
        <v>781</v>
      </c>
      <c r="B468" s="2" t="s">
        <v>782</v>
      </c>
      <c r="C468" s="2" t="s">
        <v>25</v>
      </c>
      <c r="D468" s="3">
        <v>42732</v>
      </c>
      <c r="E468">
        <v>125829</v>
      </c>
      <c r="F468">
        <v>666</v>
      </c>
      <c r="G468">
        <v>0</v>
      </c>
      <c r="H468" s="2" t="s">
        <v>59</v>
      </c>
    </row>
    <row r="469" spans="1:8" x14ac:dyDescent="0.25">
      <c r="A469" s="2" t="s">
        <v>783</v>
      </c>
      <c r="B469" s="2" t="s">
        <v>784</v>
      </c>
      <c r="C469" s="2" t="s">
        <v>10</v>
      </c>
      <c r="D469" s="3">
        <v>42867</v>
      </c>
      <c r="E469">
        <v>128216</v>
      </c>
      <c r="F469">
        <v>849</v>
      </c>
      <c r="G469">
        <v>0</v>
      </c>
      <c r="H469" s="2"/>
    </row>
    <row r="470" spans="1:8" x14ac:dyDescent="0.25">
      <c r="A470" s="2" t="s">
        <v>785</v>
      </c>
      <c r="B470" s="2" t="s">
        <v>382</v>
      </c>
      <c r="C470" s="2" t="s">
        <v>25</v>
      </c>
      <c r="D470" s="3">
        <v>44462</v>
      </c>
      <c r="E470">
        <v>395319</v>
      </c>
      <c r="F470">
        <v>415</v>
      </c>
      <c r="G470">
        <v>0</v>
      </c>
      <c r="H470" s="2"/>
    </row>
    <row r="471" spans="1:8" x14ac:dyDescent="0.25">
      <c r="A471" s="2" t="s">
        <v>786</v>
      </c>
      <c r="B471" s="2" t="s">
        <v>502</v>
      </c>
      <c r="C471" s="2" t="s">
        <v>25</v>
      </c>
      <c r="D471" s="3">
        <v>44646</v>
      </c>
      <c r="E471">
        <v>65901</v>
      </c>
      <c r="F471">
        <v>538</v>
      </c>
      <c r="G471">
        <v>0</v>
      </c>
      <c r="H471" s="2"/>
    </row>
    <row r="472" spans="1:8" x14ac:dyDescent="0.25">
      <c r="A472" s="2" t="s">
        <v>787</v>
      </c>
      <c r="B472" s="2" t="s">
        <v>74</v>
      </c>
      <c r="C472" s="2" t="s">
        <v>13</v>
      </c>
      <c r="D472" s="3">
        <v>43318</v>
      </c>
      <c r="E472">
        <v>243386</v>
      </c>
      <c r="F472">
        <v>634</v>
      </c>
      <c r="G472">
        <v>0</v>
      </c>
      <c r="H472" s="2" t="s">
        <v>59</v>
      </c>
    </row>
    <row r="473" spans="1:8" x14ac:dyDescent="0.25">
      <c r="A473" s="2" t="s">
        <v>788</v>
      </c>
      <c r="B473" s="2" t="s">
        <v>439</v>
      </c>
      <c r="C473" s="2" t="s">
        <v>10</v>
      </c>
      <c r="D473" s="3">
        <v>45637</v>
      </c>
      <c r="E473">
        <v>175607</v>
      </c>
      <c r="F473">
        <v>740</v>
      </c>
      <c r="G473">
        <v>464822</v>
      </c>
      <c r="H473" s="2" t="s">
        <v>39</v>
      </c>
    </row>
    <row r="474" spans="1:8" x14ac:dyDescent="0.25">
      <c r="A474" s="2" t="s">
        <v>789</v>
      </c>
      <c r="B474" s="2" t="s">
        <v>311</v>
      </c>
      <c r="C474" s="2" t="s">
        <v>25</v>
      </c>
      <c r="D474" s="3">
        <v>44620</v>
      </c>
      <c r="E474">
        <v>409319</v>
      </c>
      <c r="F474">
        <v>447</v>
      </c>
      <c r="G474">
        <v>0</v>
      </c>
      <c r="H474" s="2"/>
    </row>
    <row r="475" spans="1:8" x14ac:dyDescent="0.25">
      <c r="A475" s="2" t="s">
        <v>790</v>
      </c>
      <c r="B475" s="2" t="s">
        <v>780</v>
      </c>
      <c r="C475" s="2" t="s">
        <v>13</v>
      </c>
      <c r="D475" s="3">
        <v>44246</v>
      </c>
      <c r="E475">
        <v>98046</v>
      </c>
      <c r="F475">
        <v>308</v>
      </c>
      <c r="G475">
        <v>236226</v>
      </c>
      <c r="H475" s="2"/>
    </row>
    <row r="476" spans="1:8" x14ac:dyDescent="0.25">
      <c r="A476" s="2" t="s">
        <v>791</v>
      </c>
      <c r="B476" s="2" t="s">
        <v>285</v>
      </c>
      <c r="C476" s="2" t="s">
        <v>25</v>
      </c>
      <c r="D476" s="3">
        <v>43880</v>
      </c>
      <c r="E476">
        <v>352156</v>
      </c>
      <c r="F476">
        <v>587</v>
      </c>
      <c r="G476">
        <v>0</v>
      </c>
      <c r="H476" s="2" t="s">
        <v>18</v>
      </c>
    </row>
    <row r="477" spans="1:8" x14ac:dyDescent="0.25">
      <c r="A477" s="2" t="s">
        <v>792</v>
      </c>
      <c r="B477" s="2" t="s">
        <v>516</v>
      </c>
      <c r="C477" s="2" t="s">
        <v>13</v>
      </c>
      <c r="D477" s="3">
        <v>44039</v>
      </c>
      <c r="E477">
        <v>78278</v>
      </c>
      <c r="F477">
        <v>687</v>
      </c>
      <c r="G477">
        <v>452421</v>
      </c>
      <c r="H477" s="2"/>
    </row>
    <row r="478" spans="1:8" x14ac:dyDescent="0.25">
      <c r="A478" s="2" t="s">
        <v>793</v>
      </c>
      <c r="B478" s="2" t="s">
        <v>78</v>
      </c>
      <c r="C478" s="2" t="s">
        <v>10</v>
      </c>
      <c r="D478" s="3">
        <v>43856</v>
      </c>
      <c r="E478">
        <v>274535</v>
      </c>
      <c r="F478">
        <v>349</v>
      </c>
      <c r="G478">
        <v>246766</v>
      </c>
      <c r="H478" s="2" t="s">
        <v>18</v>
      </c>
    </row>
    <row r="479" spans="1:8" x14ac:dyDescent="0.25">
      <c r="A479" s="2" t="s">
        <v>794</v>
      </c>
      <c r="B479" s="2" t="s">
        <v>36</v>
      </c>
      <c r="C479" s="2" t="s">
        <v>25</v>
      </c>
      <c r="D479" s="3">
        <v>42968</v>
      </c>
      <c r="E479">
        <v>102476</v>
      </c>
      <c r="F479">
        <v>816</v>
      </c>
      <c r="G479">
        <v>0</v>
      </c>
      <c r="H479" s="2"/>
    </row>
    <row r="480" spans="1:8" x14ac:dyDescent="0.25">
      <c r="A480" s="2" t="s">
        <v>795</v>
      </c>
      <c r="B480" s="2" t="s">
        <v>796</v>
      </c>
      <c r="C480" s="2" t="s">
        <v>13</v>
      </c>
      <c r="D480" s="3">
        <v>45303</v>
      </c>
      <c r="E480">
        <v>422117</v>
      </c>
      <c r="F480">
        <v>577</v>
      </c>
      <c r="G480">
        <v>0</v>
      </c>
      <c r="H480" s="2"/>
    </row>
    <row r="481" spans="1:8" x14ac:dyDescent="0.25">
      <c r="A481" s="2" t="s">
        <v>797</v>
      </c>
      <c r="B481" s="2" t="s">
        <v>156</v>
      </c>
      <c r="C481" s="2" t="s">
        <v>13</v>
      </c>
      <c r="D481" s="3">
        <v>44920</v>
      </c>
      <c r="E481">
        <v>382865</v>
      </c>
      <c r="F481">
        <v>599</v>
      </c>
      <c r="G481">
        <v>362521</v>
      </c>
      <c r="H481" s="2"/>
    </row>
    <row r="482" spans="1:8" x14ac:dyDescent="0.25">
      <c r="A482" s="2" t="s">
        <v>798</v>
      </c>
      <c r="B482" s="2" t="s">
        <v>120</v>
      </c>
      <c r="C482" s="2" t="s">
        <v>10</v>
      </c>
      <c r="D482" s="3">
        <v>43453</v>
      </c>
      <c r="E482">
        <v>97537</v>
      </c>
      <c r="F482">
        <v>434</v>
      </c>
      <c r="G482">
        <v>0</v>
      </c>
      <c r="H482" s="2"/>
    </row>
    <row r="483" spans="1:8" x14ac:dyDescent="0.25">
      <c r="A483" s="2" t="s">
        <v>799</v>
      </c>
      <c r="B483" s="2" t="s">
        <v>326</v>
      </c>
      <c r="C483" s="2" t="s">
        <v>25</v>
      </c>
      <c r="D483" s="3">
        <v>42488</v>
      </c>
      <c r="E483">
        <v>343303</v>
      </c>
      <c r="F483">
        <v>446</v>
      </c>
      <c r="G483">
        <v>0</v>
      </c>
      <c r="H483" s="2"/>
    </row>
    <row r="484" spans="1:8" x14ac:dyDescent="0.25">
      <c r="A484" s="2" t="s">
        <v>800</v>
      </c>
      <c r="B484" s="2" t="s">
        <v>801</v>
      </c>
      <c r="C484" s="2" t="s">
        <v>13</v>
      </c>
      <c r="D484" s="3">
        <v>45807</v>
      </c>
      <c r="E484">
        <v>461130</v>
      </c>
      <c r="F484">
        <v>789</v>
      </c>
      <c r="G484">
        <v>0</v>
      </c>
      <c r="H484" s="2"/>
    </row>
    <row r="485" spans="1:8" x14ac:dyDescent="0.25">
      <c r="A485" s="2" t="s">
        <v>802</v>
      </c>
      <c r="B485" s="2" t="s">
        <v>803</v>
      </c>
      <c r="C485" s="2" t="s">
        <v>32</v>
      </c>
      <c r="D485" s="3">
        <v>45316</v>
      </c>
      <c r="E485">
        <v>393184</v>
      </c>
      <c r="F485">
        <v>777</v>
      </c>
      <c r="G485">
        <v>143266</v>
      </c>
      <c r="H485" s="2"/>
    </row>
    <row r="486" spans="1:8" x14ac:dyDescent="0.25">
      <c r="A486" s="2" t="s">
        <v>804</v>
      </c>
      <c r="B486" s="2" t="s">
        <v>86</v>
      </c>
      <c r="C486" s="2" t="s">
        <v>13</v>
      </c>
      <c r="D486" s="3">
        <v>44719</v>
      </c>
      <c r="E486">
        <v>181429</v>
      </c>
      <c r="F486">
        <v>458</v>
      </c>
      <c r="G486">
        <v>0</v>
      </c>
      <c r="H486" s="2"/>
    </row>
    <row r="487" spans="1:8" x14ac:dyDescent="0.25">
      <c r="A487" s="2" t="s">
        <v>805</v>
      </c>
      <c r="B487" s="2" t="s">
        <v>806</v>
      </c>
      <c r="C487" s="2" t="s">
        <v>32</v>
      </c>
      <c r="D487" s="3">
        <v>44899</v>
      </c>
      <c r="E487">
        <v>217980</v>
      </c>
      <c r="F487">
        <v>683</v>
      </c>
      <c r="G487">
        <v>0</v>
      </c>
      <c r="H487" s="2" t="s">
        <v>39</v>
      </c>
    </row>
    <row r="488" spans="1:8" x14ac:dyDescent="0.25">
      <c r="A488" s="2" t="s">
        <v>807</v>
      </c>
      <c r="B488" s="2" t="s">
        <v>557</v>
      </c>
      <c r="C488" s="2" t="s">
        <v>32</v>
      </c>
      <c r="D488" s="3">
        <v>43580</v>
      </c>
      <c r="E488">
        <v>431653</v>
      </c>
      <c r="F488">
        <v>462</v>
      </c>
      <c r="G488">
        <v>217986</v>
      </c>
      <c r="H488" s="2"/>
    </row>
    <row r="489" spans="1:8" x14ac:dyDescent="0.25">
      <c r="A489" s="2" t="s">
        <v>808</v>
      </c>
      <c r="B489" s="2" t="s">
        <v>809</v>
      </c>
      <c r="C489" s="2" t="s">
        <v>10</v>
      </c>
      <c r="D489" s="3">
        <v>43023</v>
      </c>
      <c r="E489">
        <v>297647</v>
      </c>
      <c r="F489">
        <v>740</v>
      </c>
      <c r="G489">
        <v>0</v>
      </c>
      <c r="H489" s="2"/>
    </row>
    <row r="490" spans="1:8" x14ac:dyDescent="0.25">
      <c r="A490" s="2" t="s">
        <v>810</v>
      </c>
      <c r="B490" s="2" t="s">
        <v>811</v>
      </c>
      <c r="C490" s="2" t="s">
        <v>10</v>
      </c>
      <c r="D490" s="3">
        <v>43590</v>
      </c>
      <c r="E490">
        <v>489498</v>
      </c>
      <c r="F490">
        <v>488</v>
      </c>
      <c r="G490">
        <v>0</v>
      </c>
      <c r="H490" s="2" t="s">
        <v>18</v>
      </c>
    </row>
    <row r="491" spans="1:8" x14ac:dyDescent="0.25">
      <c r="A491" s="2" t="s">
        <v>812</v>
      </c>
      <c r="B491" s="2" t="s">
        <v>813</v>
      </c>
      <c r="C491" s="2" t="s">
        <v>10</v>
      </c>
      <c r="D491" s="3">
        <v>42833</v>
      </c>
      <c r="E491">
        <v>486675</v>
      </c>
      <c r="F491">
        <v>714</v>
      </c>
      <c r="G491">
        <v>0</v>
      </c>
      <c r="H491" s="2"/>
    </row>
    <row r="492" spans="1:8" x14ac:dyDescent="0.25">
      <c r="A492" s="2" t="s">
        <v>814</v>
      </c>
      <c r="B492" s="2" t="s">
        <v>815</v>
      </c>
      <c r="C492" s="2" t="s">
        <v>10</v>
      </c>
      <c r="D492" s="3">
        <v>44392</v>
      </c>
      <c r="E492">
        <v>75403</v>
      </c>
      <c r="F492">
        <v>638</v>
      </c>
      <c r="G492">
        <v>0</v>
      </c>
      <c r="H492" s="2" t="s">
        <v>18</v>
      </c>
    </row>
    <row r="493" spans="1:8" x14ac:dyDescent="0.25">
      <c r="A493" s="2" t="s">
        <v>816</v>
      </c>
      <c r="B493" s="2" t="s">
        <v>566</v>
      </c>
      <c r="C493" s="2" t="s">
        <v>13</v>
      </c>
      <c r="D493" s="3">
        <v>45883</v>
      </c>
      <c r="E493">
        <v>434474</v>
      </c>
      <c r="F493">
        <v>480</v>
      </c>
      <c r="G493">
        <v>0</v>
      </c>
      <c r="H493" s="2"/>
    </row>
    <row r="494" spans="1:8" x14ac:dyDescent="0.25">
      <c r="A494" s="2" t="s">
        <v>817</v>
      </c>
      <c r="B494" s="2" t="s">
        <v>818</v>
      </c>
      <c r="C494" s="2" t="s">
        <v>13</v>
      </c>
      <c r="D494" s="3">
        <v>42379</v>
      </c>
      <c r="E494">
        <v>426940</v>
      </c>
      <c r="F494">
        <v>587</v>
      </c>
      <c r="G494">
        <v>0</v>
      </c>
      <c r="H494" s="2"/>
    </row>
    <row r="495" spans="1:8" x14ac:dyDescent="0.25">
      <c r="A495" s="2" t="s">
        <v>819</v>
      </c>
      <c r="B495" s="2" t="s">
        <v>820</v>
      </c>
      <c r="C495" s="2" t="s">
        <v>13</v>
      </c>
      <c r="D495" s="3">
        <v>43979</v>
      </c>
      <c r="E495">
        <v>64286</v>
      </c>
      <c r="F495">
        <v>486</v>
      </c>
      <c r="G495">
        <v>0</v>
      </c>
      <c r="H495" s="2" t="s">
        <v>59</v>
      </c>
    </row>
    <row r="496" spans="1:8" x14ac:dyDescent="0.25">
      <c r="A496" s="2" t="s">
        <v>821</v>
      </c>
      <c r="B496" s="2" t="s">
        <v>678</v>
      </c>
      <c r="C496" s="2" t="s">
        <v>10</v>
      </c>
      <c r="D496" s="3">
        <v>43784</v>
      </c>
      <c r="E496">
        <v>336986</v>
      </c>
      <c r="F496">
        <v>437</v>
      </c>
      <c r="G496">
        <v>0</v>
      </c>
      <c r="H496" s="2"/>
    </row>
    <row r="497" spans="1:8" x14ac:dyDescent="0.25">
      <c r="A497" s="2" t="s">
        <v>822</v>
      </c>
      <c r="B497" s="2" t="s">
        <v>69</v>
      </c>
      <c r="C497" s="2" t="s">
        <v>13</v>
      </c>
      <c r="D497" s="3">
        <v>43590</v>
      </c>
      <c r="E497">
        <v>104927</v>
      </c>
      <c r="F497">
        <v>429</v>
      </c>
      <c r="G497">
        <v>0</v>
      </c>
      <c r="H497" s="2"/>
    </row>
    <row r="498" spans="1:8" x14ac:dyDescent="0.25">
      <c r="A498" s="2" t="s">
        <v>823</v>
      </c>
      <c r="B498" s="2" t="s">
        <v>824</v>
      </c>
      <c r="C498" s="2" t="s">
        <v>10</v>
      </c>
      <c r="D498" s="3">
        <v>45883</v>
      </c>
      <c r="E498">
        <v>277052</v>
      </c>
      <c r="F498">
        <v>493</v>
      </c>
      <c r="G498">
        <v>0</v>
      </c>
      <c r="H498" s="2"/>
    </row>
    <row r="499" spans="1:8" x14ac:dyDescent="0.25">
      <c r="A499" s="2" t="s">
        <v>825</v>
      </c>
      <c r="B499" s="2" t="s">
        <v>826</v>
      </c>
      <c r="C499" s="2" t="s">
        <v>32</v>
      </c>
      <c r="D499" s="3">
        <v>44423</v>
      </c>
      <c r="E499">
        <v>485833</v>
      </c>
      <c r="F499">
        <v>615</v>
      </c>
      <c r="G499">
        <v>419627</v>
      </c>
      <c r="H499" s="2"/>
    </row>
    <row r="500" spans="1:8" x14ac:dyDescent="0.25">
      <c r="A500" s="2" t="s">
        <v>827</v>
      </c>
      <c r="B500" s="2" t="s">
        <v>828</v>
      </c>
      <c r="C500" s="2" t="s">
        <v>13</v>
      </c>
      <c r="D500" s="3">
        <v>43993</v>
      </c>
      <c r="E500">
        <v>443842</v>
      </c>
      <c r="F500">
        <v>443</v>
      </c>
      <c r="G500">
        <v>0</v>
      </c>
      <c r="H500" s="2"/>
    </row>
    <row r="501" spans="1:8" x14ac:dyDescent="0.25">
      <c r="A501" s="2" t="s">
        <v>829</v>
      </c>
      <c r="B501" s="2" t="s">
        <v>830</v>
      </c>
      <c r="C501" s="2" t="s">
        <v>10</v>
      </c>
      <c r="D501" s="3">
        <v>42796</v>
      </c>
      <c r="E501">
        <v>299372</v>
      </c>
      <c r="F501">
        <v>315</v>
      </c>
      <c r="G501">
        <v>0</v>
      </c>
      <c r="H501" s="2"/>
    </row>
    <row r="502" spans="1:8" x14ac:dyDescent="0.25">
      <c r="A502" s="2" t="s">
        <v>831</v>
      </c>
      <c r="B502" s="2" t="s">
        <v>378</v>
      </c>
      <c r="C502" s="2" t="s">
        <v>10</v>
      </c>
      <c r="D502" s="3">
        <v>45482</v>
      </c>
      <c r="E502">
        <v>23386</v>
      </c>
      <c r="F502">
        <v>601</v>
      </c>
      <c r="G502">
        <v>0</v>
      </c>
      <c r="H502" s="2"/>
    </row>
    <row r="503" spans="1:8" x14ac:dyDescent="0.25">
      <c r="A503" s="2" t="s">
        <v>832</v>
      </c>
      <c r="B503" s="2" t="s">
        <v>322</v>
      </c>
      <c r="C503" s="2" t="s">
        <v>25</v>
      </c>
      <c r="D503" s="3">
        <v>44818</v>
      </c>
      <c r="E503">
        <v>177826</v>
      </c>
      <c r="F503">
        <v>722</v>
      </c>
      <c r="G503">
        <v>0</v>
      </c>
      <c r="H503" s="2"/>
    </row>
    <row r="504" spans="1:8" x14ac:dyDescent="0.25">
      <c r="A504" s="2" t="s">
        <v>833</v>
      </c>
      <c r="B504" s="2" t="s">
        <v>834</v>
      </c>
      <c r="C504" s="2" t="s">
        <v>32</v>
      </c>
      <c r="D504" s="3">
        <v>45335</v>
      </c>
      <c r="E504">
        <v>290446</v>
      </c>
      <c r="F504">
        <v>544</v>
      </c>
      <c r="G504">
        <v>0</v>
      </c>
      <c r="H504" s="2"/>
    </row>
    <row r="505" spans="1:8" x14ac:dyDescent="0.25">
      <c r="A505" s="2" t="s">
        <v>835</v>
      </c>
      <c r="B505" s="2" t="s">
        <v>836</v>
      </c>
      <c r="C505" s="2" t="s">
        <v>25</v>
      </c>
      <c r="D505" s="3">
        <v>43824</v>
      </c>
      <c r="E505">
        <v>322959</v>
      </c>
      <c r="F505">
        <v>406</v>
      </c>
      <c r="G505">
        <v>171280</v>
      </c>
      <c r="H505" s="2"/>
    </row>
    <row r="506" spans="1:8" x14ac:dyDescent="0.25">
      <c r="A506" s="2" t="s">
        <v>837</v>
      </c>
      <c r="B506" s="2" t="s">
        <v>326</v>
      </c>
      <c r="C506" s="2" t="s">
        <v>32</v>
      </c>
      <c r="D506" s="3">
        <v>44393</v>
      </c>
      <c r="E506">
        <v>252156</v>
      </c>
      <c r="F506">
        <v>387</v>
      </c>
      <c r="G506">
        <v>0</v>
      </c>
      <c r="H506" s="2"/>
    </row>
    <row r="507" spans="1:8" x14ac:dyDescent="0.25">
      <c r="A507" s="2" t="s">
        <v>838</v>
      </c>
      <c r="B507" s="2" t="s">
        <v>201</v>
      </c>
      <c r="C507" s="2" t="s">
        <v>13</v>
      </c>
      <c r="D507" s="3">
        <v>44200</v>
      </c>
      <c r="E507">
        <v>477964</v>
      </c>
      <c r="F507">
        <v>428</v>
      </c>
      <c r="G507">
        <v>0</v>
      </c>
      <c r="H507" s="2"/>
    </row>
    <row r="508" spans="1:8" x14ac:dyDescent="0.25">
      <c r="A508" s="2" t="s">
        <v>839</v>
      </c>
      <c r="B508" s="2" t="s">
        <v>840</v>
      </c>
      <c r="C508" s="2" t="s">
        <v>25</v>
      </c>
      <c r="D508" s="3">
        <v>45083</v>
      </c>
      <c r="E508">
        <v>325488</v>
      </c>
      <c r="F508">
        <v>640</v>
      </c>
      <c r="G508">
        <v>0</v>
      </c>
      <c r="H508" s="2"/>
    </row>
    <row r="509" spans="1:8" x14ac:dyDescent="0.25">
      <c r="A509" s="2" t="s">
        <v>841</v>
      </c>
      <c r="B509" s="2" t="s">
        <v>717</v>
      </c>
      <c r="C509" s="2" t="s">
        <v>25</v>
      </c>
      <c r="D509" s="3">
        <v>45841</v>
      </c>
      <c r="E509">
        <v>428834</v>
      </c>
      <c r="F509">
        <v>303</v>
      </c>
      <c r="G509">
        <v>260230</v>
      </c>
      <c r="H509" s="2"/>
    </row>
    <row r="510" spans="1:8" x14ac:dyDescent="0.25">
      <c r="A510" s="2" t="s">
        <v>842</v>
      </c>
      <c r="B510" s="2" t="s">
        <v>154</v>
      </c>
      <c r="C510" s="2" t="s">
        <v>13</v>
      </c>
      <c r="D510" s="3">
        <v>45133</v>
      </c>
      <c r="E510">
        <v>373747</v>
      </c>
      <c r="F510">
        <v>626</v>
      </c>
      <c r="G510">
        <v>0</v>
      </c>
      <c r="H510" s="2"/>
    </row>
    <row r="511" spans="1:8" x14ac:dyDescent="0.25">
      <c r="A511" s="2" t="s">
        <v>843</v>
      </c>
      <c r="B511" s="2" t="s">
        <v>844</v>
      </c>
      <c r="C511" s="2" t="s">
        <v>32</v>
      </c>
      <c r="D511" s="3">
        <v>43266</v>
      </c>
      <c r="E511">
        <v>469450</v>
      </c>
      <c r="F511">
        <v>709</v>
      </c>
      <c r="G511">
        <v>0</v>
      </c>
      <c r="H511" s="2"/>
    </row>
    <row r="512" spans="1:8" x14ac:dyDescent="0.25">
      <c r="A512" s="2" t="s">
        <v>845</v>
      </c>
      <c r="B512" s="2" t="s">
        <v>29</v>
      </c>
      <c r="C512" s="2" t="s">
        <v>13</v>
      </c>
      <c r="D512" s="3">
        <v>42377</v>
      </c>
      <c r="E512">
        <v>323258</v>
      </c>
      <c r="F512">
        <v>605</v>
      </c>
      <c r="G512">
        <v>0</v>
      </c>
      <c r="H512" s="2"/>
    </row>
    <row r="513" spans="1:8" x14ac:dyDescent="0.25">
      <c r="A513" s="2" t="s">
        <v>846</v>
      </c>
      <c r="B513" s="2" t="s">
        <v>847</v>
      </c>
      <c r="C513" s="2" t="s">
        <v>10</v>
      </c>
      <c r="D513" s="3">
        <v>43792</v>
      </c>
      <c r="E513">
        <v>248724</v>
      </c>
      <c r="F513">
        <v>524</v>
      </c>
      <c r="G513">
        <v>0</v>
      </c>
      <c r="H513" s="2"/>
    </row>
    <row r="514" spans="1:8" x14ac:dyDescent="0.25">
      <c r="A514" s="2" t="s">
        <v>848</v>
      </c>
      <c r="B514" s="2" t="s">
        <v>221</v>
      </c>
      <c r="C514" s="2" t="s">
        <v>13</v>
      </c>
      <c r="D514" s="3">
        <v>45597</v>
      </c>
      <c r="E514">
        <v>201202</v>
      </c>
      <c r="F514">
        <v>647</v>
      </c>
      <c r="G514">
        <v>0</v>
      </c>
      <c r="H514" s="2"/>
    </row>
    <row r="515" spans="1:8" x14ac:dyDescent="0.25">
      <c r="A515" s="2" t="s">
        <v>849</v>
      </c>
      <c r="B515" s="2" t="s">
        <v>497</v>
      </c>
      <c r="C515" s="2" t="s">
        <v>10</v>
      </c>
      <c r="D515" s="3">
        <v>45621</v>
      </c>
      <c r="E515">
        <v>25525</v>
      </c>
      <c r="F515">
        <v>620</v>
      </c>
      <c r="G515">
        <v>0</v>
      </c>
      <c r="H515" s="2"/>
    </row>
    <row r="516" spans="1:8" x14ac:dyDescent="0.25">
      <c r="A516" s="2" t="s">
        <v>850</v>
      </c>
      <c r="B516" s="2" t="s">
        <v>655</v>
      </c>
      <c r="C516" s="2" t="s">
        <v>25</v>
      </c>
      <c r="D516" s="3">
        <v>45803</v>
      </c>
      <c r="E516">
        <v>79818</v>
      </c>
      <c r="F516">
        <v>480</v>
      </c>
      <c r="G516">
        <v>0</v>
      </c>
      <c r="H516" s="2"/>
    </row>
    <row r="517" spans="1:8" x14ac:dyDescent="0.25">
      <c r="A517" s="2" t="s">
        <v>851</v>
      </c>
      <c r="B517" s="2" t="s">
        <v>437</v>
      </c>
      <c r="C517" s="2" t="s">
        <v>10</v>
      </c>
      <c r="D517" s="3">
        <v>43514</v>
      </c>
      <c r="E517">
        <v>114589</v>
      </c>
      <c r="F517">
        <v>685</v>
      </c>
      <c r="G517">
        <v>210827</v>
      </c>
      <c r="H517" s="2" t="s">
        <v>18</v>
      </c>
    </row>
    <row r="518" spans="1:8" x14ac:dyDescent="0.25">
      <c r="A518" s="2" t="s">
        <v>852</v>
      </c>
      <c r="B518" s="2" t="s">
        <v>433</v>
      </c>
      <c r="C518" s="2" t="s">
        <v>10</v>
      </c>
      <c r="D518" s="3">
        <v>43481</v>
      </c>
      <c r="E518">
        <v>145406</v>
      </c>
      <c r="F518">
        <v>407</v>
      </c>
      <c r="G518">
        <v>0</v>
      </c>
      <c r="H518" s="2"/>
    </row>
    <row r="519" spans="1:8" x14ac:dyDescent="0.25">
      <c r="A519" s="2" t="s">
        <v>853</v>
      </c>
      <c r="B519" s="2" t="s">
        <v>249</v>
      </c>
      <c r="C519" s="2" t="s">
        <v>13</v>
      </c>
      <c r="D519" s="3">
        <v>42986</v>
      </c>
      <c r="E519">
        <v>94715</v>
      </c>
      <c r="F519">
        <v>830</v>
      </c>
      <c r="G519">
        <v>0</v>
      </c>
      <c r="H519" s="2"/>
    </row>
    <row r="520" spans="1:8" x14ac:dyDescent="0.25">
      <c r="A520" s="2" t="s">
        <v>854</v>
      </c>
      <c r="B520" s="2" t="s">
        <v>318</v>
      </c>
      <c r="C520" s="2" t="s">
        <v>25</v>
      </c>
      <c r="D520" s="3">
        <v>42510</v>
      </c>
      <c r="E520">
        <v>193839</v>
      </c>
      <c r="F520">
        <v>709</v>
      </c>
      <c r="G520">
        <v>0</v>
      </c>
      <c r="H520" s="2"/>
    </row>
    <row r="521" spans="1:8" x14ac:dyDescent="0.25">
      <c r="A521" s="2" t="s">
        <v>855</v>
      </c>
      <c r="B521" s="2" t="s">
        <v>638</v>
      </c>
      <c r="C521" s="2" t="s">
        <v>13</v>
      </c>
      <c r="D521" s="3">
        <v>43263</v>
      </c>
      <c r="E521">
        <v>268788</v>
      </c>
      <c r="F521">
        <v>595</v>
      </c>
      <c r="G521">
        <v>0</v>
      </c>
      <c r="H521" s="2" t="s">
        <v>18</v>
      </c>
    </row>
    <row r="522" spans="1:8" x14ac:dyDescent="0.25">
      <c r="A522" s="2" t="s">
        <v>856</v>
      </c>
      <c r="B522" s="2" t="s">
        <v>857</v>
      </c>
      <c r="C522" s="2" t="s">
        <v>10</v>
      </c>
      <c r="D522" s="3">
        <v>44417</v>
      </c>
      <c r="E522">
        <v>363298</v>
      </c>
      <c r="F522">
        <v>470</v>
      </c>
      <c r="G522">
        <v>0</v>
      </c>
      <c r="H522" s="2"/>
    </row>
    <row r="523" spans="1:8" x14ac:dyDescent="0.25">
      <c r="A523" s="2" t="s">
        <v>858</v>
      </c>
      <c r="B523" s="2" t="s">
        <v>738</v>
      </c>
      <c r="C523" s="2" t="s">
        <v>32</v>
      </c>
      <c r="D523" s="3">
        <v>45035</v>
      </c>
      <c r="E523">
        <v>426149</v>
      </c>
      <c r="F523">
        <v>630</v>
      </c>
      <c r="G523">
        <v>0</v>
      </c>
      <c r="H523" s="2"/>
    </row>
    <row r="524" spans="1:8" x14ac:dyDescent="0.25">
      <c r="A524" s="2" t="s">
        <v>859</v>
      </c>
      <c r="B524" s="2" t="s">
        <v>47</v>
      </c>
      <c r="C524" s="2" t="s">
        <v>25</v>
      </c>
      <c r="D524" s="3">
        <v>44572</v>
      </c>
      <c r="E524">
        <v>257438</v>
      </c>
      <c r="F524">
        <v>792</v>
      </c>
      <c r="G524">
        <v>0</v>
      </c>
      <c r="H524" s="2" t="s">
        <v>39</v>
      </c>
    </row>
    <row r="525" spans="1:8" x14ac:dyDescent="0.25">
      <c r="A525" s="2" t="s">
        <v>860</v>
      </c>
      <c r="B525" s="2" t="s">
        <v>861</v>
      </c>
      <c r="C525" s="2" t="s">
        <v>10</v>
      </c>
      <c r="D525" s="3">
        <v>45062</v>
      </c>
      <c r="E525">
        <v>305613</v>
      </c>
      <c r="F525">
        <v>494</v>
      </c>
      <c r="G525">
        <v>0</v>
      </c>
      <c r="H525" s="2"/>
    </row>
    <row r="526" spans="1:8" x14ac:dyDescent="0.25">
      <c r="A526" s="2" t="s">
        <v>862</v>
      </c>
      <c r="B526" s="2" t="s">
        <v>863</v>
      </c>
      <c r="C526" s="2" t="s">
        <v>25</v>
      </c>
      <c r="D526" s="3">
        <v>42325</v>
      </c>
      <c r="E526">
        <v>426903</v>
      </c>
      <c r="F526">
        <v>311</v>
      </c>
      <c r="G526">
        <v>0</v>
      </c>
      <c r="H526" s="2"/>
    </row>
    <row r="527" spans="1:8" x14ac:dyDescent="0.25">
      <c r="A527" s="2" t="s">
        <v>864</v>
      </c>
      <c r="B527" s="2" t="s">
        <v>425</v>
      </c>
      <c r="C527" s="2" t="s">
        <v>25</v>
      </c>
      <c r="D527" s="3">
        <v>43329</v>
      </c>
      <c r="E527">
        <v>368753</v>
      </c>
      <c r="F527">
        <v>494</v>
      </c>
      <c r="G527">
        <v>0</v>
      </c>
      <c r="H527" s="2"/>
    </row>
    <row r="528" spans="1:8" x14ac:dyDescent="0.25">
      <c r="A528" s="2" t="s">
        <v>865</v>
      </c>
      <c r="B528" s="2" t="s">
        <v>506</v>
      </c>
      <c r="C528" s="2" t="s">
        <v>25</v>
      </c>
      <c r="D528" s="3">
        <v>42839</v>
      </c>
      <c r="E528">
        <v>445872</v>
      </c>
      <c r="F528">
        <v>789</v>
      </c>
      <c r="G528">
        <v>0</v>
      </c>
      <c r="H528" s="2"/>
    </row>
    <row r="529" spans="1:8" x14ac:dyDescent="0.25">
      <c r="A529" s="2" t="s">
        <v>866</v>
      </c>
      <c r="B529" s="2" t="s">
        <v>152</v>
      </c>
      <c r="C529" s="2" t="s">
        <v>10</v>
      </c>
      <c r="D529" s="3">
        <v>43168</v>
      </c>
      <c r="E529">
        <v>410591</v>
      </c>
      <c r="F529">
        <v>481</v>
      </c>
      <c r="G529">
        <v>0</v>
      </c>
      <c r="H529" s="2"/>
    </row>
    <row r="530" spans="1:8" x14ac:dyDescent="0.25">
      <c r="A530" s="2" t="s">
        <v>867</v>
      </c>
      <c r="B530" s="2" t="s">
        <v>610</v>
      </c>
      <c r="C530" s="2" t="s">
        <v>13</v>
      </c>
      <c r="D530" s="3">
        <v>45860</v>
      </c>
      <c r="E530">
        <v>327350</v>
      </c>
      <c r="F530">
        <v>615</v>
      </c>
      <c r="G530">
        <v>0</v>
      </c>
      <c r="H530" s="2"/>
    </row>
    <row r="531" spans="1:8" x14ac:dyDescent="0.25">
      <c r="A531" s="2" t="s">
        <v>868</v>
      </c>
      <c r="B531" s="2" t="s">
        <v>769</v>
      </c>
      <c r="C531" s="2" t="s">
        <v>13</v>
      </c>
      <c r="D531" s="3">
        <v>42689</v>
      </c>
      <c r="E531">
        <v>358606</v>
      </c>
      <c r="F531">
        <v>329</v>
      </c>
      <c r="G531">
        <v>0</v>
      </c>
      <c r="H531" s="2"/>
    </row>
    <row r="532" spans="1:8" x14ac:dyDescent="0.25">
      <c r="A532" s="2" t="s">
        <v>869</v>
      </c>
      <c r="B532" s="2" t="s">
        <v>493</v>
      </c>
      <c r="C532" s="2" t="s">
        <v>13</v>
      </c>
      <c r="D532" s="3">
        <v>44599</v>
      </c>
      <c r="E532">
        <v>167679</v>
      </c>
      <c r="F532">
        <v>395</v>
      </c>
      <c r="G532">
        <v>0</v>
      </c>
      <c r="H532" s="2"/>
    </row>
    <row r="533" spans="1:8" x14ac:dyDescent="0.25">
      <c r="A533" s="2" t="s">
        <v>870</v>
      </c>
      <c r="B533" s="2" t="s">
        <v>170</v>
      </c>
      <c r="C533" s="2" t="s">
        <v>10</v>
      </c>
      <c r="D533" s="3">
        <v>43698</v>
      </c>
      <c r="E533">
        <v>83178</v>
      </c>
      <c r="F533">
        <v>680</v>
      </c>
      <c r="G533">
        <v>0</v>
      </c>
      <c r="H533" s="2"/>
    </row>
    <row r="534" spans="1:8" x14ac:dyDescent="0.25">
      <c r="A534" s="2" t="s">
        <v>871</v>
      </c>
      <c r="B534" s="2" t="s">
        <v>49</v>
      </c>
      <c r="C534" s="2" t="s">
        <v>13</v>
      </c>
      <c r="D534" s="3">
        <v>43058</v>
      </c>
      <c r="E534">
        <v>417209</v>
      </c>
      <c r="F534">
        <v>743</v>
      </c>
      <c r="G534">
        <v>0</v>
      </c>
      <c r="H534" s="2"/>
    </row>
    <row r="535" spans="1:8" x14ac:dyDescent="0.25">
      <c r="A535" s="2" t="s">
        <v>872</v>
      </c>
      <c r="B535" s="2" t="s">
        <v>367</v>
      </c>
      <c r="C535" s="2" t="s">
        <v>10</v>
      </c>
      <c r="D535" s="3">
        <v>43353</v>
      </c>
      <c r="E535">
        <v>175458</v>
      </c>
      <c r="F535">
        <v>597</v>
      </c>
      <c r="G535">
        <v>0</v>
      </c>
      <c r="H535" s="2"/>
    </row>
    <row r="536" spans="1:8" x14ac:dyDescent="0.25">
      <c r="A536" s="2" t="s">
        <v>873</v>
      </c>
      <c r="B536" s="2" t="s">
        <v>874</v>
      </c>
      <c r="C536" s="2" t="s">
        <v>13</v>
      </c>
      <c r="D536" s="3">
        <v>42428</v>
      </c>
      <c r="E536">
        <v>254466</v>
      </c>
      <c r="F536">
        <v>660</v>
      </c>
      <c r="G536">
        <v>0</v>
      </c>
      <c r="H536" s="2"/>
    </row>
    <row r="537" spans="1:8" x14ac:dyDescent="0.25">
      <c r="A537" s="2" t="s">
        <v>875</v>
      </c>
      <c r="B537" s="2" t="s">
        <v>624</v>
      </c>
      <c r="C537" s="2" t="s">
        <v>13</v>
      </c>
      <c r="D537" s="3">
        <v>42353</v>
      </c>
      <c r="E537">
        <v>439503</v>
      </c>
      <c r="F537">
        <v>673</v>
      </c>
      <c r="G537">
        <v>0</v>
      </c>
      <c r="H537" s="2"/>
    </row>
    <row r="538" spans="1:8" x14ac:dyDescent="0.25">
      <c r="A538" s="2" t="s">
        <v>876</v>
      </c>
      <c r="B538" s="2" t="s">
        <v>877</v>
      </c>
      <c r="C538" s="2" t="s">
        <v>25</v>
      </c>
      <c r="D538" s="3">
        <v>44198</v>
      </c>
      <c r="E538">
        <v>86724</v>
      </c>
      <c r="F538">
        <v>602</v>
      </c>
      <c r="G538">
        <v>0</v>
      </c>
      <c r="H538" s="2" t="s">
        <v>39</v>
      </c>
    </row>
    <row r="539" spans="1:8" x14ac:dyDescent="0.25">
      <c r="A539" s="2" t="s">
        <v>878</v>
      </c>
      <c r="B539" s="2" t="s">
        <v>69</v>
      </c>
      <c r="C539" s="2" t="s">
        <v>10</v>
      </c>
      <c r="D539" s="3">
        <v>45888</v>
      </c>
      <c r="E539">
        <v>229204</v>
      </c>
      <c r="F539">
        <v>720</v>
      </c>
      <c r="G539">
        <v>0</v>
      </c>
      <c r="H539" s="2"/>
    </row>
    <row r="540" spans="1:8" x14ac:dyDescent="0.25">
      <c r="A540" s="2" t="s">
        <v>879</v>
      </c>
      <c r="B540" s="2" t="s">
        <v>106</v>
      </c>
      <c r="C540" s="2" t="s">
        <v>13</v>
      </c>
      <c r="D540" s="3">
        <v>42409</v>
      </c>
      <c r="E540">
        <v>486524</v>
      </c>
      <c r="F540">
        <v>545</v>
      </c>
      <c r="G540">
        <v>0</v>
      </c>
      <c r="H540" s="2"/>
    </row>
    <row r="541" spans="1:8" x14ac:dyDescent="0.25">
      <c r="A541" s="2" t="s">
        <v>880</v>
      </c>
      <c r="B541" s="2" t="s">
        <v>619</v>
      </c>
      <c r="C541" s="2" t="s">
        <v>25</v>
      </c>
      <c r="D541" s="3">
        <v>43728</v>
      </c>
      <c r="E541">
        <v>96393</v>
      </c>
      <c r="F541">
        <v>536</v>
      </c>
      <c r="G541">
        <v>0</v>
      </c>
      <c r="H541" s="2"/>
    </row>
    <row r="542" spans="1:8" x14ac:dyDescent="0.25">
      <c r="A542" s="2" t="s">
        <v>881</v>
      </c>
      <c r="B542" s="2" t="s">
        <v>882</v>
      </c>
      <c r="C542" s="2" t="s">
        <v>13</v>
      </c>
      <c r="D542" s="3">
        <v>42837</v>
      </c>
      <c r="E542">
        <v>389458</v>
      </c>
      <c r="F542">
        <v>833</v>
      </c>
      <c r="G542">
        <v>0</v>
      </c>
      <c r="H542" s="2"/>
    </row>
    <row r="543" spans="1:8" x14ac:dyDescent="0.25">
      <c r="A543" s="2" t="s">
        <v>883</v>
      </c>
      <c r="B543" s="2" t="s">
        <v>610</v>
      </c>
      <c r="C543" s="2" t="s">
        <v>25</v>
      </c>
      <c r="D543" s="3">
        <v>42445</v>
      </c>
      <c r="E543">
        <v>76312</v>
      </c>
      <c r="F543">
        <v>484</v>
      </c>
      <c r="G543">
        <v>0</v>
      </c>
      <c r="H543" s="2"/>
    </row>
    <row r="544" spans="1:8" x14ac:dyDescent="0.25">
      <c r="A544" s="2" t="s">
        <v>884</v>
      </c>
      <c r="B544" s="2" t="s">
        <v>690</v>
      </c>
      <c r="C544" s="2" t="s">
        <v>25</v>
      </c>
      <c r="D544" s="3">
        <v>45644</v>
      </c>
      <c r="E544">
        <v>491587</v>
      </c>
      <c r="F544">
        <v>767</v>
      </c>
      <c r="G544">
        <v>0</v>
      </c>
      <c r="H544" s="2"/>
    </row>
    <row r="545" spans="1:8" x14ac:dyDescent="0.25">
      <c r="A545" s="2" t="s">
        <v>885</v>
      </c>
      <c r="B545" s="2" t="s">
        <v>120</v>
      </c>
      <c r="C545" s="2" t="s">
        <v>13</v>
      </c>
      <c r="D545" s="3">
        <v>44346</v>
      </c>
      <c r="E545">
        <v>337468</v>
      </c>
      <c r="F545">
        <v>662</v>
      </c>
      <c r="G545">
        <v>0</v>
      </c>
      <c r="H545" s="2" t="s">
        <v>59</v>
      </c>
    </row>
    <row r="546" spans="1:8" x14ac:dyDescent="0.25">
      <c r="A546" s="2" t="s">
        <v>886</v>
      </c>
      <c r="B546" s="2" t="s">
        <v>887</v>
      </c>
      <c r="C546" s="2" t="s">
        <v>25</v>
      </c>
      <c r="D546" s="3">
        <v>43893</v>
      </c>
      <c r="E546">
        <v>71196</v>
      </c>
      <c r="F546">
        <v>582</v>
      </c>
      <c r="G546">
        <v>0</v>
      </c>
      <c r="H546" s="2"/>
    </row>
    <row r="547" spans="1:8" x14ac:dyDescent="0.25">
      <c r="A547" s="2" t="s">
        <v>888</v>
      </c>
      <c r="B547" s="2" t="s">
        <v>251</v>
      </c>
      <c r="C547" s="2" t="s">
        <v>10</v>
      </c>
      <c r="D547" s="3">
        <v>45656</v>
      </c>
      <c r="E547">
        <v>70014</v>
      </c>
      <c r="F547">
        <v>635</v>
      </c>
      <c r="G547">
        <v>0</v>
      </c>
      <c r="H547" s="2" t="s">
        <v>18</v>
      </c>
    </row>
    <row r="548" spans="1:8" x14ac:dyDescent="0.25">
      <c r="A548" s="2" t="s">
        <v>889</v>
      </c>
      <c r="B548" s="2" t="s">
        <v>890</v>
      </c>
      <c r="C548" s="2" t="s">
        <v>10</v>
      </c>
      <c r="D548" s="3">
        <v>42982</v>
      </c>
      <c r="E548">
        <v>401426</v>
      </c>
      <c r="F548">
        <v>461</v>
      </c>
      <c r="G548">
        <v>0</v>
      </c>
      <c r="H548" s="2"/>
    </row>
    <row r="549" spans="1:8" x14ac:dyDescent="0.25">
      <c r="A549" s="2" t="s">
        <v>891</v>
      </c>
      <c r="B549" s="2" t="s">
        <v>796</v>
      </c>
      <c r="C549" s="2" t="s">
        <v>13</v>
      </c>
      <c r="D549" s="3">
        <v>44218</v>
      </c>
      <c r="E549">
        <v>141994</v>
      </c>
      <c r="F549">
        <v>459</v>
      </c>
      <c r="G549">
        <v>0</v>
      </c>
      <c r="H549" s="2"/>
    </row>
    <row r="550" spans="1:8" x14ac:dyDescent="0.25">
      <c r="A550" s="2" t="s">
        <v>892</v>
      </c>
      <c r="B550" s="2" t="s">
        <v>893</v>
      </c>
      <c r="C550" s="2" t="s">
        <v>13</v>
      </c>
      <c r="D550" s="3">
        <v>45320</v>
      </c>
      <c r="E550">
        <v>429505</v>
      </c>
      <c r="F550">
        <v>773</v>
      </c>
      <c r="G550">
        <v>0</v>
      </c>
      <c r="H550" s="2"/>
    </row>
    <row r="551" spans="1:8" x14ac:dyDescent="0.25">
      <c r="A551" s="2" t="s">
        <v>894</v>
      </c>
      <c r="B551" s="2" t="s">
        <v>547</v>
      </c>
      <c r="C551" s="2" t="s">
        <v>32</v>
      </c>
      <c r="D551" s="3">
        <v>44228</v>
      </c>
      <c r="E551">
        <v>33340</v>
      </c>
      <c r="F551">
        <v>621</v>
      </c>
      <c r="G551">
        <v>0</v>
      </c>
      <c r="H551" s="2"/>
    </row>
    <row r="552" spans="1:8" x14ac:dyDescent="0.25">
      <c r="A552" s="2" t="s">
        <v>895</v>
      </c>
      <c r="B552" s="2" t="s">
        <v>437</v>
      </c>
      <c r="C552" s="2" t="s">
        <v>13</v>
      </c>
      <c r="D552" s="3">
        <v>44768</v>
      </c>
      <c r="E552">
        <v>301994</v>
      </c>
      <c r="F552">
        <v>311</v>
      </c>
      <c r="G552">
        <v>445977</v>
      </c>
      <c r="H552" s="2"/>
    </row>
    <row r="553" spans="1:8" x14ac:dyDescent="0.25">
      <c r="A553" s="2" t="s">
        <v>896</v>
      </c>
      <c r="B553" s="2" t="s">
        <v>897</v>
      </c>
      <c r="C553" s="2" t="s">
        <v>10</v>
      </c>
      <c r="D553" s="3">
        <v>45761</v>
      </c>
      <c r="E553">
        <v>450200</v>
      </c>
      <c r="F553">
        <v>723</v>
      </c>
      <c r="G553">
        <v>0</v>
      </c>
      <c r="H553" s="2" t="s">
        <v>39</v>
      </c>
    </row>
    <row r="554" spans="1:8" x14ac:dyDescent="0.25">
      <c r="A554" s="2" t="s">
        <v>898</v>
      </c>
      <c r="B554" s="2" t="s">
        <v>706</v>
      </c>
      <c r="C554" s="2" t="s">
        <v>10</v>
      </c>
      <c r="D554" s="3">
        <v>45828</v>
      </c>
      <c r="E554">
        <v>496915</v>
      </c>
      <c r="F554">
        <v>372</v>
      </c>
      <c r="G554">
        <v>0</v>
      </c>
      <c r="H554" s="2" t="s">
        <v>59</v>
      </c>
    </row>
    <row r="555" spans="1:8" x14ac:dyDescent="0.25">
      <c r="A555" s="2" t="s">
        <v>899</v>
      </c>
      <c r="B555" s="2" t="s">
        <v>672</v>
      </c>
      <c r="C555" s="2" t="s">
        <v>10</v>
      </c>
      <c r="D555" s="3">
        <v>44193</v>
      </c>
      <c r="E555">
        <v>113711</v>
      </c>
      <c r="F555">
        <v>500</v>
      </c>
      <c r="G555">
        <v>0</v>
      </c>
      <c r="H555" s="2"/>
    </row>
    <row r="556" spans="1:8" x14ac:dyDescent="0.25">
      <c r="A556" s="2" t="s">
        <v>900</v>
      </c>
      <c r="B556" s="2" t="s">
        <v>166</v>
      </c>
      <c r="C556" s="2" t="s">
        <v>13</v>
      </c>
      <c r="D556" s="3">
        <v>43528</v>
      </c>
      <c r="E556">
        <v>215250</v>
      </c>
      <c r="F556">
        <v>821</v>
      </c>
      <c r="G556">
        <v>0</v>
      </c>
      <c r="H556" s="2" t="s">
        <v>59</v>
      </c>
    </row>
    <row r="557" spans="1:8" x14ac:dyDescent="0.25">
      <c r="A557" s="2" t="s">
        <v>901</v>
      </c>
      <c r="B557" s="2" t="s">
        <v>84</v>
      </c>
      <c r="C557" s="2" t="s">
        <v>13</v>
      </c>
      <c r="D557" s="3">
        <v>42366</v>
      </c>
      <c r="E557">
        <v>11094</v>
      </c>
      <c r="F557">
        <v>804</v>
      </c>
      <c r="G557">
        <v>0</v>
      </c>
      <c r="H557" s="2" t="s">
        <v>59</v>
      </c>
    </row>
    <row r="558" spans="1:8" x14ac:dyDescent="0.25">
      <c r="A558" s="2" t="s">
        <v>902</v>
      </c>
      <c r="B558" s="2" t="s">
        <v>322</v>
      </c>
      <c r="C558" s="2" t="s">
        <v>25</v>
      </c>
      <c r="D558" s="3">
        <v>44517</v>
      </c>
      <c r="E558">
        <v>350103</v>
      </c>
      <c r="F558">
        <v>338</v>
      </c>
      <c r="G558">
        <v>281601</v>
      </c>
      <c r="H558" s="2"/>
    </row>
    <row r="559" spans="1:8" x14ac:dyDescent="0.25">
      <c r="A559" s="2" t="s">
        <v>903</v>
      </c>
      <c r="B559" s="2" t="s">
        <v>904</v>
      </c>
      <c r="C559" s="2" t="s">
        <v>13</v>
      </c>
      <c r="D559" s="3">
        <v>44132</v>
      </c>
      <c r="E559">
        <v>426634</v>
      </c>
      <c r="F559">
        <v>359</v>
      </c>
      <c r="G559">
        <v>0</v>
      </c>
      <c r="H559" s="2"/>
    </row>
    <row r="560" spans="1:8" x14ac:dyDescent="0.25">
      <c r="A560" s="2" t="s">
        <v>905</v>
      </c>
      <c r="B560" s="2" t="s">
        <v>525</v>
      </c>
      <c r="C560" s="2" t="s">
        <v>13</v>
      </c>
      <c r="D560" s="3">
        <v>42926</v>
      </c>
      <c r="E560">
        <v>267885</v>
      </c>
      <c r="F560">
        <v>620</v>
      </c>
      <c r="G560">
        <v>108619</v>
      </c>
      <c r="H560" s="2"/>
    </row>
    <row r="561" spans="1:8" x14ac:dyDescent="0.25">
      <c r="A561" s="2" t="s">
        <v>906</v>
      </c>
      <c r="B561" s="2" t="s">
        <v>326</v>
      </c>
      <c r="C561" s="2" t="s">
        <v>13</v>
      </c>
      <c r="D561" s="3">
        <v>45370</v>
      </c>
      <c r="E561">
        <v>111585</v>
      </c>
      <c r="F561">
        <v>734</v>
      </c>
      <c r="G561">
        <v>0</v>
      </c>
      <c r="H561" s="2"/>
    </row>
    <row r="562" spans="1:8" x14ac:dyDescent="0.25">
      <c r="A562" s="2" t="s">
        <v>907</v>
      </c>
      <c r="B562" s="2" t="s">
        <v>306</v>
      </c>
      <c r="C562" s="2" t="s">
        <v>10</v>
      </c>
      <c r="D562" s="3">
        <v>43431</v>
      </c>
      <c r="E562">
        <v>465590</v>
      </c>
      <c r="F562">
        <v>707</v>
      </c>
      <c r="G562">
        <v>0</v>
      </c>
      <c r="H562" s="2"/>
    </row>
    <row r="563" spans="1:8" x14ac:dyDescent="0.25">
      <c r="A563" s="2" t="s">
        <v>908</v>
      </c>
      <c r="B563" s="2" t="s">
        <v>909</v>
      </c>
      <c r="C563" s="2" t="s">
        <v>25</v>
      </c>
      <c r="D563" s="3">
        <v>45681</v>
      </c>
      <c r="E563">
        <v>384708</v>
      </c>
      <c r="F563">
        <v>685</v>
      </c>
      <c r="G563">
        <v>0</v>
      </c>
      <c r="H563" s="2"/>
    </row>
    <row r="564" spans="1:8" x14ac:dyDescent="0.25">
      <c r="A564" s="2" t="s">
        <v>910</v>
      </c>
      <c r="B564" s="2" t="s">
        <v>516</v>
      </c>
      <c r="C564" s="2" t="s">
        <v>13</v>
      </c>
      <c r="D564" s="3">
        <v>44192</v>
      </c>
      <c r="E564">
        <v>68798</v>
      </c>
      <c r="F564">
        <v>377</v>
      </c>
      <c r="G564">
        <v>0</v>
      </c>
      <c r="H564" s="2"/>
    </row>
    <row r="565" spans="1:8" x14ac:dyDescent="0.25">
      <c r="A565" s="2" t="s">
        <v>911</v>
      </c>
      <c r="B565" s="2" t="s">
        <v>487</v>
      </c>
      <c r="C565" s="2" t="s">
        <v>13</v>
      </c>
      <c r="D565" s="3">
        <v>43116</v>
      </c>
      <c r="E565">
        <v>378170</v>
      </c>
      <c r="F565">
        <v>493</v>
      </c>
      <c r="G565">
        <v>404346</v>
      </c>
      <c r="H565" s="2"/>
    </row>
    <row r="566" spans="1:8" x14ac:dyDescent="0.25">
      <c r="A566" s="2" t="s">
        <v>912</v>
      </c>
      <c r="B566" s="2" t="s">
        <v>828</v>
      </c>
      <c r="C566" s="2" t="s">
        <v>13</v>
      </c>
      <c r="D566" s="3">
        <v>43174</v>
      </c>
      <c r="E566">
        <v>201604</v>
      </c>
      <c r="F566">
        <v>584</v>
      </c>
      <c r="G566">
        <v>0</v>
      </c>
      <c r="H566" s="2"/>
    </row>
    <row r="567" spans="1:8" x14ac:dyDescent="0.25">
      <c r="A567" s="2" t="s">
        <v>913</v>
      </c>
      <c r="B567" s="2" t="s">
        <v>847</v>
      </c>
      <c r="C567" s="2" t="s">
        <v>25</v>
      </c>
      <c r="D567" s="3">
        <v>44298</v>
      </c>
      <c r="E567">
        <v>110130</v>
      </c>
      <c r="F567">
        <v>826</v>
      </c>
      <c r="G567">
        <v>0</v>
      </c>
      <c r="H567" s="2"/>
    </row>
    <row r="568" spans="1:8" x14ac:dyDescent="0.25">
      <c r="A568" s="2" t="s">
        <v>914</v>
      </c>
      <c r="B568" s="2" t="s">
        <v>915</v>
      </c>
      <c r="C568" s="2" t="s">
        <v>10</v>
      </c>
      <c r="D568" s="3">
        <v>43130</v>
      </c>
      <c r="E568">
        <v>284308</v>
      </c>
      <c r="F568">
        <v>823</v>
      </c>
      <c r="G568">
        <v>0</v>
      </c>
      <c r="H568" s="2"/>
    </row>
    <row r="569" spans="1:8" x14ac:dyDescent="0.25">
      <c r="A569" s="2" t="s">
        <v>916</v>
      </c>
      <c r="B569" s="2" t="s">
        <v>727</v>
      </c>
      <c r="C569" s="2" t="s">
        <v>10</v>
      </c>
      <c r="D569" s="3">
        <v>42498</v>
      </c>
      <c r="E569">
        <v>166667</v>
      </c>
      <c r="F569">
        <v>455</v>
      </c>
      <c r="G569">
        <v>0</v>
      </c>
      <c r="H569" s="2" t="s">
        <v>18</v>
      </c>
    </row>
    <row r="570" spans="1:8" x14ac:dyDescent="0.25">
      <c r="A570" s="2" t="s">
        <v>917</v>
      </c>
      <c r="B570" s="2" t="s">
        <v>287</v>
      </c>
      <c r="C570" s="2" t="s">
        <v>25</v>
      </c>
      <c r="D570" s="3">
        <v>43073</v>
      </c>
      <c r="E570">
        <v>30257</v>
      </c>
      <c r="F570">
        <v>639</v>
      </c>
      <c r="G570">
        <v>0</v>
      </c>
      <c r="H570" s="2" t="s">
        <v>59</v>
      </c>
    </row>
    <row r="571" spans="1:8" x14ac:dyDescent="0.25">
      <c r="A571" s="2" t="s">
        <v>918</v>
      </c>
      <c r="B571" s="2" t="s">
        <v>464</v>
      </c>
      <c r="C571" s="2" t="s">
        <v>10</v>
      </c>
      <c r="D571" s="3">
        <v>45781</v>
      </c>
      <c r="E571">
        <v>407427</v>
      </c>
      <c r="F571">
        <v>424</v>
      </c>
      <c r="G571">
        <v>0</v>
      </c>
      <c r="H571" s="2" t="s">
        <v>18</v>
      </c>
    </row>
    <row r="572" spans="1:8" x14ac:dyDescent="0.25">
      <c r="A572" s="2" t="s">
        <v>919</v>
      </c>
      <c r="B572" s="2" t="s">
        <v>71</v>
      </c>
      <c r="C572" s="2" t="s">
        <v>25</v>
      </c>
      <c r="D572" s="3">
        <v>42491</v>
      </c>
      <c r="E572">
        <v>358133</v>
      </c>
      <c r="F572">
        <v>579</v>
      </c>
      <c r="G572">
        <v>0</v>
      </c>
      <c r="H572" s="2"/>
    </row>
    <row r="573" spans="1:8" x14ac:dyDescent="0.25">
      <c r="A573" s="2" t="s">
        <v>920</v>
      </c>
      <c r="B573" s="2" t="s">
        <v>921</v>
      </c>
      <c r="C573" s="2" t="s">
        <v>25</v>
      </c>
      <c r="D573" s="3">
        <v>43733</v>
      </c>
      <c r="E573">
        <v>398448</v>
      </c>
      <c r="F573">
        <v>427</v>
      </c>
      <c r="G573">
        <v>0</v>
      </c>
      <c r="H573" s="2"/>
    </row>
    <row r="574" spans="1:8" x14ac:dyDescent="0.25">
      <c r="A574" s="2" t="s">
        <v>922</v>
      </c>
      <c r="B574" s="2" t="s">
        <v>410</v>
      </c>
      <c r="C574" s="2" t="s">
        <v>13</v>
      </c>
      <c r="D574" s="3">
        <v>45164</v>
      </c>
      <c r="E574">
        <v>460969</v>
      </c>
      <c r="F574">
        <v>613</v>
      </c>
      <c r="G574">
        <v>0</v>
      </c>
      <c r="H574" s="2"/>
    </row>
    <row r="575" spans="1:8" x14ac:dyDescent="0.25">
      <c r="A575" s="2" t="s">
        <v>923</v>
      </c>
      <c r="B575" s="2" t="s">
        <v>924</v>
      </c>
      <c r="C575" s="2" t="s">
        <v>13</v>
      </c>
      <c r="D575" s="3">
        <v>43082</v>
      </c>
      <c r="E575">
        <v>52691</v>
      </c>
      <c r="F575">
        <v>631</v>
      </c>
      <c r="G575">
        <v>0</v>
      </c>
      <c r="H575" s="2"/>
    </row>
    <row r="576" spans="1:8" x14ac:dyDescent="0.25">
      <c r="A576" s="2" t="s">
        <v>925</v>
      </c>
      <c r="B576" s="2" t="s">
        <v>427</v>
      </c>
      <c r="C576" s="2" t="s">
        <v>13</v>
      </c>
      <c r="D576" s="3">
        <v>43462</v>
      </c>
      <c r="E576">
        <v>482981</v>
      </c>
      <c r="F576">
        <v>449</v>
      </c>
      <c r="G576">
        <v>345281</v>
      </c>
      <c r="H576" s="2"/>
    </row>
    <row r="577" spans="1:8" x14ac:dyDescent="0.25">
      <c r="A577" s="2" t="s">
        <v>926</v>
      </c>
      <c r="B577" s="2" t="s">
        <v>863</v>
      </c>
      <c r="C577" s="2" t="s">
        <v>13</v>
      </c>
      <c r="D577" s="3">
        <v>43189</v>
      </c>
      <c r="E577">
        <v>79768</v>
      </c>
      <c r="F577">
        <v>753</v>
      </c>
      <c r="G577">
        <v>0</v>
      </c>
      <c r="H577" s="2" t="s">
        <v>39</v>
      </c>
    </row>
    <row r="578" spans="1:8" x14ac:dyDescent="0.25">
      <c r="A578" s="2" t="s">
        <v>927</v>
      </c>
      <c r="B578" s="2" t="s">
        <v>369</v>
      </c>
      <c r="C578" s="2" t="s">
        <v>32</v>
      </c>
      <c r="D578" s="3">
        <v>42386</v>
      </c>
      <c r="E578">
        <v>418829</v>
      </c>
      <c r="F578">
        <v>335</v>
      </c>
      <c r="G578">
        <v>0</v>
      </c>
      <c r="H578" s="2"/>
    </row>
    <row r="579" spans="1:8" x14ac:dyDescent="0.25">
      <c r="A579" s="2" t="s">
        <v>928</v>
      </c>
      <c r="B579" s="2" t="s">
        <v>357</v>
      </c>
      <c r="C579" s="2" t="s">
        <v>10</v>
      </c>
      <c r="D579" s="3">
        <v>45188</v>
      </c>
      <c r="E579">
        <v>14026</v>
      </c>
      <c r="F579">
        <v>719</v>
      </c>
      <c r="G579">
        <v>0</v>
      </c>
      <c r="H579" s="2"/>
    </row>
    <row r="580" spans="1:8" x14ac:dyDescent="0.25">
      <c r="A580" s="2" t="s">
        <v>929</v>
      </c>
      <c r="B580" s="2" t="s">
        <v>251</v>
      </c>
      <c r="C580" s="2" t="s">
        <v>13</v>
      </c>
      <c r="D580" s="3">
        <v>45089</v>
      </c>
      <c r="E580">
        <v>446751</v>
      </c>
      <c r="F580">
        <v>321</v>
      </c>
      <c r="G580">
        <v>0</v>
      </c>
      <c r="H580" s="2"/>
    </row>
    <row r="581" spans="1:8" x14ac:dyDescent="0.25">
      <c r="A581" s="2" t="s">
        <v>930</v>
      </c>
      <c r="B581" s="2" t="s">
        <v>297</v>
      </c>
      <c r="C581" s="2" t="s">
        <v>25</v>
      </c>
      <c r="D581" s="3">
        <v>45335</v>
      </c>
      <c r="E581">
        <v>225162</v>
      </c>
      <c r="F581">
        <v>505</v>
      </c>
      <c r="G581">
        <v>0</v>
      </c>
      <c r="H581" s="2"/>
    </row>
    <row r="582" spans="1:8" x14ac:dyDescent="0.25">
      <c r="A582" s="2" t="s">
        <v>931</v>
      </c>
      <c r="B582" s="2" t="s">
        <v>932</v>
      </c>
      <c r="C582" s="2" t="s">
        <v>10</v>
      </c>
      <c r="D582" s="3">
        <v>45364</v>
      </c>
      <c r="E582">
        <v>293052</v>
      </c>
      <c r="F582">
        <v>655</v>
      </c>
      <c r="G582">
        <v>0</v>
      </c>
      <c r="H582" s="2" t="s">
        <v>18</v>
      </c>
    </row>
    <row r="583" spans="1:8" x14ac:dyDescent="0.25">
      <c r="A583" s="2" t="s">
        <v>933</v>
      </c>
      <c r="B583" s="2" t="s">
        <v>55</v>
      </c>
      <c r="C583" s="2" t="s">
        <v>13</v>
      </c>
      <c r="D583" s="3">
        <v>43379</v>
      </c>
      <c r="E583">
        <v>445329</v>
      </c>
      <c r="F583">
        <v>739</v>
      </c>
      <c r="G583">
        <v>419021</v>
      </c>
      <c r="H583" s="2" t="s">
        <v>39</v>
      </c>
    </row>
    <row r="584" spans="1:8" x14ac:dyDescent="0.25">
      <c r="A584" s="2" t="s">
        <v>934</v>
      </c>
      <c r="B584" s="2" t="s">
        <v>621</v>
      </c>
      <c r="C584" s="2" t="s">
        <v>13</v>
      </c>
      <c r="D584" s="3">
        <v>44650</v>
      </c>
      <c r="E584">
        <v>19610</v>
      </c>
      <c r="F584">
        <v>395</v>
      </c>
      <c r="G584">
        <v>0</v>
      </c>
      <c r="H584" s="2" t="s">
        <v>18</v>
      </c>
    </row>
    <row r="585" spans="1:8" x14ac:dyDescent="0.25">
      <c r="A585" s="2" t="s">
        <v>935</v>
      </c>
      <c r="B585" s="2" t="s">
        <v>670</v>
      </c>
      <c r="C585" s="2" t="s">
        <v>10</v>
      </c>
      <c r="D585" s="3">
        <v>45193</v>
      </c>
      <c r="E585">
        <v>177718</v>
      </c>
      <c r="F585">
        <v>463</v>
      </c>
      <c r="G585">
        <v>0</v>
      </c>
      <c r="H585" s="2"/>
    </row>
    <row r="586" spans="1:8" x14ac:dyDescent="0.25">
      <c r="A586" s="2" t="s">
        <v>936</v>
      </c>
      <c r="B586" s="2" t="s">
        <v>937</v>
      </c>
      <c r="C586" s="2" t="s">
        <v>25</v>
      </c>
      <c r="D586" s="3">
        <v>43362</v>
      </c>
      <c r="E586">
        <v>498357</v>
      </c>
      <c r="F586">
        <v>447</v>
      </c>
      <c r="G586">
        <v>0</v>
      </c>
      <c r="H586" s="2"/>
    </row>
    <row r="587" spans="1:8" x14ac:dyDescent="0.25">
      <c r="A587" s="2" t="s">
        <v>938</v>
      </c>
      <c r="B587" s="2" t="s">
        <v>497</v>
      </c>
      <c r="C587" s="2" t="s">
        <v>13</v>
      </c>
      <c r="D587" s="3">
        <v>44293</v>
      </c>
      <c r="E587">
        <v>325329</v>
      </c>
      <c r="F587">
        <v>829</v>
      </c>
      <c r="G587">
        <v>0</v>
      </c>
      <c r="H587" s="2"/>
    </row>
    <row r="588" spans="1:8" x14ac:dyDescent="0.25">
      <c r="A588" s="2" t="s">
        <v>939</v>
      </c>
      <c r="B588" s="2" t="s">
        <v>47</v>
      </c>
      <c r="C588" s="2" t="s">
        <v>13</v>
      </c>
      <c r="D588" s="3">
        <v>45182</v>
      </c>
      <c r="E588">
        <v>334711</v>
      </c>
      <c r="F588">
        <v>593</v>
      </c>
      <c r="G588">
        <v>0</v>
      </c>
      <c r="H588" s="2"/>
    </row>
    <row r="589" spans="1:8" x14ac:dyDescent="0.25">
      <c r="A589" s="2" t="s">
        <v>940</v>
      </c>
      <c r="B589" s="2" t="s">
        <v>629</v>
      </c>
      <c r="C589" s="2" t="s">
        <v>10</v>
      </c>
      <c r="D589" s="3">
        <v>43813</v>
      </c>
      <c r="E589">
        <v>178646</v>
      </c>
      <c r="F589">
        <v>494</v>
      </c>
      <c r="G589">
        <v>0</v>
      </c>
      <c r="H589" s="2"/>
    </row>
    <row r="590" spans="1:8" x14ac:dyDescent="0.25">
      <c r="A590" s="2" t="s">
        <v>941</v>
      </c>
      <c r="B590" s="2" t="s">
        <v>539</v>
      </c>
      <c r="C590" s="2" t="s">
        <v>13</v>
      </c>
      <c r="D590" s="3">
        <v>43297</v>
      </c>
      <c r="E590">
        <v>222123</v>
      </c>
      <c r="F590">
        <v>779</v>
      </c>
      <c r="G590">
        <v>482397</v>
      </c>
      <c r="H590" s="2"/>
    </row>
    <row r="591" spans="1:8" x14ac:dyDescent="0.25">
      <c r="A591" s="2" t="s">
        <v>942</v>
      </c>
      <c r="B591" s="2" t="s">
        <v>154</v>
      </c>
      <c r="C591" s="2" t="s">
        <v>10</v>
      </c>
      <c r="D591" s="3">
        <v>45826</v>
      </c>
      <c r="E591">
        <v>495236</v>
      </c>
      <c r="F591">
        <v>422</v>
      </c>
      <c r="G591">
        <v>94941</v>
      </c>
      <c r="H591" s="2" t="s">
        <v>18</v>
      </c>
    </row>
    <row r="592" spans="1:8" x14ac:dyDescent="0.25">
      <c r="A592" s="2" t="s">
        <v>943</v>
      </c>
      <c r="B592" s="2" t="s">
        <v>537</v>
      </c>
      <c r="C592" s="2" t="s">
        <v>10</v>
      </c>
      <c r="D592" s="3">
        <v>45890</v>
      </c>
      <c r="E592">
        <v>298326</v>
      </c>
      <c r="F592">
        <v>699</v>
      </c>
      <c r="G592">
        <v>0</v>
      </c>
      <c r="H592" s="2"/>
    </row>
    <row r="593" spans="1:8" x14ac:dyDescent="0.25">
      <c r="A593" s="2" t="s">
        <v>944</v>
      </c>
      <c r="B593" s="2" t="s">
        <v>945</v>
      </c>
      <c r="C593" s="2" t="s">
        <v>13</v>
      </c>
      <c r="D593" s="3">
        <v>45025</v>
      </c>
      <c r="E593">
        <v>378280</v>
      </c>
      <c r="F593">
        <v>751</v>
      </c>
      <c r="G593">
        <v>0</v>
      </c>
      <c r="H593" s="2"/>
    </row>
    <row r="594" spans="1:8" x14ac:dyDescent="0.25">
      <c r="A594" s="2" t="s">
        <v>946</v>
      </c>
      <c r="B594" s="2" t="s">
        <v>399</v>
      </c>
      <c r="C594" s="2" t="s">
        <v>32</v>
      </c>
      <c r="D594" s="3">
        <v>45819</v>
      </c>
      <c r="E594">
        <v>393786</v>
      </c>
      <c r="F594">
        <v>403</v>
      </c>
      <c r="G594">
        <v>0</v>
      </c>
      <c r="H594" s="2" t="s">
        <v>39</v>
      </c>
    </row>
    <row r="595" spans="1:8" x14ac:dyDescent="0.25">
      <c r="A595" s="2" t="s">
        <v>947</v>
      </c>
      <c r="B595" s="2" t="s">
        <v>126</v>
      </c>
      <c r="C595" s="2" t="s">
        <v>10</v>
      </c>
      <c r="D595" s="3">
        <v>42287</v>
      </c>
      <c r="E595">
        <v>491006</v>
      </c>
      <c r="F595">
        <v>761</v>
      </c>
      <c r="G595">
        <v>349572</v>
      </c>
      <c r="H595" s="2"/>
    </row>
    <row r="596" spans="1:8" x14ac:dyDescent="0.25">
      <c r="A596" s="2" t="s">
        <v>948</v>
      </c>
      <c r="B596" s="2" t="s">
        <v>720</v>
      </c>
      <c r="C596" s="2" t="s">
        <v>13</v>
      </c>
      <c r="D596" s="3">
        <v>43882</v>
      </c>
      <c r="E596">
        <v>19288</v>
      </c>
      <c r="F596">
        <v>695</v>
      </c>
      <c r="G596">
        <v>0</v>
      </c>
      <c r="H596" s="2"/>
    </row>
    <row r="597" spans="1:8" x14ac:dyDescent="0.25">
      <c r="A597" s="2" t="s">
        <v>949</v>
      </c>
      <c r="B597" s="2" t="s">
        <v>932</v>
      </c>
      <c r="C597" s="2" t="s">
        <v>10</v>
      </c>
      <c r="D597" s="3">
        <v>43738</v>
      </c>
      <c r="E597">
        <v>340968</v>
      </c>
      <c r="F597">
        <v>636</v>
      </c>
      <c r="G597">
        <v>0</v>
      </c>
      <c r="H597" s="2"/>
    </row>
    <row r="598" spans="1:8" x14ac:dyDescent="0.25">
      <c r="A598" s="2" t="s">
        <v>950</v>
      </c>
      <c r="B598" s="2" t="s">
        <v>951</v>
      </c>
      <c r="C598" s="2" t="s">
        <v>25</v>
      </c>
      <c r="D598" s="3">
        <v>44714</v>
      </c>
      <c r="E598">
        <v>423093</v>
      </c>
      <c r="F598">
        <v>441</v>
      </c>
      <c r="G598">
        <v>0</v>
      </c>
      <c r="H598" s="2"/>
    </row>
    <row r="599" spans="1:8" x14ac:dyDescent="0.25">
      <c r="A599" s="2" t="s">
        <v>952</v>
      </c>
      <c r="B599" s="2" t="s">
        <v>118</v>
      </c>
      <c r="C599" s="2" t="s">
        <v>25</v>
      </c>
      <c r="D599" s="3">
        <v>42632</v>
      </c>
      <c r="E599">
        <v>84425</v>
      </c>
      <c r="F599">
        <v>616</v>
      </c>
      <c r="G599">
        <v>0</v>
      </c>
      <c r="H599" s="2"/>
    </row>
    <row r="600" spans="1:8" x14ac:dyDescent="0.25">
      <c r="A600" s="2" t="s">
        <v>953</v>
      </c>
      <c r="B600" s="2" t="s">
        <v>954</v>
      </c>
      <c r="C600" s="2" t="s">
        <v>13</v>
      </c>
      <c r="D600" s="3">
        <v>44983</v>
      </c>
      <c r="E600">
        <v>917</v>
      </c>
      <c r="F600">
        <v>826</v>
      </c>
      <c r="G600">
        <v>33481</v>
      </c>
      <c r="H600" s="2"/>
    </row>
    <row r="601" spans="1:8" x14ac:dyDescent="0.25">
      <c r="A601" s="2" t="s">
        <v>955</v>
      </c>
      <c r="B601" s="2" t="s">
        <v>956</v>
      </c>
      <c r="C601" s="2" t="s">
        <v>32</v>
      </c>
      <c r="D601" s="3">
        <v>42304</v>
      </c>
      <c r="E601">
        <v>337746</v>
      </c>
      <c r="F601">
        <v>700</v>
      </c>
      <c r="G601">
        <v>0</v>
      </c>
      <c r="H601" s="2" t="s">
        <v>39</v>
      </c>
    </row>
    <row r="602" spans="1:8" x14ac:dyDescent="0.25">
      <c r="A602" s="2" t="s">
        <v>957</v>
      </c>
      <c r="B602" s="2" t="s">
        <v>958</v>
      </c>
      <c r="C602" s="2" t="s">
        <v>10</v>
      </c>
      <c r="D602" s="3">
        <v>42632</v>
      </c>
      <c r="E602">
        <v>488256</v>
      </c>
      <c r="F602">
        <v>609</v>
      </c>
      <c r="G602">
        <v>0</v>
      </c>
      <c r="H602" s="2" t="s">
        <v>18</v>
      </c>
    </row>
    <row r="603" spans="1:8" x14ac:dyDescent="0.25">
      <c r="A603" s="2" t="s">
        <v>959</v>
      </c>
      <c r="B603" s="2" t="s">
        <v>960</v>
      </c>
      <c r="C603" s="2" t="s">
        <v>13</v>
      </c>
      <c r="D603" s="3">
        <v>44254</v>
      </c>
      <c r="E603">
        <v>326719</v>
      </c>
      <c r="F603">
        <v>794</v>
      </c>
      <c r="G603">
        <v>0</v>
      </c>
      <c r="H603" s="2" t="s">
        <v>18</v>
      </c>
    </row>
    <row r="604" spans="1:8" x14ac:dyDescent="0.25">
      <c r="A604" s="2" t="s">
        <v>961</v>
      </c>
      <c r="B604" s="2" t="s">
        <v>962</v>
      </c>
      <c r="C604" s="2" t="s">
        <v>13</v>
      </c>
      <c r="D604" s="3">
        <v>45244</v>
      </c>
      <c r="E604">
        <v>334662</v>
      </c>
      <c r="F604">
        <v>408</v>
      </c>
      <c r="G604">
        <v>0</v>
      </c>
      <c r="H604" s="2" t="s">
        <v>39</v>
      </c>
    </row>
    <row r="605" spans="1:8" x14ac:dyDescent="0.25">
      <c r="A605" s="2" t="s">
        <v>963</v>
      </c>
      <c r="B605" s="2" t="s">
        <v>291</v>
      </c>
      <c r="C605" s="2" t="s">
        <v>13</v>
      </c>
      <c r="D605" s="3">
        <v>42644</v>
      </c>
      <c r="E605">
        <v>253187</v>
      </c>
      <c r="F605">
        <v>671</v>
      </c>
      <c r="G605">
        <v>0</v>
      </c>
      <c r="H605" s="2"/>
    </row>
    <row r="606" spans="1:8" x14ac:dyDescent="0.25">
      <c r="A606" s="2" t="s">
        <v>964</v>
      </c>
      <c r="B606" s="2" t="s">
        <v>769</v>
      </c>
      <c r="C606" s="2" t="s">
        <v>25</v>
      </c>
      <c r="D606" s="3">
        <v>43673</v>
      </c>
      <c r="E606">
        <v>39104</v>
      </c>
      <c r="F606">
        <v>505</v>
      </c>
      <c r="G606">
        <v>108475</v>
      </c>
      <c r="H606" s="2"/>
    </row>
    <row r="607" spans="1:8" x14ac:dyDescent="0.25">
      <c r="A607" s="2" t="s">
        <v>965</v>
      </c>
      <c r="B607" s="2" t="s">
        <v>355</v>
      </c>
      <c r="C607" s="2" t="s">
        <v>13</v>
      </c>
      <c r="D607" s="3">
        <v>45818</v>
      </c>
      <c r="E607">
        <v>149134</v>
      </c>
      <c r="F607">
        <v>342</v>
      </c>
      <c r="G607">
        <v>0</v>
      </c>
      <c r="H607" s="2" t="s">
        <v>59</v>
      </c>
    </row>
    <row r="608" spans="1:8" x14ac:dyDescent="0.25">
      <c r="A608" s="2" t="s">
        <v>966</v>
      </c>
      <c r="B608" s="2" t="s">
        <v>557</v>
      </c>
      <c r="C608" s="2" t="s">
        <v>13</v>
      </c>
      <c r="D608" s="3">
        <v>43551</v>
      </c>
      <c r="E608">
        <v>279143</v>
      </c>
      <c r="F608">
        <v>544</v>
      </c>
      <c r="G608">
        <v>0</v>
      </c>
      <c r="H608" s="2"/>
    </row>
    <row r="609" spans="1:8" x14ac:dyDescent="0.25">
      <c r="A609" s="2" t="s">
        <v>967</v>
      </c>
      <c r="B609" s="2" t="s">
        <v>968</v>
      </c>
      <c r="C609" s="2" t="s">
        <v>25</v>
      </c>
      <c r="D609" s="3">
        <v>44169</v>
      </c>
      <c r="E609">
        <v>262091</v>
      </c>
      <c r="F609">
        <v>586</v>
      </c>
      <c r="G609">
        <v>0</v>
      </c>
      <c r="H609" s="2" t="s">
        <v>59</v>
      </c>
    </row>
    <row r="610" spans="1:8" x14ac:dyDescent="0.25">
      <c r="A610" s="2" t="s">
        <v>969</v>
      </c>
      <c r="B610" s="2" t="s">
        <v>154</v>
      </c>
      <c r="C610" s="2" t="s">
        <v>13</v>
      </c>
      <c r="D610" s="3">
        <v>43586</v>
      </c>
      <c r="E610">
        <v>455061</v>
      </c>
      <c r="F610">
        <v>654</v>
      </c>
      <c r="G610">
        <v>0</v>
      </c>
      <c r="H610" s="2"/>
    </row>
    <row r="611" spans="1:8" x14ac:dyDescent="0.25">
      <c r="A611" s="2" t="s">
        <v>970</v>
      </c>
      <c r="B611" s="2" t="s">
        <v>897</v>
      </c>
      <c r="C611" s="2" t="s">
        <v>13</v>
      </c>
      <c r="D611" s="3">
        <v>45637</v>
      </c>
      <c r="E611">
        <v>403157</v>
      </c>
      <c r="F611">
        <v>775</v>
      </c>
      <c r="G611">
        <v>0</v>
      </c>
      <c r="H611" s="2"/>
    </row>
    <row r="612" spans="1:8" x14ac:dyDescent="0.25">
      <c r="A612" s="2" t="s">
        <v>971</v>
      </c>
      <c r="B612" s="2" t="s">
        <v>972</v>
      </c>
      <c r="C612" s="2" t="s">
        <v>13</v>
      </c>
      <c r="D612" s="3">
        <v>44803</v>
      </c>
      <c r="E612">
        <v>61169</v>
      </c>
      <c r="F612">
        <v>382</v>
      </c>
      <c r="G612">
        <v>0</v>
      </c>
      <c r="H612" s="2"/>
    </row>
    <row r="613" spans="1:8" x14ac:dyDescent="0.25">
      <c r="A613" s="2" t="s">
        <v>973</v>
      </c>
      <c r="B613" s="2" t="s">
        <v>697</v>
      </c>
      <c r="C613" s="2" t="s">
        <v>13</v>
      </c>
      <c r="D613" s="3">
        <v>42796</v>
      </c>
      <c r="E613">
        <v>154542</v>
      </c>
      <c r="F613">
        <v>409</v>
      </c>
      <c r="G613">
        <v>0</v>
      </c>
      <c r="H613" s="2"/>
    </row>
    <row r="614" spans="1:8" x14ac:dyDescent="0.25">
      <c r="A614" s="2" t="s">
        <v>974</v>
      </c>
      <c r="B614" s="2" t="s">
        <v>975</v>
      </c>
      <c r="C614" s="2" t="s">
        <v>13</v>
      </c>
      <c r="D614" s="3">
        <v>45843</v>
      </c>
      <c r="E614">
        <v>129744</v>
      </c>
      <c r="F614">
        <v>489</v>
      </c>
      <c r="G614">
        <v>0</v>
      </c>
      <c r="H614" s="2"/>
    </row>
    <row r="615" spans="1:8" x14ac:dyDescent="0.25">
      <c r="A615" s="2" t="s">
        <v>976</v>
      </c>
      <c r="B615" s="2" t="s">
        <v>403</v>
      </c>
      <c r="C615" s="2" t="s">
        <v>10</v>
      </c>
      <c r="D615" s="3">
        <v>42346</v>
      </c>
      <c r="E615">
        <v>372828</v>
      </c>
      <c r="F615">
        <v>550</v>
      </c>
      <c r="G615">
        <v>0</v>
      </c>
      <c r="H615" s="2"/>
    </row>
    <row r="616" spans="1:8" x14ac:dyDescent="0.25">
      <c r="A616" s="2" t="s">
        <v>977</v>
      </c>
      <c r="B616" s="2" t="s">
        <v>542</v>
      </c>
      <c r="C616" s="2" t="s">
        <v>13</v>
      </c>
      <c r="D616" s="3">
        <v>43059</v>
      </c>
      <c r="E616">
        <v>59821</v>
      </c>
      <c r="F616">
        <v>590</v>
      </c>
      <c r="G616">
        <v>0</v>
      </c>
      <c r="H616" s="2"/>
    </row>
    <row r="617" spans="1:8" x14ac:dyDescent="0.25">
      <c r="A617" s="2" t="s">
        <v>978</v>
      </c>
      <c r="B617" s="2" t="s">
        <v>82</v>
      </c>
      <c r="C617" s="2" t="s">
        <v>13</v>
      </c>
      <c r="D617" s="3">
        <v>45591</v>
      </c>
      <c r="E617">
        <v>217741</v>
      </c>
      <c r="F617">
        <v>500</v>
      </c>
      <c r="G617">
        <v>0</v>
      </c>
      <c r="H617" s="2" t="s">
        <v>39</v>
      </c>
    </row>
    <row r="618" spans="1:8" x14ac:dyDescent="0.25">
      <c r="A618" s="2" t="s">
        <v>979</v>
      </c>
      <c r="B618" s="2" t="s">
        <v>777</v>
      </c>
      <c r="C618" s="2" t="s">
        <v>25</v>
      </c>
      <c r="D618" s="3">
        <v>45012</v>
      </c>
      <c r="E618">
        <v>249265</v>
      </c>
      <c r="F618">
        <v>625</v>
      </c>
      <c r="G618">
        <v>0</v>
      </c>
      <c r="H618" s="2" t="s">
        <v>39</v>
      </c>
    </row>
    <row r="619" spans="1:8" x14ac:dyDescent="0.25">
      <c r="A619" s="2" t="s">
        <v>980</v>
      </c>
      <c r="B619" s="2" t="s">
        <v>690</v>
      </c>
      <c r="C619" s="2" t="s">
        <v>10</v>
      </c>
      <c r="D619" s="3">
        <v>44089</v>
      </c>
      <c r="E619">
        <v>437651</v>
      </c>
      <c r="F619">
        <v>810</v>
      </c>
      <c r="G619">
        <v>0</v>
      </c>
      <c r="H619" s="2" t="s">
        <v>59</v>
      </c>
    </row>
    <row r="620" spans="1:8" x14ac:dyDescent="0.25">
      <c r="A620" s="2" t="s">
        <v>981</v>
      </c>
      <c r="B620" s="2" t="s">
        <v>437</v>
      </c>
      <c r="C620" s="2" t="s">
        <v>10</v>
      </c>
      <c r="D620" s="3">
        <v>45046</v>
      </c>
      <c r="E620">
        <v>397745</v>
      </c>
      <c r="F620">
        <v>708</v>
      </c>
      <c r="G620">
        <v>333634</v>
      </c>
      <c r="H620" s="2"/>
    </row>
    <row r="621" spans="1:8" x14ac:dyDescent="0.25">
      <c r="A621" s="2" t="s">
        <v>982</v>
      </c>
      <c r="B621" s="2" t="s">
        <v>983</v>
      </c>
      <c r="C621" s="2" t="s">
        <v>10</v>
      </c>
      <c r="D621" s="3">
        <v>45034</v>
      </c>
      <c r="E621">
        <v>214127</v>
      </c>
      <c r="F621">
        <v>807</v>
      </c>
      <c r="G621">
        <v>0</v>
      </c>
      <c r="H621" s="2" t="s">
        <v>39</v>
      </c>
    </row>
    <row r="622" spans="1:8" x14ac:dyDescent="0.25">
      <c r="A622" s="2" t="s">
        <v>984</v>
      </c>
      <c r="B622" s="2" t="s">
        <v>985</v>
      </c>
      <c r="C622" s="2" t="s">
        <v>13</v>
      </c>
      <c r="D622" s="3">
        <v>42416</v>
      </c>
      <c r="E622">
        <v>274336</v>
      </c>
      <c r="F622">
        <v>371</v>
      </c>
      <c r="G622">
        <v>0</v>
      </c>
      <c r="H622" s="2"/>
    </row>
    <row r="623" spans="1:8" x14ac:dyDescent="0.25">
      <c r="A623" s="2" t="s">
        <v>986</v>
      </c>
      <c r="B623" s="2" t="s">
        <v>27</v>
      </c>
      <c r="C623" s="2" t="s">
        <v>10</v>
      </c>
      <c r="D623" s="3">
        <v>43639</v>
      </c>
      <c r="E623">
        <v>336246</v>
      </c>
      <c r="F623">
        <v>546</v>
      </c>
      <c r="G623">
        <v>261323</v>
      </c>
      <c r="H623" s="2"/>
    </row>
    <row r="624" spans="1:8" x14ac:dyDescent="0.25">
      <c r="A624" s="2" t="s">
        <v>987</v>
      </c>
      <c r="B624" s="2" t="s">
        <v>209</v>
      </c>
      <c r="C624" s="2" t="s">
        <v>10</v>
      </c>
      <c r="D624" s="3">
        <v>43698</v>
      </c>
      <c r="E624">
        <v>203834</v>
      </c>
      <c r="F624">
        <v>643</v>
      </c>
      <c r="G624">
        <v>356224</v>
      </c>
      <c r="H624" s="2"/>
    </row>
    <row r="625" spans="1:8" x14ac:dyDescent="0.25">
      <c r="A625" s="2" t="s">
        <v>988</v>
      </c>
      <c r="B625" s="2" t="s">
        <v>96</v>
      </c>
      <c r="C625" s="2" t="s">
        <v>13</v>
      </c>
      <c r="D625" s="3">
        <v>45379</v>
      </c>
      <c r="E625">
        <v>234538</v>
      </c>
      <c r="F625">
        <v>353</v>
      </c>
      <c r="G625">
        <v>0</v>
      </c>
      <c r="H625" s="2"/>
    </row>
    <row r="626" spans="1:8" x14ac:dyDescent="0.25">
      <c r="A626" s="2" t="s">
        <v>989</v>
      </c>
      <c r="B626" s="2" t="s">
        <v>990</v>
      </c>
      <c r="C626" s="2" t="s">
        <v>32</v>
      </c>
      <c r="D626" s="3">
        <v>45570</v>
      </c>
      <c r="E626">
        <v>377038</v>
      </c>
      <c r="F626">
        <v>827</v>
      </c>
      <c r="G626">
        <v>0</v>
      </c>
      <c r="H626" s="2" t="s">
        <v>39</v>
      </c>
    </row>
    <row r="627" spans="1:8" x14ac:dyDescent="0.25">
      <c r="A627" s="2" t="s">
        <v>991</v>
      </c>
      <c r="B627" s="2" t="s">
        <v>924</v>
      </c>
      <c r="C627" s="2" t="s">
        <v>13</v>
      </c>
      <c r="D627" s="3">
        <v>45296</v>
      </c>
      <c r="E627">
        <v>86795</v>
      </c>
      <c r="F627">
        <v>831</v>
      </c>
      <c r="G627">
        <v>0</v>
      </c>
      <c r="H627" s="2" t="s">
        <v>18</v>
      </c>
    </row>
    <row r="628" spans="1:8" x14ac:dyDescent="0.25">
      <c r="A628" s="2" t="s">
        <v>992</v>
      </c>
      <c r="B628" s="2" t="s">
        <v>844</v>
      </c>
      <c r="C628" s="2" t="s">
        <v>25</v>
      </c>
      <c r="D628" s="3">
        <v>44190</v>
      </c>
      <c r="E628">
        <v>165159</v>
      </c>
      <c r="F628">
        <v>492</v>
      </c>
      <c r="G628">
        <v>0</v>
      </c>
      <c r="H628" s="2"/>
    </row>
    <row r="629" spans="1:8" x14ac:dyDescent="0.25">
      <c r="A629" s="2" t="s">
        <v>993</v>
      </c>
      <c r="B629" s="2" t="s">
        <v>495</v>
      </c>
      <c r="C629" s="2" t="s">
        <v>13</v>
      </c>
      <c r="D629" s="3">
        <v>42317</v>
      </c>
      <c r="E629">
        <v>328821</v>
      </c>
      <c r="F629">
        <v>357</v>
      </c>
      <c r="G629">
        <v>0</v>
      </c>
      <c r="H629" s="2"/>
    </row>
    <row r="630" spans="1:8" x14ac:dyDescent="0.25">
      <c r="A630" s="2" t="s">
        <v>994</v>
      </c>
      <c r="B630" s="2" t="s">
        <v>904</v>
      </c>
      <c r="C630" s="2" t="s">
        <v>25</v>
      </c>
      <c r="D630" s="3">
        <v>43072</v>
      </c>
      <c r="E630">
        <v>135699</v>
      </c>
      <c r="F630">
        <v>736</v>
      </c>
      <c r="G630">
        <v>0</v>
      </c>
      <c r="H630" s="2"/>
    </row>
    <row r="631" spans="1:8" x14ac:dyDescent="0.25">
      <c r="A631" s="2" t="s">
        <v>995</v>
      </c>
      <c r="B631" s="2" t="s">
        <v>996</v>
      </c>
      <c r="C631" s="2" t="s">
        <v>10</v>
      </c>
      <c r="D631" s="3">
        <v>43246</v>
      </c>
      <c r="E631">
        <v>449757</v>
      </c>
      <c r="F631">
        <v>410</v>
      </c>
      <c r="G631">
        <v>0</v>
      </c>
      <c r="H631" s="2" t="s">
        <v>18</v>
      </c>
    </row>
    <row r="632" spans="1:8" x14ac:dyDescent="0.25">
      <c r="A632" s="2" t="s">
        <v>997</v>
      </c>
      <c r="B632" s="2" t="s">
        <v>20</v>
      </c>
      <c r="C632" s="2" t="s">
        <v>25</v>
      </c>
      <c r="D632" s="3">
        <v>45208</v>
      </c>
      <c r="E632">
        <v>243877</v>
      </c>
      <c r="F632">
        <v>428</v>
      </c>
      <c r="G632">
        <v>290291</v>
      </c>
      <c r="H632" s="2"/>
    </row>
    <row r="633" spans="1:8" x14ac:dyDescent="0.25">
      <c r="A633" s="2" t="s">
        <v>998</v>
      </c>
      <c r="B633" s="2" t="s">
        <v>473</v>
      </c>
      <c r="C633" s="2" t="s">
        <v>13</v>
      </c>
      <c r="D633" s="3">
        <v>42823</v>
      </c>
      <c r="E633">
        <v>199298</v>
      </c>
      <c r="F633">
        <v>625</v>
      </c>
      <c r="G633">
        <v>0</v>
      </c>
      <c r="H633" s="2" t="s">
        <v>18</v>
      </c>
    </row>
    <row r="634" spans="1:8" x14ac:dyDescent="0.25">
      <c r="A634" s="2" t="s">
        <v>999</v>
      </c>
      <c r="B634" s="2" t="s">
        <v>285</v>
      </c>
      <c r="C634" s="2" t="s">
        <v>10</v>
      </c>
      <c r="D634" s="3">
        <v>43712</v>
      </c>
      <c r="E634">
        <v>498843</v>
      </c>
      <c r="F634">
        <v>307</v>
      </c>
      <c r="G634">
        <v>0</v>
      </c>
      <c r="H634" s="2"/>
    </row>
    <row r="635" spans="1:8" x14ac:dyDescent="0.25">
      <c r="A635" s="2" t="s">
        <v>1000</v>
      </c>
      <c r="B635" s="2" t="s">
        <v>535</v>
      </c>
      <c r="C635" s="2" t="s">
        <v>10</v>
      </c>
      <c r="D635" s="3">
        <v>42718</v>
      </c>
      <c r="E635">
        <v>396471</v>
      </c>
      <c r="F635">
        <v>328</v>
      </c>
      <c r="G635">
        <v>249172</v>
      </c>
      <c r="H635" s="2"/>
    </row>
    <row r="636" spans="1:8" x14ac:dyDescent="0.25">
      <c r="A636" s="2" t="s">
        <v>1001</v>
      </c>
      <c r="B636" s="2" t="s">
        <v>836</v>
      </c>
      <c r="C636" s="2" t="s">
        <v>25</v>
      </c>
      <c r="D636" s="3">
        <v>43705</v>
      </c>
      <c r="E636">
        <v>188505</v>
      </c>
      <c r="F636">
        <v>411</v>
      </c>
      <c r="G636">
        <v>0</v>
      </c>
      <c r="H636" s="2"/>
    </row>
    <row r="637" spans="1:8" x14ac:dyDescent="0.25">
      <c r="A637" s="2" t="s">
        <v>1002</v>
      </c>
      <c r="B637" s="2" t="s">
        <v>956</v>
      </c>
      <c r="C637" s="2" t="s">
        <v>10</v>
      </c>
      <c r="D637" s="3">
        <v>45744</v>
      </c>
      <c r="E637">
        <v>136285</v>
      </c>
      <c r="F637">
        <v>430</v>
      </c>
      <c r="G637">
        <v>95925</v>
      </c>
      <c r="H637" s="2" t="s">
        <v>18</v>
      </c>
    </row>
    <row r="638" spans="1:8" x14ac:dyDescent="0.25">
      <c r="A638" s="2" t="s">
        <v>1003</v>
      </c>
      <c r="B638" s="2" t="s">
        <v>1004</v>
      </c>
      <c r="C638" s="2" t="s">
        <v>10</v>
      </c>
      <c r="D638" s="3">
        <v>45586</v>
      </c>
      <c r="E638">
        <v>102412</v>
      </c>
      <c r="F638">
        <v>487</v>
      </c>
      <c r="G638">
        <v>0</v>
      </c>
      <c r="H638" s="2" t="s">
        <v>39</v>
      </c>
    </row>
    <row r="639" spans="1:8" x14ac:dyDescent="0.25">
      <c r="A639" s="2" t="s">
        <v>1005</v>
      </c>
      <c r="B639" s="2" t="s">
        <v>1006</v>
      </c>
      <c r="C639" s="2" t="s">
        <v>10</v>
      </c>
      <c r="D639" s="3">
        <v>43177</v>
      </c>
      <c r="E639">
        <v>19404</v>
      </c>
      <c r="F639">
        <v>774</v>
      </c>
      <c r="G639">
        <v>0</v>
      </c>
      <c r="H639" s="2"/>
    </row>
    <row r="640" spans="1:8" x14ac:dyDescent="0.25">
      <c r="A640" s="2" t="s">
        <v>1007</v>
      </c>
      <c r="B640" s="2" t="s">
        <v>1008</v>
      </c>
      <c r="C640" s="2" t="s">
        <v>13</v>
      </c>
      <c r="D640" s="3">
        <v>42423</v>
      </c>
      <c r="E640">
        <v>116545</v>
      </c>
      <c r="F640">
        <v>663</v>
      </c>
      <c r="G640">
        <v>0</v>
      </c>
      <c r="H640" s="2"/>
    </row>
    <row r="641" spans="1:8" x14ac:dyDescent="0.25">
      <c r="A641" s="2" t="s">
        <v>1009</v>
      </c>
      <c r="B641" s="2" t="s">
        <v>1010</v>
      </c>
      <c r="C641" s="2" t="s">
        <v>10</v>
      </c>
      <c r="D641" s="3">
        <v>42607</v>
      </c>
      <c r="E641">
        <v>418596</v>
      </c>
      <c r="F641">
        <v>503</v>
      </c>
      <c r="G641">
        <v>0</v>
      </c>
      <c r="H641" s="2"/>
    </row>
    <row r="642" spans="1:8" x14ac:dyDescent="0.25">
      <c r="A642" s="2" t="s">
        <v>1011</v>
      </c>
      <c r="B642" s="2" t="s">
        <v>1012</v>
      </c>
      <c r="C642" s="2" t="s">
        <v>13</v>
      </c>
      <c r="D642" s="3">
        <v>43635</v>
      </c>
      <c r="E642">
        <v>222128</v>
      </c>
      <c r="F642">
        <v>511</v>
      </c>
      <c r="G642">
        <v>0</v>
      </c>
      <c r="H642" s="2"/>
    </row>
    <row r="643" spans="1:8" x14ac:dyDescent="0.25">
      <c r="A643" s="2" t="s">
        <v>1013</v>
      </c>
      <c r="B643" s="2" t="s">
        <v>1014</v>
      </c>
      <c r="C643" s="2" t="s">
        <v>32</v>
      </c>
      <c r="D643" s="3">
        <v>45766</v>
      </c>
      <c r="E643">
        <v>150245</v>
      </c>
      <c r="F643">
        <v>575</v>
      </c>
      <c r="G643">
        <v>0</v>
      </c>
      <c r="H643" s="2"/>
    </row>
    <row r="644" spans="1:8" x14ac:dyDescent="0.25">
      <c r="A644" s="2" t="s">
        <v>1015</v>
      </c>
      <c r="B644" s="2" t="s">
        <v>380</v>
      </c>
      <c r="C644" s="2" t="s">
        <v>25</v>
      </c>
      <c r="D644" s="3">
        <v>45731</v>
      </c>
      <c r="E644">
        <v>184099</v>
      </c>
      <c r="F644">
        <v>372</v>
      </c>
      <c r="G644">
        <v>0</v>
      </c>
      <c r="H644" s="2" t="s">
        <v>59</v>
      </c>
    </row>
    <row r="645" spans="1:8" x14ac:dyDescent="0.25">
      <c r="A645" s="2" t="s">
        <v>1016</v>
      </c>
      <c r="B645" s="2" t="s">
        <v>90</v>
      </c>
      <c r="C645" s="2" t="s">
        <v>32</v>
      </c>
      <c r="D645" s="3">
        <v>44356</v>
      </c>
      <c r="E645">
        <v>286133</v>
      </c>
      <c r="F645">
        <v>542</v>
      </c>
      <c r="G645">
        <v>0</v>
      </c>
      <c r="H645" s="2"/>
    </row>
    <row r="646" spans="1:8" x14ac:dyDescent="0.25">
      <c r="A646" s="2" t="s">
        <v>1017</v>
      </c>
      <c r="B646" s="2" t="s">
        <v>20</v>
      </c>
      <c r="C646" s="2" t="s">
        <v>13</v>
      </c>
      <c r="D646" s="3">
        <v>43109</v>
      </c>
      <c r="E646">
        <v>261657</v>
      </c>
      <c r="F646">
        <v>401</v>
      </c>
      <c r="G646">
        <v>0</v>
      </c>
      <c r="H646" s="2"/>
    </row>
    <row r="647" spans="1:8" x14ac:dyDescent="0.25">
      <c r="A647" s="2" t="s">
        <v>1018</v>
      </c>
      <c r="B647" s="2" t="s">
        <v>27</v>
      </c>
      <c r="C647" s="2" t="s">
        <v>25</v>
      </c>
      <c r="D647" s="3">
        <v>45406</v>
      </c>
      <c r="E647">
        <v>370250</v>
      </c>
      <c r="F647">
        <v>470</v>
      </c>
      <c r="G647">
        <v>0</v>
      </c>
      <c r="H647" s="2"/>
    </row>
    <row r="648" spans="1:8" x14ac:dyDescent="0.25">
      <c r="A648" s="2" t="s">
        <v>1019</v>
      </c>
      <c r="B648" s="2" t="s">
        <v>1020</v>
      </c>
      <c r="C648" s="2" t="s">
        <v>25</v>
      </c>
      <c r="D648" s="3">
        <v>44592</v>
      </c>
      <c r="E648">
        <v>286663</v>
      </c>
      <c r="F648">
        <v>487</v>
      </c>
      <c r="G648">
        <v>0</v>
      </c>
      <c r="H648" s="2" t="s">
        <v>39</v>
      </c>
    </row>
    <row r="649" spans="1:8" x14ac:dyDescent="0.25">
      <c r="A649" s="2" t="s">
        <v>1021</v>
      </c>
      <c r="B649" s="2" t="s">
        <v>782</v>
      </c>
      <c r="C649" s="2" t="s">
        <v>10</v>
      </c>
      <c r="D649" s="3">
        <v>45189</v>
      </c>
      <c r="E649">
        <v>256875</v>
      </c>
      <c r="F649">
        <v>740</v>
      </c>
      <c r="G649">
        <v>0</v>
      </c>
      <c r="H649" s="2"/>
    </row>
    <row r="650" spans="1:8" x14ac:dyDescent="0.25">
      <c r="A650" s="2" t="s">
        <v>1022</v>
      </c>
      <c r="B650" s="2" t="s">
        <v>238</v>
      </c>
      <c r="C650" s="2" t="s">
        <v>10</v>
      </c>
      <c r="D650" s="3">
        <v>44044</v>
      </c>
      <c r="E650">
        <v>284583</v>
      </c>
      <c r="F650">
        <v>385</v>
      </c>
      <c r="G650">
        <v>270976</v>
      </c>
      <c r="H650" s="2"/>
    </row>
    <row r="651" spans="1:8" x14ac:dyDescent="0.25">
      <c r="A651" s="2" t="s">
        <v>1023</v>
      </c>
      <c r="B651" s="2" t="s">
        <v>320</v>
      </c>
      <c r="C651" s="2" t="s">
        <v>13</v>
      </c>
      <c r="D651" s="3">
        <v>43478</v>
      </c>
      <c r="E651">
        <v>380714</v>
      </c>
      <c r="F651">
        <v>775</v>
      </c>
      <c r="G651">
        <v>37332</v>
      </c>
      <c r="H651" s="2"/>
    </row>
    <row r="652" spans="1:8" x14ac:dyDescent="0.25">
      <c r="A652" s="2" t="s">
        <v>1024</v>
      </c>
      <c r="B652" s="2" t="s">
        <v>1025</v>
      </c>
      <c r="C652" s="2" t="s">
        <v>25</v>
      </c>
      <c r="D652" s="3">
        <v>45718</v>
      </c>
      <c r="E652">
        <v>470165</v>
      </c>
      <c r="F652">
        <v>351</v>
      </c>
      <c r="G652">
        <v>0</v>
      </c>
      <c r="H652" s="2"/>
    </row>
    <row r="653" spans="1:8" x14ac:dyDescent="0.25">
      <c r="A653" s="2" t="s">
        <v>1026</v>
      </c>
      <c r="B653" s="2" t="s">
        <v>309</v>
      </c>
      <c r="C653" s="2" t="s">
        <v>10</v>
      </c>
      <c r="D653" s="3">
        <v>43545</v>
      </c>
      <c r="E653">
        <v>14995</v>
      </c>
      <c r="F653">
        <v>410</v>
      </c>
      <c r="G653">
        <v>0</v>
      </c>
      <c r="H653" s="2" t="s">
        <v>59</v>
      </c>
    </row>
    <row r="654" spans="1:8" x14ac:dyDescent="0.25">
      <c r="A654" s="2" t="s">
        <v>1027</v>
      </c>
      <c r="B654" s="2" t="s">
        <v>633</v>
      </c>
      <c r="C654" s="2" t="s">
        <v>13</v>
      </c>
      <c r="D654" s="3">
        <v>45195</v>
      </c>
      <c r="E654">
        <v>23559</v>
      </c>
      <c r="F654">
        <v>342</v>
      </c>
      <c r="G654">
        <v>0</v>
      </c>
      <c r="H654" s="2"/>
    </row>
    <row r="655" spans="1:8" x14ac:dyDescent="0.25">
      <c r="A655" s="2" t="s">
        <v>1028</v>
      </c>
      <c r="B655" s="2" t="s">
        <v>750</v>
      </c>
      <c r="C655" s="2" t="s">
        <v>13</v>
      </c>
      <c r="D655" s="3">
        <v>43071</v>
      </c>
      <c r="E655">
        <v>351193</v>
      </c>
      <c r="F655">
        <v>510</v>
      </c>
      <c r="G655">
        <v>82994</v>
      </c>
      <c r="H655" s="2"/>
    </row>
    <row r="656" spans="1:8" x14ac:dyDescent="0.25">
      <c r="A656" s="2" t="s">
        <v>1029</v>
      </c>
      <c r="B656" s="2" t="s">
        <v>246</v>
      </c>
      <c r="C656" s="2" t="s">
        <v>32</v>
      </c>
      <c r="D656" s="3">
        <v>45469</v>
      </c>
      <c r="E656">
        <v>398237</v>
      </c>
      <c r="F656">
        <v>499</v>
      </c>
      <c r="G656">
        <v>0</v>
      </c>
      <c r="H656" s="2"/>
    </row>
    <row r="657" spans="1:8" x14ac:dyDescent="0.25">
      <c r="A657" s="2" t="s">
        <v>1030</v>
      </c>
      <c r="B657" s="2" t="s">
        <v>924</v>
      </c>
      <c r="C657" s="2" t="s">
        <v>25</v>
      </c>
      <c r="D657" s="3">
        <v>44580</v>
      </c>
      <c r="E657">
        <v>98000</v>
      </c>
      <c r="F657">
        <v>325</v>
      </c>
      <c r="G657">
        <v>0</v>
      </c>
      <c r="H657" s="2"/>
    </row>
    <row r="658" spans="1:8" x14ac:dyDescent="0.25">
      <c r="A658" s="2" t="s">
        <v>1031</v>
      </c>
      <c r="B658" s="2" t="s">
        <v>1032</v>
      </c>
      <c r="C658" s="2" t="s">
        <v>32</v>
      </c>
      <c r="D658" s="3">
        <v>45508</v>
      </c>
      <c r="E658">
        <v>152191</v>
      </c>
      <c r="F658">
        <v>598</v>
      </c>
      <c r="G658">
        <v>0</v>
      </c>
      <c r="H658" s="2" t="s">
        <v>18</v>
      </c>
    </row>
    <row r="659" spans="1:8" x14ac:dyDescent="0.25">
      <c r="A659" s="2" t="s">
        <v>1033</v>
      </c>
      <c r="B659" s="2" t="s">
        <v>553</v>
      </c>
      <c r="C659" s="2" t="s">
        <v>10</v>
      </c>
      <c r="D659" s="3">
        <v>45593</v>
      </c>
      <c r="E659">
        <v>444755</v>
      </c>
      <c r="F659">
        <v>376</v>
      </c>
      <c r="G659">
        <v>0</v>
      </c>
      <c r="H659" s="2"/>
    </row>
    <row r="660" spans="1:8" x14ac:dyDescent="0.25">
      <c r="A660" s="2" t="s">
        <v>1034</v>
      </c>
      <c r="B660" s="2" t="s">
        <v>338</v>
      </c>
      <c r="C660" s="2" t="s">
        <v>13</v>
      </c>
      <c r="D660" s="3">
        <v>45204</v>
      </c>
      <c r="E660">
        <v>488051</v>
      </c>
      <c r="F660">
        <v>436</v>
      </c>
      <c r="G660">
        <v>0</v>
      </c>
      <c r="H660" s="2" t="s">
        <v>39</v>
      </c>
    </row>
    <row r="661" spans="1:8" x14ac:dyDescent="0.25">
      <c r="A661" s="2" t="s">
        <v>1035</v>
      </c>
      <c r="B661" s="2" t="s">
        <v>890</v>
      </c>
      <c r="C661" s="2" t="s">
        <v>13</v>
      </c>
      <c r="D661" s="3">
        <v>45779</v>
      </c>
      <c r="E661">
        <v>301494</v>
      </c>
      <c r="F661">
        <v>319</v>
      </c>
      <c r="G661">
        <v>0</v>
      </c>
      <c r="H661" s="2"/>
    </row>
    <row r="662" spans="1:8" x14ac:dyDescent="0.25">
      <c r="A662" s="2" t="s">
        <v>1036</v>
      </c>
      <c r="B662" s="2" t="s">
        <v>518</v>
      </c>
      <c r="C662" s="2" t="s">
        <v>13</v>
      </c>
      <c r="D662" s="3">
        <v>42465</v>
      </c>
      <c r="E662">
        <v>439439</v>
      </c>
      <c r="F662">
        <v>739</v>
      </c>
      <c r="G662">
        <v>0</v>
      </c>
      <c r="H662" s="2"/>
    </row>
    <row r="663" spans="1:8" x14ac:dyDescent="0.25">
      <c r="A663" s="2" t="s">
        <v>1037</v>
      </c>
      <c r="B663" s="2" t="s">
        <v>469</v>
      </c>
      <c r="C663" s="2" t="s">
        <v>13</v>
      </c>
      <c r="D663" s="3">
        <v>42728</v>
      </c>
      <c r="E663">
        <v>25517</v>
      </c>
      <c r="F663">
        <v>510</v>
      </c>
      <c r="G663">
        <v>0</v>
      </c>
      <c r="H663" s="2"/>
    </row>
    <row r="664" spans="1:8" x14ac:dyDescent="0.25">
      <c r="A664" s="2" t="s">
        <v>1038</v>
      </c>
      <c r="B664" s="2" t="s">
        <v>1039</v>
      </c>
      <c r="C664" s="2" t="s">
        <v>13</v>
      </c>
      <c r="D664" s="3">
        <v>44572</v>
      </c>
      <c r="E664">
        <v>471869</v>
      </c>
      <c r="F664">
        <v>734</v>
      </c>
      <c r="G664">
        <v>0</v>
      </c>
      <c r="H664" s="2"/>
    </row>
    <row r="665" spans="1:8" x14ac:dyDescent="0.25">
      <c r="A665" s="2" t="s">
        <v>1040</v>
      </c>
      <c r="B665" s="2" t="s">
        <v>566</v>
      </c>
      <c r="C665" s="2" t="s">
        <v>13</v>
      </c>
      <c r="D665" s="3">
        <v>43273</v>
      </c>
      <c r="E665">
        <v>415466</v>
      </c>
      <c r="F665">
        <v>506</v>
      </c>
      <c r="G665">
        <v>0</v>
      </c>
      <c r="H665" s="2" t="s">
        <v>39</v>
      </c>
    </row>
    <row r="666" spans="1:8" x14ac:dyDescent="0.25">
      <c r="A666" s="2" t="s">
        <v>1041</v>
      </c>
      <c r="B666" s="2" t="s">
        <v>86</v>
      </c>
      <c r="C666" s="2" t="s">
        <v>10</v>
      </c>
      <c r="D666" s="3">
        <v>45417</v>
      </c>
      <c r="E666">
        <v>215558</v>
      </c>
      <c r="F666">
        <v>738</v>
      </c>
      <c r="G666">
        <v>0</v>
      </c>
      <c r="H666" s="2"/>
    </row>
    <row r="667" spans="1:8" x14ac:dyDescent="0.25">
      <c r="A667" s="2" t="s">
        <v>1042</v>
      </c>
      <c r="B667" s="2" t="s">
        <v>122</v>
      </c>
      <c r="C667" s="2" t="s">
        <v>32</v>
      </c>
      <c r="D667" s="3">
        <v>44049</v>
      </c>
      <c r="E667">
        <v>476111</v>
      </c>
      <c r="F667">
        <v>341</v>
      </c>
      <c r="G667">
        <v>390751</v>
      </c>
      <c r="H667" s="2"/>
    </row>
    <row r="668" spans="1:8" x14ac:dyDescent="0.25">
      <c r="A668" s="2" t="s">
        <v>1043</v>
      </c>
      <c r="B668" s="2" t="s">
        <v>539</v>
      </c>
      <c r="C668" s="2" t="s">
        <v>10</v>
      </c>
      <c r="D668" s="3">
        <v>45400</v>
      </c>
      <c r="E668">
        <v>351276</v>
      </c>
      <c r="F668">
        <v>710</v>
      </c>
      <c r="G668">
        <v>330188</v>
      </c>
      <c r="H668" s="2" t="s">
        <v>39</v>
      </c>
    </row>
    <row r="669" spans="1:8" x14ac:dyDescent="0.25">
      <c r="A669" s="2" t="s">
        <v>1044</v>
      </c>
      <c r="B669" s="2" t="s">
        <v>518</v>
      </c>
      <c r="C669" s="2" t="s">
        <v>25</v>
      </c>
      <c r="D669" s="3">
        <v>43772</v>
      </c>
      <c r="E669">
        <v>484282</v>
      </c>
      <c r="F669">
        <v>822</v>
      </c>
      <c r="G669">
        <v>0</v>
      </c>
      <c r="H669" s="2"/>
    </row>
    <row r="670" spans="1:8" x14ac:dyDescent="0.25">
      <c r="A670" s="2" t="s">
        <v>1045</v>
      </c>
      <c r="B670" s="2" t="s">
        <v>340</v>
      </c>
      <c r="C670" s="2" t="s">
        <v>10</v>
      </c>
      <c r="D670" s="3">
        <v>42751</v>
      </c>
      <c r="E670">
        <v>460014</v>
      </c>
      <c r="F670">
        <v>726</v>
      </c>
      <c r="G670">
        <v>0</v>
      </c>
      <c r="H670" s="2"/>
    </row>
    <row r="671" spans="1:8" x14ac:dyDescent="0.25">
      <c r="A671" s="2" t="s">
        <v>1046</v>
      </c>
      <c r="B671" s="2" t="s">
        <v>581</v>
      </c>
      <c r="C671" s="2" t="s">
        <v>13</v>
      </c>
      <c r="D671" s="3">
        <v>42769</v>
      </c>
      <c r="E671">
        <v>447415</v>
      </c>
      <c r="F671">
        <v>574</v>
      </c>
      <c r="G671">
        <v>0</v>
      </c>
      <c r="H671" s="2" t="s">
        <v>39</v>
      </c>
    </row>
    <row r="672" spans="1:8" x14ac:dyDescent="0.25">
      <c r="A672" s="2" t="s">
        <v>1047</v>
      </c>
      <c r="B672" s="2" t="s">
        <v>1048</v>
      </c>
      <c r="C672" s="2" t="s">
        <v>13</v>
      </c>
      <c r="D672" s="3">
        <v>42914</v>
      </c>
      <c r="E672">
        <v>321690</v>
      </c>
      <c r="F672">
        <v>747</v>
      </c>
      <c r="G672">
        <v>366484</v>
      </c>
      <c r="H672" s="2"/>
    </row>
    <row r="673" spans="1:8" x14ac:dyDescent="0.25">
      <c r="A673" s="2" t="s">
        <v>1049</v>
      </c>
      <c r="B673" s="2" t="s">
        <v>1050</v>
      </c>
      <c r="C673" s="2" t="s">
        <v>13</v>
      </c>
      <c r="D673" s="3">
        <v>45148</v>
      </c>
      <c r="E673">
        <v>105686</v>
      </c>
      <c r="F673">
        <v>668</v>
      </c>
      <c r="G673">
        <v>0</v>
      </c>
      <c r="H673" s="2" t="s">
        <v>39</v>
      </c>
    </row>
    <row r="674" spans="1:8" x14ac:dyDescent="0.25">
      <c r="A674" s="2" t="s">
        <v>1051</v>
      </c>
      <c r="B674" s="2" t="s">
        <v>597</v>
      </c>
      <c r="C674" s="2" t="s">
        <v>13</v>
      </c>
      <c r="D674" s="3">
        <v>44563</v>
      </c>
      <c r="E674">
        <v>88151</v>
      </c>
      <c r="F674">
        <v>519</v>
      </c>
      <c r="G674">
        <v>0</v>
      </c>
      <c r="H674" s="2"/>
    </row>
    <row r="675" spans="1:8" x14ac:dyDescent="0.25">
      <c r="A675" s="2" t="s">
        <v>1052</v>
      </c>
      <c r="B675" s="2" t="s">
        <v>1053</v>
      </c>
      <c r="C675" s="2" t="s">
        <v>10</v>
      </c>
      <c r="D675" s="3">
        <v>44010</v>
      </c>
      <c r="E675">
        <v>265471</v>
      </c>
      <c r="F675">
        <v>531</v>
      </c>
      <c r="G675">
        <v>0</v>
      </c>
      <c r="H675" s="2" t="s">
        <v>18</v>
      </c>
    </row>
    <row r="676" spans="1:8" x14ac:dyDescent="0.25">
      <c r="A676" s="2" t="s">
        <v>1054</v>
      </c>
      <c r="B676" s="2" t="s">
        <v>1055</v>
      </c>
      <c r="C676" s="2" t="s">
        <v>13</v>
      </c>
      <c r="D676" s="3">
        <v>42365</v>
      </c>
      <c r="E676">
        <v>120318</v>
      </c>
      <c r="F676">
        <v>627</v>
      </c>
      <c r="G676">
        <v>0</v>
      </c>
      <c r="H676" s="2"/>
    </row>
    <row r="677" spans="1:8" x14ac:dyDescent="0.25">
      <c r="A677" s="2" t="s">
        <v>1056</v>
      </c>
      <c r="B677" s="2" t="s">
        <v>283</v>
      </c>
      <c r="C677" s="2" t="s">
        <v>13</v>
      </c>
      <c r="D677" s="3">
        <v>43092</v>
      </c>
      <c r="E677">
        <v>422984</v>
      </c>
      <c r="F677">
        <v>742</v>
      </c>
      <c r="G677">
        <v>274579</v>
      </c>
      <c r="H677" s="2"/>
    </row>
    <row r="678" spans="1:8" x14ac:dyDescent="0.25">
      <c r="A678" s="2" t="s">
        <v>1057</v>
      </c>
      <c r="B678" s="2" t="s">
        <v>996</v>
      </c>
      <c r="C678" s="2" t="s">
        <v>13</v>
      </c>
      <c r="D678" s="3">
        <v>43088</v>
      </c>
      <c r="E678">
        <v>195490</v>
      </c>
      <c r="F678">
        <v>351</v>
      </c>
      <c r="G678">
        <v>0</v>
      </c>
      <c r="H678" s="2"/>
    </row>
    <row r="679" spans="1:8" x14ac:dyDescent="0.25">
      <c r="A679" s="2" t="s">
        <v>1058</v>
      </c>
      <c r="B679" s="2" t="s">
        <v>24</v>
      </c>
      <c r="C679" s="2" t="s">
        <v>32</v>
      </c>
      <c r="D679" s="3">
        <v>43608</v>
      </c>
      <c r="E679">
        <v>487602</v>
      </c>
      <c r="F679">
        <v>675</v>
      </c>
      <c r="G679">
        <v>0</v>
      </c>
      <c r="H679" s="2"/>
    </row>
    <row r="680" spans="1:8" x14ac:dyDescent="0.25">
      <c r="A680" s="2" t="s">
        <v>1059</v>
      </c>
      <c r="B680" s="2" t="s">
        <v>1060</v>
      </c>
      <c r="C680" s="2" t="s">
        <v>25</v>
      </c>
      <c r="D680" s="3">
        <v>42570</v>
      </c>
      <c r="E680">
        <v>173860</v>
      </c>
      <c r="F680">
        <v>562</v>
      </c>
      <c r="G680">
        <v>0</v>
      </c>
      <c r="H680" s="2"/>
    </row>
    <row r="681" spans="1:8" x14ac:dyDescent="0.25">
      <c r="A681" s="2" t="s">
        <v>1061</v>
      </c>
      <c r="B681" s="2" t="s">
        <v>809</v>
      </c>
      <c r="C681" s="2" t="s">
        <v>25</v>
      </c>
      <c r="D681" s="3">
        <v>45392</v>
      </c>
      <c r="E681">
        <v>115945</v>
      </c>
      <c r="F681">
        <v>566</v>
      </c>
      <c r="G681">
        <v>0</v>
      </c>
      <c r="H681" s="2"/>
    </row>
    <row r="682" spans="1:8" x14ac:dyDescent="0.25">
      <c r="A682" s="2" t="s">
        <v>1062</v>
      </c>
      <c r="B682" s="2" t="s">
        <v>437</v>
      </c>
      <c r="C682" s="2" t="s">
        <v>13</v>
      </c>
      <c r="D682" s="3">
        <v>42460</v>
      </c>
      <c r="E682">
        <v>213456</v>
      </c>
      <c r="F682">
        <v>658</v>
      </c>
      <c r="G682">
        <v>0</v>
      </c>
      <c r="H682" s="2" t="s">
        <v>59</v>
      </c>
    </row>
    <row r="683" spans="1:8" x14ac:dyDescent="0.25">
      <c r="A683" s="2" t="s">
        <v>1063</v>
      </c>
      <c r="B683" s="2" t="s">
        <v>326</v>
      </c>
      <c r="C683" s="2" t="s">
        <v>25</v>
      </c>
      <c r="D683" s="3">
        <v>44580</v>
      </c>
      <c r="E683">
        <v>308974</v>
      </c>
      <c r="F683">
        <v>616</v>
      </c>
      <c r="G683">
        <v>0</v>
      </c>
      <c r="H683" s="2"/>
    </row>
    <row r="684" spans="1:8" x14ac:dyDescent="0.25">
      <c r="A684" s="2" t="s">
        <v>1064</v>
      </c>
      <c r="B684" s="2" t="s">
        <v>1065</v>
      </c>
      <c r="C684" s="2" t="s">
        <v>25</v>
      </c>
      <c r="D684" s="3">
        <v>45118</v>
      </c>
      <c r="E684">
        <v>52446</v>
      </c>
      <c r="F684">
        <v>623</v>
      </c>
      <c r="G684">
        <v>254717</v>
      </c>
      <c r="H684" s="2"/>
    </row>
    <row r="685" spans="1:8" x14ac:dyDescent="0.25">
      <c r="A685" s="2" t="s">
        <v>1066</v>
      </c>
      <c r="B685" s="2" t="s">
        <v>47</v>
      </c>
      <c r="C685" s="2" t="s">
        <v>10</v>
      </c>
      <c r="D685" s="3">
        <v>45431</v>
      </c>
      <c r="E685">
        <v>498294</v>
      </c>
      <c r="F685">
        <v>720</v>
      </c>
      <c r="G685">
        <v>139479</v>
      </c>
      <c r="H685" s="2"/>
    </row>
    <row r="686" spans="1:8" x14ac:dyDescent="0.25">
      <c r="A686" s="2" t="s">
        <v>1067</v>
      </c>
      <c r="B686" s="2" t="s">
        <v>1068</v>
      </c>
      <c r="C686" s="2" t="s">
        <v>32</v>
      </c>
      <c r="D686" s="3">
        <v>44721</v>
      </c>
      <c r="E686">
        <v>408376</v>
      </c>
      <c r="F686">
        <v>345</v>
      </c>
      <c r="G686">
        <v>0</v>
      </c>
      <c r="H686" s="2"/>
    </row>
    <row r="687" spans="1:8" x14ac:dyDescent="0.25">
      <c r="A687" s="2" t="s">
        <v>1069</v>
      </c>
      <c r="B687" s="2" t="s">
        <v>1070</v>
      </c>
      <c r="C687" s="2" t="s">
        <v>13</v>
      </c>
      <c r="D687" s="3">
        <v>44117</v>
      </c>
      <c r="E687">
        <v>187655</v>
      </c>
      <c r="F687">
        <v>568</v>
      </c>
      <c r="G687">
        <v>0</v>
      </c>
      <c r="H687" s="2"/>
    </row>
    <row r="688" spans="1:8" x14ac:dyDescent="0.25">
      <c r="A688" s="2" t="s">
        <v>1071</v>
      </c>
      <c r="B688" s="2" t="s">
        <v>1072</v>
      </c>
      <c r="C688" s="2" t="s">
        <v>32</v>
      </c>
      <c r="D688" s="3">
        <v>45191</v>
      </c>
      <c r="E688">
        <v>427214</v>
      </c>
      <c r="F688">
        <v>680</v>
      </c>
      <c r="G688">
        <v>0</v>
      </c>
      <c r="H688" s="2"/>
    </row>
    <row r="689" spans="1:8" x14ac:dyDescent="0.25">
      <c r="A689" s="2" t="s">
        <v>1073</v>
      </c>
      <c r="B689" s="2" t="s">
        <v>391</v>
      </c>
      <c r="C689" s="2" t="s">
        <v>32</v>
      </c>
      <c r="D689" s="3">
        <v>42251</v>
      </c>
      <c r="E689">
        <v>420446</v>
      </c>
      <c r="F689">
        <v>417</v>
      </c>
      <c r="G689">
        <v>0</v>
      </c>
      <c r="H689" s="2"/>
    </row>
    <row r="690" spans="1:8" x14ac:dyDescent="0.25">
      <c r="A690" s="2" t="s">
        <v>1074</v>
      </c>
      <c r="B690" s="2" t="s">
        <v>1075</v>
      </c>
      <c r="C690" s="2" t="s">
        <v>13</v>
      </c>
      <c r="D690" s="3">
        <v>45305</v>
      </c>
      <c r="E690">
        <v>140148</v>
      </c>
      <c r="F690">
        <v>415</v>
      </c>
      <c r="G690">
        <v>0</v>
      </c>
      <c r="H690" s="2" t="s">
        <v>59</v>
      </c>
    </row>
    <row r="691" spans="1:8" x14ac:dyDescent="0.25">
      <c r="A691" s="2" t="s">
        <v>1076</v>
      </c>
      <c r="B691" s="2" t="s">
        <v>667</v>
      </c>
      <c r="C691" s="2" t="s">
        <v>10</v>
      </c>
      <c r="D691" s="3">
        <v>45418</v>
      </c>
      <c r="E691">
        <v>69341</v>
      </c>
      <c r="F691">
        <v>559</v>
      </c>
      <c r="G691">
        <v>0</v>
      </c>
      <c r="H691" s="2"/>
    </row>
    <row r="692" spans="1:8" x14ac:dyDescent="0.25">
      <c r="A692" s="2" t="s">
        <v>1077</v>
      </c>
      <c r="B692" s="2" t="s">
        <v>34</v>
      </c>
      <c r="C692" s="2" t="s">
        <v>32</v>
      </c>
      <c r="D692" s="3">
        <v>44766</v>
      </c>
      <c r="E692">
        <v>31085</v>
      </c>
      <c r="F692">
        <v>374</v>
      </c>
      <c r="G692">
        <v>0</v>
      </c>
      <c r="H692" s="2"/>
    </row>
    <row r="693" spans="1:8" x14ac:dyDescent="0.25">
      <c r="A693" s="2" t="s">
        <v>1078</v>
      </c>
      <c r="B693" s="2" t="s">
        <v>172</v>
      </c>
      <c r="C693" s="2" t="s">
        <v>13</v>
      </c>
      <c r="D693" s="3">
        <v>44838</v>
      </c>
      <c r="E693">
        <v>317715</v>
      </c>
      <c r="F693">
        <v>779</v>
      </c>
      <c r="G693">
        <v>0</v>
      </c>
      <c r="H693" s="2"/>
    </row>
    <row r="694" spans="1:8" x14ac:dyDescent="0.25">
      <c r="A694" s="2" t="s">
        <v>1079</v>
      </c>
      <c r="B694" s="2" t="s">
        <v>156</v>
      </c>
      <c r="C694" s="2" t="s">
        <v>10</v>
      </c>
      <c r="D694" s="3">
        <v>45292</v>
      </c>
      <c r="E694">
        <v>407931</v>
      </c>
      <c r="F694">
        <v>604</v>
      </c>
      <c r="G694">
        <v>0</v>
      </c>
      <c r="H694" s="2"/>
    </row>
    <row r="695" spans="1:8" x14ac:dyDescent="0.25">
      <c r="A695" s="2" t="s">
        <v>1080</v>
      </c>
      <c r="B695" s="2" t="s">
        <v>497</v>
      </c>
      <c r="C695" s="2" t="s">
        <v>32</v>
      </c>
      <c r="D695" s="3">
        <v>45202</v>
      </c>
      <c r="E695">
        <v>390452</v>
      </c>
      <c r="F695">
        <v>306</v>
      </c>
      <c r="G695">
        <v>0</v>
      </c>
      <c r="H695" s="2" t="s">
        <v>59</v>
      </c>
    </row>
    <row r="696" spans="1:8" x14ac:dyDescent="0.25">
      <c r="A696" s="2" t="s">
        <v>1081</v>
      </c>
      <c r="B696" s="2" t="s">
        <v>717</v>
      </c>
      <c r="C696" s="2" t="s">
        <v>10</v>
      </c>
      <c r="D696" s="3">
        <v>43570</v>
      </c>
      <c r="E696">
        <v>5750</v>
      </c>
      <c r="F696">
        <v>665</v>
      </c>
      <c r="G696">
        <v>367612</v>
      </c>
      <c r="H696" s="2"/>
    </row>
    <row r="697" spans="1:8" x14ac:dyDescent="0.25">
      <c r="A697" s="2" t="s">
        <v>1082</v>
      </c>
      <c r="B697" s="2" t="s">
        <v>1048</v>
      </c>
      <c r="C697" s="2" t="s">
        <v>13</v>
      </c>
      <c r="D697" s="3">
        <v>45254</v>
      </c>
      <c r="E697">
        <v>376075</v>
      </c>
      <c r="F697">
        <v>822</v>
      </c>
      <c r="G697">
        <v>396351</v>
      </c>
      <c r="H697" s="2"/>
    </row>
    <row r="698" spans="1:8" x14ac:dyDescent="0.25">
      <c r="A698" s="2" t="s">
        <v>1083</v>
      </c>
      <c r="B698" s="2" t="s">
        <v>384</v>
      </c>
      <c r="C698" s="2" t="s">
        <v>10</v>
      </c>
      <c r="D698" s="3">
        <v>45220</v>
      </c>
      <c r="E698">
        <v>340912</v>
      </c>
      <c r="F698">
        <v>647</v>
      </c>
      <c r="G698">
        <v>0</v>
      </c>
      <c r="H698" s="2" t="s">
        <v>39</v>
      </c>
    </row>
    <row r="699" spans="1:8" x14ac:dyDescent="0.25">
      <c r="A699" s="2" t="s">
        <v>1084</v>
      </c>
      <c r="B699" s="2" t="s">
        <v>657</v>
      </c>
      <c r="C699" s="2" t="s">
        <v>13</v>
      </c>
      <c r="D699" s="3">
        <v>44554</v>
      </c>
      <c r="E699">
        <v>35903</v>
      </c>
      <c r="F699">
        <v>737</v>
      </c>
      <c r="G699">
        <v>0</v>
      </c>
      <c r="H699" s="2"/>
    </row>
    <row r="700" spans="1:8" x14ac:dyDescent="0.25">
      <c r="A700" s="2" t="s">
        <v>1085</v>
      </c>
      <c r="B700" s="2" t="s">
        <v>597</v>
      </c>
      <c r="C700" s="2" t="s">
        <v>10</v>
      </c>
      <c r="D700" s="3">
        <v>42385</v>
      </c>
      <c r="E700">
        <v>203561</v>
      </c>
      <c r="F700">
        <v>514</v>
      </c>
      <c r="G700">
        <v>452603</v>
      </c>
      <c r="H700" s="2" t="s">
        <v>39</v>
      </c>
    </row>
    <row r="701" spans="1:8" x14ac:dyDescent="0.25">
      <c r="A701" s="2" t="s">
        <v>1086</v>
      </c>
      <c r="B701" s="2" t="s">
        <v>652</v>
      </c>
      <c r="C701" s="2" t="s">
        <v>13</v>
      </c>
      <c r="D701" s="3">
        <v>43847</v>
      </c>
      <c r="E701">
        <v>425309</v>
      </c>
      <c r="F701">
        <v>728</v>
      </c>
      <c r="G701">
        <v>0</v>
      </c>
      <c r="H701" s="2"/>
    </row>
    <row r="702" spans="1:8" x14ac:dyDescent="0.25">
      <c r="A702" s="2" t="s">
        <v>1087</v>
      </c>
      <c r="B702" s="2" t="s">
        <v>114</v>
      </c>
      <c r="C702" s="2" t="s">
        <v>10</v>
      </c>
      <c r="D702" s="3">
        <v>44178</v>
      </c>
      <c r="E702">
        <v>91036</v>
      </c>
      <c r="F702">
        <v>797</v>
      </c>
      <c r="G702">
        <v>0</v>
      </c>
      <c r="H702" s="2" t="s">
        <v>18</v>
      </c>
    </row>
    <row r="703" spans="1:8" x14ac:dyDescent="0.25">
      <c r="A703" s="2" t="s">
        <v>1088</v>
      </c>
      <c r="B703" s="2" t="s">
        <v>190</v>
      </c>
      <c r="C703" s="2" t="s">
        <v>10</v>
      </c>
      <c r="D703" s="3">
        <v>45204</v>
      </c>
      <c r="E703">
        <v>87954</v>
      </c>
      <c r="F703">
        <v>839</v>
      </c>
      <c r="G703">
        <v>0</v>
      </c>
      <c r="H703" s="2"/>
    </row>
    <row r="704" spans="1:8" x14ac:dyDescent="0.25">
      <c r="A704" s="2" t="s">
        <v>1089</v>
      </c>
      <c r="B704" s="2" t="s">
        <v>350</v>
      </c>
      <c r="C704" s="2" t="s">
        <v>25</v>
      </c>
      <c r="D704" s="3">
        <v>42906</v>
      </c>
      <c r="E704">
        <v>427530</v>
      </c>
      <c r="F704">
        <v>666</v>
      </c>
      <c r="G704">
        <v>449958</v>
      </c>
      <c r="H704" s="2"/>
    </row>
    <row r="705" spans="1:8" x14ac:dyDescent="0.25">
      <c r="A705" s="2" t="s">
        <v>1090</v>
      </c>
      <c r="B705" s="2" t="s">
        <v>148</v>
      </c>
      <c r="C705" s="2" t="s">
        <v>10</v>
      </c>
      <c r="D705" s="3">
        <v>42712</v>
      </c>
      <c r="E705">
        <v>441441</v>
      </c>
      <c r="F705">
        <v>612</v>
      </c>
      <c r="G705">
        <v>307666</v>
      </c>
      <c r="H705" s="2"/>
    </row>
    <row r="706" spans="1:8" x14ac:dyDescent="0.25">
      <c r="A706" s="2" t="s">
        <v>1091</v>
      </c>
      <c r="B706" s="2" t="s">
        <v>1092</v>
      </c>
      <c r="C706" s="2" t="s">
        <v>10</v>
      </c>
      <c r="D706" s="3">
        <v>43503</v>
      </c>
      <c r="E706">
        <v>481201</v>
      </c>
      <c r="F706">
        <v>837</v>
      </c>
      <c r="G706">
        <v>0</v>
      </c>
      <c r="H706" s="2"/>
    </row>
    <row r="707" spans="1:8" x14ac:dyDescent="0.25">
      <c r="A707" s="2" t="s">
        <v>1093</v>
      </c>
      <c r="B707" s="2" t="s">
        <v>43</v>
      </c>
      <c r="C707" s="2" t="s">
        <v>10</v>
      </c>
      <c r="D707" s="3">
        <v>43221</v>
      </c>
      <c r="E707">
        <v>345158</v>
      </c>
      <c r="F707">
        <v>353</v>
      </c>
      <c r="G707">
        <v>0</v>
      </c>
      <c r="H707" s="2"/>
    </row>
    <row r="708" spans="1:8" x14ac:dyDescent="0.25">
      <c r="A708" s="2" t="s">
        <v>1094</v>
      </c>
      <c r="B708" s="2" t="s">
        <v>1095</v>
      </c>
      <c r="C708" s="2" t="s">
        <v>13</v>
      </c>
      <c r="D708" s="3">
        <v>44760</v>
      </c>
      <c r="E708">
        <v>428395</v>
      </c>
      <c r="F708">
        <v>840</v>
      </c>
      <c r="G708">
        <v>0</v>
      </c>
      <c r="H708" s="2"/>
    </row>
    <row r="709" spans="1:8" x14ac:dyDescent="0.25">
      <c r="A709" s="2" t="s">
        <v>1096</v>
      </c>
      <c r="B709" s="2" t="s">
        <v>235</v>
      </c>
      <c r="C709" s="2" t="s">
        <v>10</v>
      </c>
      <c r="D709" s="3">
        <v>45272</v>
      </c>
      <c r="E709">
        <v>117305</v>
      </c>
      <c r="F709">
        <v>766</v>
      </c>
      <c r="G709">
        <v>0</v>
      </c>
      <c r="H709" s="2" t="s">
        <v>18</v>
      </c>
    </row>
    <row r="710" spans="1:8" x14ac:dyDescent="0.25">
      <c r="A710" s="2" t="s">
        <v>1097</v>
      </c>
      <c r="B710" s="2" t="s">
        <v>281</v>
      </c>
      <c r="C710" s="2" t="s">
        <v>13</v>
      </c>
      <c r="D710" s="3">
        <v>42810</v>
      </c>
      <c r="E710">
        <v>418554</v>
      </c>
      <c r="F710">
        <v>463</v>
      </c>
      <c r="G710">
        <v>366541</v>
      </c>
      <c r="H710" s="2"/>
    </row>
    <row r="711" spans="1:8" x14ac:dyDescent="0.25">
      <c r="A711" s="2" t="s">
        <v>1098</v>
      </c>
      <c r="B711" s="2" t="s">
        <v>1099</v>
      </c>
      <c r="C711" s="2" t="s">
        <v>32</v>
      </c>
      <c r="D711" s="3">
        <v>43698</v>
      </c>
      <c r="E711">
        <v>485651</v>
      </c>
      <c r="F711">
        <v>633</v>
      </c>
      <c r="G711">
        <v>8880</v>
      </c>
      <c r="H711" s="2" t="s">
        <v>59</v>
      </c>
    </row>
    <row r="712" spans="1:8" x14ac:dyDescent="0.25">
      <c r="A712" s="2" t="s">
        <v>1100</v>
      </c>
      <c r="B712" s="2" t="s">
        <v>662</v>
      </c>
      <c r="C712" s="2" t="s">
        <v>13</v>
      </c>
      <c r="D712" s="3">
        <v>42305</v>
      </c>
      <c r="E712">
        <v>200753</v>
      </c>
      <c r="F712">
        <v>846</v>
      </c>
      <c r="G712">
        <v>0</v>
      </c>
      <c r="H712" s="2"/>
    </row>
    <row r="713" spans="1:8" x14ac:dyDescent="0.25">
      <c r="A713" s="2" t="s">
        <v>1101</v>
      </c>
      <c r="B713" s="2" t="s">
        <v>1102</v>
      </c>
      <c r="C713" s="2" t="s">
        <v>10</v>
      </c>
      <c r="D713" s="3">
        <v>44180</v>
      </c>
      <c r="E713">
        <v>32101</v>
      </c>
      <c r="F713">
        <v>647</v>
      </c>
      <c r="G713">
        <v>453927</v>
      </c>
      <c r="H713" s="2"/>
    </row>
    <row r="714" spans="1:8" x14ac:dyDescent="0.25">
      <c r="A714" s="2" t="s">
        <v>1103</v>
      </c>
      <c r="B714" s="2" t="s">
        <v>672</v>
      </c>
      <c r="C714" s="2" t="s">
        <v>10</v>
      </c>
      <c r="D714" s="3">
        <v>43020</v>
      </c>
      <c r="E714">
        <v>2775</v>
      </c>
      <c r="F714">
        <v>572</v>
      </c>
      <c r="G714">
        <v>0</v>
      </c>
      <c r="H714" s="2"/>
    </row>
    <row r="715" spans="1:8" x14ac:dyDescent="0.25">
      <c r="A715" s="2" t="s">
        <v>1104</v>
      </c>
      <c r="B715" s="2" t="s">
        <v>433</v>
      </c>
      <c r="C715" s="2" t="s">
        <v>10</v>
      </c>
      <c r="D715" s="3">
        <v>45063</v>
      </c>
      <c r="E715">
        <v>111497</v>
      </c>
      <c r="F715">
        <v>713</v>
      </c>
      <c r="G715">
        <v>0</v>
      </c>
      <c r="H715" s="2"/>
    </row>
    <row r="716" spans="1:8" x14ac:dyDescent="0.25">
      <c r="A716" s="2" t="s">
        <v>1105</v>
      </c>
      <c r="B716" s="2" t="s">
        <v>1106</v>
      </c>
      <c r="C716" s="2" t="s">
        <v>13</v>
      </c>
      <c r="D716" s="3">
        <v>44894</v>
      </c>
      <c r="E716">
        <v>490399</v>
      </c>
      <c r="F716">
        <v>799</v>
      </c>
      <c r="G716">
        <v>466537</v>
      </c>
      <c r="H716" s="2" t="s">
        <v>18</v>
      </c>
    </row>
    <row r="717" spans="1:8" x14ac:dyDescent="0.25">
      <c r="A717" s="2" t="s">
        <v>1107</v>
      </c>
      <c r="B717" s="2" t="s">
        <v>9</v>
      </c>
      <c r="C717" s="2" t="s">
        <v>10</v>
      </c>
      <c r="D717" s="3">
        <v>44170</v>
      </c>
      <c r="E717">
        <v>45619</v>
      </c>
      <c r="F717">
        <v>392</v>
      </c>
      <c r="G717">
        <v>0</v>
      </c>
      <c r="H717" s="2"/>
    </row>
    <row r="718" spans="1:8" x14ac:dyDescent="0.25">
      <c r="A718" s="2" t="s">
        <v>1108</v>
      </c>
      <c r="B718" s="2" t="s">
        <v>727</v>
      </c>
      <c r="C718" s="2" t="s">
        <v>10</v>
      </c>
      <c r="D718" s="3">
        <v>43459</v>
      </c>
      <c r="E718">
        <v>439054</v>
      </c>
      <c r="F718">
        <v>378</v>
      </c>
      <c r="G718">
        <v>0</v>
      </c>
      <c r="H718" s="2"/>
    </row>
    <row r="719" spans="1:8" x14ac:dyDescent="0.25">
      <c r="A719" s="2" t="s">
        <v>1109</v>
      </c>
      <c r="B719" s="2" t="s">
        <v>393</v>
      </c>
      <c r="C719" s="2" t="s">
        <v>25</v>
      </c>
      <c r="D719" s="3">
        <v>43635</v>
      </c>
      <c r="E719">
        <v>252388</v>
      </c>
      <c r="F719">
        <v>516</v>
      </c>
      <c r="G719">
        <v>0</v>
      </c>
      <c r="H719" s="2"/>
    </row>
    <row r="720" spans="1:8" x14ac:dyDescent="0.25">
      <c r="A720" s="2" t="s">
        <v>1110</v>
      </c>
      <c r="B720" s="2" t="s">
        <v>433</v>
      </c>
      <c r="C720" s="2" t="s">
        <v>13</v>
      </c>
      <c r="D720" s="3">
        <v>42305</v>
      </c>
      <c r="E720">
        <v>412755</v>
      </c>
      <c r="F720">
        <v>657</v>
      </c>
      <c r="G720">
        <v>458318</v>
      </c>
      <c r="H720" s="2"/>
    </row>
    <row r="721" spans="1:8" x14ac:dyDescent="0.25">
      <c r="A721" s="2" t="s">
        <v>1111</v>
      </c>
      <c r="B721" s="2" t="s">
        <v>458</v>
      </c>
      <c r="C721" s="2" t="s">
        <v>10</v>
      </c>
      <c r="D721" s="3">
        <v>44241</v>
      </c>
      <c r="E721">
        <v>233346</v>
      </c>
      <c r="F721">
        <v>806</v>
      </c>
      <c r="G721">
        <v>0</v>
      </c>
      <c r="H721" s="2" t="s">
        <v>39</v>
      </c>
    </row>
    <row r="722" spans="1:8" x14ac:dyDescent="0.25">
      <c r="A722" s="2" t="s">
        <v>1112</v>
      </c>
      <c r="B722" s="2" t="s">
        <v>535</v>
      </c>
      <c r="C722" s="2" t="s">
        <v>10</v>
      </c>
      <c r="D722" s="3">
        <v>45536</v>
      </c>
      <c r="E722">
        <v>319268</v>
      </c>
      <c r="F722">
        <v>480</v>
      </c>
      <c r="G722">
        <v>0</v>
      </c>
      <c r="H722" s="2"/>
    </row>
    <row r="723" spans="1:8" x14ac:dyDescent="0.25">
      <c r="A723" s="2" t="s">
        <v>1113</v>
      </c>
      <c r="B723" s="2" t="s">
        <v>443</v>
      </c>
      <c r="C723" s="2" t="s">
        <v>10</v>
      </c>
      <c r="D723" s="3">
        <v>42583</v>
      </c>
      <c r="E723">
        <v>65149</v>
      </c>
      <c r="F723">
        <v>545</v>
      </c>
      <c r="G723">
        <v>0</v>
      </c>
      <c r="H723" s="2"/>
    </row>
    <row r="724" spans="1:8" x14ac:dyDescent="0.25">
      <c r="A724" s="2" t="s">
        <v>1114</v>
      </c>
      <c r="B724" s="2" t="s">
        <v>388</v>
      </c>
      <c r="C724" s="2" t="s">
        <v>10</v>
      </c>
      <c r="D724" s="3">
        <v>43405</v>
      </c>
      <c r="E724">
        <v>26616</v>
      </c>
      <c r="F724">
        <v>543</v>
      </c>
      <c r="G724">
        <v>0</v>
      </c>
      <c r="H724" s="2"/>
    </row>
    <row r="725" spans="1:8" x14ac:dyDescent="0.25">
      <c r="A725" s="2" t="s">
        <v>1115</v>
      </c>
      <c r="B725" s="2" t="s">
        <v>55</v>
      </c>
      <c r="C725" s="2" t="s">
        <v>10</v>
      </c>
      <c r="D725" s="3">
        <v>45139</v>
      </c>
      <c r="E725">
        <v>472871</v>
      </c>
      <c r="F725">
        <v>805</v>
      </c>
      <c r="G725">
        <v>0</v>
      </c>
      <c r="H725" s="2"/>
    </row>
    <row r="726" spans="1:8" x14ac:dyDescent="0.25">
      <c r="A726" s="2" t="s">
        <v>1116</v>
      </c>
      <c r="B726" s="2" t="s">
        <v>727</v>
      </c>
      <c r="C726" s="2" t="s">
        <v>13</v>
      </c>
      <c r="D726" s="3">
        <v>44638</v>
      </c>
      <c r="E726">
        <v>221767</v>
      </c>
      <c r="F726">
        <v>721</v>
      </c>
      <c r="G726">
        <v>0</v>
      </c>
      <c r="H726" s="2"/>
    </row>
    <row r="727" spans="1:8" x14ac:dyDescent="0.25">
      <c r="A727" s="2" t="s">
        <v>1117</v>
      </c>
      <c r="B727" s="2" t="s">
        <v>806</v>
      </c>
      <c r="C727" s="2" t="s">
        <v>13</v>
      </c>
      <c r="D727" s="3">
        <v>44573</v>
      </c>
      <c r="E727">
        <v>185639</v>
      </c>
      <c r="F727">
        <v>619</v>
      </c>
      <c r="G727">
        <v>0</v>
      </c>
      <c r="H727" s="2"/>
    </row>
    <row r="728" spans="1:8" x14ac:dyDescent="0.25">
      <c r="A728" s="2" t="s">
        <v>1118</v>
      </c>
      <c r="B728" s="2" t="s">
        <v>1119</v>
      </c>
      <c r="C728" s="2" t="s">
        <v>13</v>
      </c>
      <c r="D728" s="3">
        <v>45082</v>
      </c>
      <c r="E728">
        <v>168171</v>
      </c>
      <c r="F728">
        <v>386</v>
      </c>
      <c r="G728">
        <v>0</v>
      </c>
      <c r="H728" s="2" t="s">
        <v>18</v>
      </c>
    </row>
    <row r="729" spans="1:8" x14ac:dyDescent="0.25">
      <c r="A729" s="2" t="s">
        <v>1120</v>
      </c>
      <c r="B729" s="2" t="s">
        <v>43</v>
      </c>
      <c r="C729" s="2" t="s">
        <v>13</v>
      </c>
      <c r="D729" s="3">
        <v>42697</v>
      </c>
      <c r="E729">
        <v>206903</v>
      </c>
      <c r="F729">
        <v>516</v>
      </c>
      <c r="G729">
        <v>0</v>
      </c>
      <c r="H729" s="2"/>
    </row>
    <row r="730" spans="1:8" x14ac:dyDescent="0.25">
      <c r="A730" s="2" t="s">
        <v>1121</v>
      </c>
      <c r="B730" s="2" t="s">
        <v>537</v>
      </c>
      <c r="C730" s="2" t="s">
        <v>10</v>
      </c>
      <c r="D730" s="3">
        <v>44314</v>
      </c>
      <c r="E730">
        <v>231318</v>
      </c>
      <c r="F730">
        <v>789</v>
      </c>
      <c r="G730">
        <v>417289</v>
      </c>
      <c r="H730" s="2"/>
    </row>
    <row r="731" spans="1:8" x14ac:dyDescent="0.25">
      <c r="A731" s="2" t="s">
        <v>1122</v>
      </c>
      <c r="B731" s="2" t="s">
        <v>399</v>
      </c>
      <c r="C731" s="2" t="s">
        <v>10</v>
      </c>
      <c r="D731" s="3">
        <v>42800</v>
      </c>
      <c r="E731">
        <v>323943</v>
      </c>
      <c r="F731">
        <v>818</v>
      </c>
      <c r="G731">
        <v>369543</v>
      </c>
      <c r="H731" s="2"/>
    </row>
    <row r="732" spans="1:8" x14ac:dyDescent="0.25">
      <c r="A732" s="2" t="s">
        <v>1123</v>
      </c>
      <c r="B732" s="2" t="s">
        <v>844</v>
      </c>
      <c r="C732" s="2" t="s">
        <v>13</v>
      </c>
      <c r="D732" s="3">
        <v>43067</v>
      </c>
      <c r="E732">
        <v>352365</v>
      </c>
      <c r="F732">
        <v>577</v>
      </c>
      <c r="G732">
        <v>0</v>
      </c>
      <c r="H732" s="2"/>
    </row>
    <row r="733" spans="1:8" x14ac:dyDescent="0.25">
      <c r="A733" s="2" t="s">
        <v>1124</v>
      </c>
      <c r="B733" s="2" t="s">
        <v>616</v>
      </c>
      <c r="C733" s="2" t="s">
        <v>32</v>
      </c>
      <c r="D733" s="3">
        <v>44420</v>
      </c>
      <c r="E733">
        <v>377023</v>
      </c>
      <c r="F733">
        <v>468</v>
      </c>
      <c r="G733">
        <v>0</v>
      </c>
      <c r="H733" s="2"/>
    </row>
    <row r="734" spans="1:8" x14ac:dyDescent="0.25">
      <c r="A734" s="2" t="s">
        <v>1125</v>
      </c>
      <c r="B734" s="2" t="s">
        <v>813</v>
      </c>
      <c r="C734" s="2" t="s">
        <v>13</v>
      </c>
      <c r="D734" s="3">
        <v>45195</v>
      </c>
      <c r="E734">
        <v>287623</v>
      </c>
      <c r="F734">
        <v>629</v>
      </c>
      <c r="G734">
        <v>0</v>
      </c>
      <c r="H734" s="2"/>
    </row>
    <row r="735" spans="1:8" x14ac:dyDescent="0.25">
      <c r="A735" s="2" t="s">
        <v>1126</v>
      </c>
      <c r="B735" s="2" t="s">
        <v>297</v>
      </c>
      <c r="C735" s="2" t="s">
        <v>25</v>
      </c>
      <c r="D735" s="3">
        <v>45387</v>
      </c>
      <c r="E735">
        <v>439388</v>
      </c>
      <c r="F735">
        <v>740</v>
      </c>
      <c r="G735">
        <v>0</v>
      </c>
      <c r="H735" s="2"/>
    </row>
    <row r="736" spans="1:8" x14ac:dyDescent="0.25">
      <c r="A736" s="2" t="s">
        <v>1127</v>
      </c>
      <c r="B736" s="2" t="s">
        <v>834</v>
      </c>
      <c r="C736" s="2" t="s">
        <v>10</v>
      </c>
      <c r="D736" s="3">
        <v>44258</v>
      </c>
      <c r="E736">
        <v>361309</v>
      </c>
      <c r="F736">
        <v>690</v>
      </c>
      <c r="G736">
        <v>0</v>
      </c>
      <c r="H736" s="2"/>
    </row>
    <row r="737" spans="1:8" x14ac:dyDescent="0.25">
      <c r="A737" s="2" t="s">
        <v>1128</v>
      </c>
      <c r="B737" s="2" t="s">
        <v>1129</v>
      </c>
      <c r="C737" s="2" t="s">
        <v>13</v>
      </c>
      <c r="D737" s="3">
        <v>45798</v>
      </c>
      <c r="E737">
        <v>55863</v>
      </c>
      <c r="F737">
        <v>795</v>
      </c>
      <c r="G737">
        <v>0</v>
      </c>
      <c r="H737" s="2"/>
    </row>
    <row r="738" spans="1:8" x14ac:dyDescent="0.25">
      <c r="A738" s="2" t="s">
        <v>1130</v>
      </c>
      <c r="B738" s="2" t="s">
        <v>773</v>
      </c>
      <c r="C738" s="2" t="s">
        <v>13</v>
      </c>
      <c r="D738" s="3">
        <v>45036</v>
      </c>
      <c r="E738">
        <v>173115</v>
      </c>
      <c r="F738">
        <v>680</v>
      </c>
      <c r="G738">
        <v>0</v>
      </c>
      <c r="H738" s="2"/>
    </row>
    <row r="739" spans="1:8" x14ac:dyDescent="0.25">
      <c r="A739" s="2" t="s">
        <v>1131</v>
      </c>
      <c r="B739" s="2" t="s">
        <v>489</v>
      </c>
      <c r="C739" s="2" t="s">
        <v>10</v>
      </c>
      <c r="D739" s="3">
        <v>43862</v>
      </c>
      <c r="E739">
        <v>344713</v>
      </c>
      <c r="F739">
        <v>605</v>
      </c>
      <c r="G739">
        <v>0</v>
      </c>
      <c r="H739" s="2" t="s">
        <v>18</v>
      </c>
    </row>
    <row r="740" spans="1:8" x14ac:dyDescent="0.25">
      <c r="A740" s="2" t="s">
        <v>1132</v>
      </c>
      <c r="B740" s="2" t="s">
        <v>743</v>
      </c>
      <c r="C740" s="2" t="s">
        <v>13</v>
      </c>
      <c r="D740" s="3">
        <v>45889</v>
      </c>
      <c r="E740">
        <v>495654</v>
      </c>
      <c r="F740">
        <v>812</v>
      </c>
      <c r="G740">
        <v>361004</v>
      </c>
      <c r="H740" s="2"/>
    </row>
    <row r="741" spans="1:8" x14ac:dyDescent="0.25">
      <c r="A741" s="2" t="s">
        <v>1133</v>
      </c>
      <c r="B741" s="2" t="s">
        <v>45</v>
      </c>
      <c r="C741" s="2" t="s">
        <v>32</v>
      </c>
      <c r="D741" s="3">
        <v>45572</v>
      </c>
      <c r="E741">
        <v>408624</v>
      </c>
      <c r="F741">
        <v>487</v>
      </c>
      <c r="G741">
        <v>29624</v>
      </c>
      <c r="H741" s="2"/>
    </row>
    <row r="742" spans="1:8" x14ac:dyDescent="0.25">
      <c r="A742" s="2" t="s">
        <v>1134</v>
      </c>
      <c r="B742" s="2" t="s">
        <v>983</v>
      </c>
      <c r="C742" s="2" t="s">
        <v>10</v>
      </c>
      <c r="D742" s="3">
        <v>45374</v>
      </c>
      <c r="E742">
        <v>253347</v>
      </c>
      <c r="F742">
        <v>815</v>
      </c>
      <c r="G742">
        <v>0</v>
      </c>
      <c r="H742" s="2"/>
    </row>
    <row r="743" spans="1:8" x14ac:dyDescent="0.25">
      <c r="A743" s="2" t="s">
        <v>1135</v>
      </c>
      <c r="B743" s="2" t="s">
        <v>553</v>
      </c>
      <c r="C743" s="2" t="s">
        <v>32</v>
      </c>
      <c r="D743" s="3">
        <v>45147</v>
      </c>
      <c r="E743">
        <v>189052</v>
      </c>
      <c r="F743">
        <v>726</v>
      </c>
      <c r="G743">
        <v>239784</v>
      </c>
      <c r="H743" s="2"/>
    </row>
    <row r="744" spans="1:8" x14ac:dyDescent="0.25">
      <c r="A744" s="2" t="s">
        <v>1136</v>
      </c>
      <c r="B744" s="2" t="s">
        <v>508</v>
      </c>
      <c r="C744" s="2" t="s">
        <v>13</v>
      </c>
      <c r="D744" s="3">
        <v>42268</v>
      </c>
      <c r="E744">
        <v>476172</v>
      </c>
      <c r="F744">
        <v>801</v>
      </c>
      <c r="G744">
        <v>0</v>
      </c>
      <c r="H744" s="2"/>
    </row>
    <row r="745" spans="1:8" x14ac:dyDescent="0.25">
      <c r="A745" s="2" t="s">
        <v>1137</v>
      </c>
      <c r="B745" s="2" t="s">
        <v>355</v>
      </c>
      <c r="C745" s="2" t="s">
        <v>25</v>
      </c>
      <c r="D745" s="3">
        <v>44660</v>
      </c>
      <c r="E745">
        <v>278495</v>
      </c>
      <c r="F745">
        <v>559</v>
      </c>
      <c r="G745">
        <v>0</v>
      </c>
      <c r="H745" s="2"/>
    </row>
    <row r="746" spans="1:8" x14ac:dyDescent="0.25">
      <c r="A746" s="2" t="s">
        <v>1138</v>
      </c>
      <c r="B746" s="2" t="s">
        <v>24</v>
      </c>
      <c r="C746" s="2" t="s">
        <v>10</v>
      </c>
      <c r="D746" s="3">
        <v>45654</v>
      </c>
      <c r="E746">
        <v>135203</v>
      </c>
      <c r="F746">
        <v>812</v>
      </c>
      <c r="G746">
        <v>0</v>
      </c>
      <c r="H746" s="2" t="s">
        <v>39</v>
      </c>
    </row>
    <row r="747" spans="1:8" x14ac:dyDescent="0.25">
      <c r="A747" s="2" t="s">
        <v>1139</v>
      </c>
      <c r="B747" s="2" t="s">
        <v>539</v>
      </c>
      <c r="C747" s="2" t="s">
        <v>25</v>
      </c>
      <c r="D747" s="3">
        <v>45267</v>
      </c>
      <c r="E747">
        <v>247908</v>
      </c>
      <c r="F747">
        <v>370</v>
      </c>
      <c r="G747">
        <v>424972</v>
      </c>
      <c r="H747" s="2"/>
    </row>
    <row r="748" spans="1:8" x14ac:dyDescent="0.25">
      <c r="A748" s="2" t="s">
        <v>1140</v>
      </c>
      <c r="B748" s="2" t="s">
        <v>355</v>
      </c>
      <c r="C748" s="2" t="s">
        <v>13</v>
      </c>
      <c r="D748" s="3">
        <v>45127</v>
      </c>
      <c r="E748">
        <v>306969</v>
      </c>
      <c r="F748">
        <v>777</v>
      </c>
      <c r="G748">
        <v>0</v>
      </c>
      <c r="H748" s="2"/>
    </row>
    <row r="749" spans="1:8" x14ac:dyDescent="0.25">
      <c r="A749" s="2" t="s">
        <v>1141</v>
      </c>
      <c r="B749" s="2" t="s">
        <v>94</v>
      </c>
      <c r="C749" s="2" t="s">
        <v>10</v>
      </c>
      <c r="D749" s="3">
        <v>43852</v>
      </c>
      <c r="E749">
        <v>273493</v>
      </c>
      <c r="F749">
        <v>477</v>
      </c>
      <c r="G749">
        <v>0</v>
      </c>
      <c r="H749" s="2"/>
    </row>
    <row r="750" spans="1:8" x14ac:dyDescent="0.25">
      <c r="A750" s="2" t="s">
        <v>1142</v>
      </c>
      <c r="B750" s="2" t="s">
        <v>291</v>
      </c>
      <c r="C750" s="2" t="s">
        <v>10</v>
      </c>
      <c r="D750" s="3">
        <v>45637</v>
      </c>
      <c r="E750">
        <v>192003</v>
      </c>
      <c r="F750">
        <v>756</v>
      </c>
      <c r="G750">
        <v>0</v>
      </c>
      <c r="H750" s="2"/>
    </row>
    <row r="751" spans="1:8" x14ac:dyDescent="0.25">
      <c r="A751" s="2" t="s">
        <v>1143</v>
      </c>
      <c r="B751" s="2" t="s">
        <v>82</v>
      </c>
      <c r="C751" s="2" t="s">
        <v>25</v>
      </c>
      <c r="D751" s="3">
        <v>45162</v>
      </c>
      <c r="E751">
        <v>306398</v>
      </c>
      <c r="F751">
        <v>488</v>
      </c>
      <c r="G751">
        <v>0</v>
      </c>
      <c r="H751" s="2"/>
    </row>
    <row r="752" spans="1:8" x14ac:dyDescent="0.25">
      <c r="A752" s="2" t="s">
        <v>1144</v>
      </c>
      <c r="B752" s="2" t="s">
        <v>114</v>
      </c>
      <c r="C752" s="2" t="s">
        <v>13</v>
      </c>
      <c r="D752" s="3">
        <v>45168</v>
      </c>
      <c r="E752">
        <v>300369</v>
      </c>
      <c r="F752">
        <v>590</v>
      </c>
      <c r="G752">
        <v>0</v>
      </c>
      <c r="H752" s="2"/>
    </row>
    <row r="753" spans="1:8" x14ac:dyDescent="0.25">
      <c r="A753" s="2" t="s">
        <v>1145</v>
      </c>
      <c r="B753" s="2" t="s">
        <v>1146</v>
      </c>
      <c r="C753" s="2" t="s">
        <v>25</v>
      </c>
      <c r="D753" s="3">
        <v>45317</v>
      </c>
      <c r="E753">
        <v>497599</v>
      </c>
      <c r="F753">
        <v>819</v>
      </c>
      <c r="G753">
        <v>0</v>
      </c>
      <c r="H753" s="2"/>
    </row>
    <row r="754" spans="1:8" x14ac:dyDescent="0.25">
      <c r="A754" s="2" t="s">
        <v>1147</v>
      </c>
      <c r="B754" s="2" t="s">
        <v>71</v>
      </c>
      <c r="C754" s="2" t="s">
        <v>13</v>
      </c>
      <c r="D754" s="3">
        <v>45136</v>
      </c>
      <c r="E754">
        <v>274597</v>
      </c>
      <c r="F754">
        <v>591</v>
      </c>
      <c r="G754">
        <v>0</v>
      </c>
      <c r="H754" s="2"/>
    </row>
    <row r="755" spans="1:8" x14ac:dyDescent="0.25">
      <c r="A755" s="2" t="s">
        <v>1148</v>
      </c>
      <c r="B755" s="2" t="s">
        <v>279</v>
      </c>
      <c r="C755" s="2" t="s">
        <v>25</v>
      </c>
      <c r="D755" s="3">
        <v>44551</v>
      </c>
      <c r="E755">
        <v>149886</v>
      </c>
      <c r="F755">
        <v>582</v>
      </c>
      <c r="G755">
        <v>180858</v>
      </c>
      <c r="H755" s="2"/>
    </row>
    <row r="756" spans="1:8" x14ac:dyDescent="0.25">
      <c r="A756" s="2" t="s">
        <v>1149</v>
      </c>
      <c r="B756" s="2" t="s">
        <v>1150</v>
      </c>
      <c r="C756" s="2" t="s">
        <v>25</v>
      </c>
      <c r="D756" s="3">
        <v>45733</v>
      </c>
      <c r="E756">
        <v>149335</v>
      </c>
      <c r="F756">
        <v>843</v>
      </c>
      <c r="G756">
        <v>0</v>
      </c>
      <c r="H756" s="2"/>
    </row>
    <row r="757" spans="1:8" x14ac:dyDescent="0.25">
      <c r="A757" s="2" t="s">
        <v>1151</v>
      </c>
      <c r="B757" s="2" t="s">
        <v>542</v>
      </c>
      <c r="C757" s="2" t="s">
        <v>25</v>
      </c>
      <c r="D757" s="3">
        <v>45211</v>
      </c>
      <c r="E757">
        <v>77694</v>
      </c>
      <c r="F757">
        <v>676</v>
      </c>
      <c r="G757">
        <v>0</v>
      </c>
      <c r="H757" s="2"/>
    </row>
    <row r="758" spans="1:8" x14ac:dyDescent="0.25">
      <c r="A758" s="2" t="s">
        <v>1152</v>
      </c>
      <c r="B758" s="2" t="s">
        <v>1039</v>
      </c>
      <c r="C758" s="2" t="s">
        <v>10</v>
      </c>
      <c r="D758" s="3">
        <v>45024</v>
      </c>
      <c r="E758">
        <v>15735</v>
      </c>
      <c r="F758">
        <v>455</v>
      </c>
      <c r="G758">
        <v>0</v>
      </c>
      <c r="H758" s="2"/>
    </row>
    <row r="759" spans="1:8" x14ac:dyDescent="0.25">
      <c r="A759" s="2" t="s">
        <v>1153</v>
      </c>
      <c r="B759" s="2" t="s">
        <v>750</v>
      </c>
      <c r="C759" s="2" t="s">
        <v>10</v>
      </c>
      <c r="D759" s="3">
        <v>44684</v>
      </c>
      <c r="E759">
        <v>409046</v>
      </c>
      <c r="F759">
        <v>807</v>
      </c>
      <c r="G759">
        <v>0</v>
      </c>
      <c r="H759" s="2"/>
    </row>
    <row r="760" spans="1:8" x14ac:dyDescent="0.25">
      <c r="A760" s="2" t="s">
        <v>1154</v>
      </c>
      <c r="B760" s="2" t="s">
        <v>209</v>
      </c>
      <c r="C760" s="2" t="s">
        <v>32</v>
      </c>
      <c r="D760" s="3">
        <v>42955</v>
      </c>
      <c r="E760">
        <v>310037</v>
      </c>
      <c r="F760">
        <v>712</v>
      </c>
      <c r="G760">
        <v>0</v>
      </c>
      <c r="H760" s="2"/>
    </row>
    <row r="761" spans="1:8" x14ac:dyDescent="0.25">
      <c r="A761" s="2" t="s">
        <v>1155</v>
      </c>
      <c r="B761" s="2" t="s">
        <v>777</v>
      </c>
      <c r="C761" s="2" t="s">
        <v>13</v>
      </c>
      <c r="D761" s="3">
        <v>43172</v>
      </c>
      <c r="E761">
        <v>175745</v>
      </c>
      <c r="F761">
        <v>827</v>
      </c>
      <c r="G761">
        <v>0</v>
      </c>
      <c r="H761" s="2"/>
    </row>
    <row r="762" spans="1:8" x14ac:dyDescent="0.25">
      <c r="A762" s="2" t="s">
        <v>1156</v>
      </c>
      <c r="B762" s="2" t="s">
        <v>629</v>
      </c>
      <c r="C762" s="2" t="s">
        <v>10</v>
      </c>
      <c r="D762" s="3">
        <v>45336</v>
      </c>
      <c r="E762">
        <v>389150</v>
      </c>
      <c r="F762">
        <v>654</v>
      </c>
      <c r="G762">
        <v>0</v>
      </c>
      <c r="H762" s="2"/>
    </row>
    <row r="763" spans="1:8" x14ac:dyDescent="0.25">
      <c r="A763" s="2" t="s">
        <v>1157</v>
      </c>
      <c r="B763" s="2" t="s">
        <v>139</v>
      </c>
      <c r="C763" s="2" t="s">
        <v>10</v>
      </c>
      <c r="D763" s="3">
        <v>44959</v>
      </c>
      <c r="E763">
        <v>220534</v>
      </c>
      <c r="F763">
        <v>486</v>
      </c>
      <c r="G763">
        <v>0</v>
      </c>
      <c r="H763" s="2"/>
    </row>
    <row r="764" spans="1:8" x14ac:dyDescent="0.25">
      <c r="A764" s="2" t="s">
        <v>1158</v>
      </c>
      <c r="B764" s="2" t="s">
        <v>690</v>
      </c>
      <c r="C764" s="2" t="s">
        <v>25</v>
      </c>
      <c r="D764" s="3">
        <v>42567</v>
      </c>
      <c r="E764">
        <v>45066</v>
      </c>
      <c r="F764">
        <v>330</v>
      </c>
      <c r="G764">
        <v>0</v>
      </c>
      <c r="H764" s="2"/>
    </row>
    <row r="765" spans="1:8" x14ac:dyDescent="0.25">
      <c r="A765" s="2" t="s">
        <v>1159</v>
      </c>
      <c r="B765" s="2" t="s">
        <v>857</v>
      </c>
      <c r="C765" s="2" t="s">
        <v>13</v>
      </c>
      <c r="D765" s="3">
        <v>44569</v>
      </c>
      <c r="E765">
        <v>231387</v>
      </c>
      <c r="F765">
        <v>559</v>
      </c>
      <c r="G765">
        <v>0</v>
      </c>
      <c r="H765" s="2"/>
    </row>
    <row r="766" spans="1:8" x14ac:dyDescent="0.25">
      <c r="A766" s="2" t="s">
        <v>1160</v>
      </c>
      <c r="B766" s="2" t="s">
        <v>391</v>
      </c>
      <c r="C766" s="2" t="s">
        <v>10</v>
      </c>
      <c r="D766" s="3">
        <v>43688</v>
      </c>
      <c r="E766">
        <v>134445</v>
      </c>
      <c r="F766">
        <v>720</v>
      </c>
      <c r="G766">
        <v>0</v>
      </c>
      <c r="H766" s="2"/>
    </row>
    <row r="767" spans="1:8" x14ac:dyDescent="0.25">
      <c r="A767" s="2" t="s">
        <v>1161</v>
      </c>
      <c r="B767" s="2" t="s">
        <v>1162</v>
      </c>
      <c r="C767" s="2" t="s">
        <v>25</v>
      </c>
      <c r="D767" s="3">
        <v>45014</v>
      </c>
      <c r="E767">
        <v>403551</v>
      </c>
      <c r="F767">
        <v>828</v>
      </c>
      <c r="G767">
        <v>0</v>
      </c>
      <c r="H767" s="2"/>
    </row>
    <row r="768" spans="1:8" x14ac:dyDescent="0.25">
      <c r="A768" s="2" t="s">
        <v>1163</v>
      </c>
      <c r="B768" s="2" t="s">
        <v>1070</v>
      </c>
      <c r="C768" s="2" t="s">
        <v>13</v>
      </c>
      <c r="D768" s="3">
        <v>44649</v>
      </c>
      <c r="E768">
        <v>416957</v>
      </c>
      <c r="F768">
        <v>603</v>
      </c>
      <c r="G768">
        <v>0</v>
      </c>
      <c r="H768" s="2" t="s">
        <v>18</v>
      </c>
    </row>
    <row r="769" spans="1:8" x14ac:dyDescent="0.25">
      <c r="A769" s="2" t="s">
        <v>1164</v>
      </c>
      <c r="B769" s="2" t="s">
        <v>277</v>
      </c>
      <c r="C769" s="2" t="s">
        <v>32</v>
      </c>
      <c r="D769" s="3">
        <v>44363</v>
      </c>
      <c r="E769">
        <v>272836</v>
      </c>
      <c r="F769">
        <v>338</v>
      </c>
      <c r="G769">
        <v>37930</v>
      </c>
      <c r="H769" s="2"/>
    </row>
    <row r="770" spans="1:8" x14ac:dyDescent="0.25">
      <c r="A770" s="2" t="s">
        <v>1165</v>
      </c>
      <c r="B770" s="2" t="s">
        <v>63</v>
      </c>
      <c r="C770" s="2" t="s">
        <v>13</v>
      </c>
      <c r="D770" s="3">
        <v>42291</v>
      </c>
      <c r="E770">
        <v>440511</v>
      </c>
      <c r="F770">
        <v>788</v>
      </c>
      <c r="G770">
        <v>0</v>
      </c>
      <c r="H770" s="2"/>
    </row>
    <row r="771" spans="1:8" x14ac:dyDescent="0.25">
      <c r="A771" s="2" t="s">
        <v>1166</v>
      </c>
      <c r="B771" s="2" t="s">
        <v>688</v>
      </c>
      <c r="C771" s="2" t="s">
        <v>13</v>
      </c>
      <c r="D771" s="3">
        <v>43909</v>
      </c>
      <c r="E771">
        <v>45541</v>
      </c>
      <c r="F771">
        <v>841</v>
      </c>
      <c r="G771">
        <v>0</v>
      </c>
      <c r="H771" s="2"/>
    </row>
    <row r="772" spans="1:8" x14ac:dyDescent="0.25">
      <c r="A772" s="2" t="s">
        <v>1167</v>
      </c>
      <c r="B772" s="2" t="s">
        <v>968</v>
      </c>
      <c r="C772" s="2" t="s">
        <v>13</v>
      </c>
      <c r="D772" s="3">
        <v>43164</v>
      </c>
      <c r="E772">
        <v>165129</v>
      </c>
      <c r="F772">
        <v>577</v>
      </c>
      <c r="G772">
        <v>0</v>
      </c>
      <c r="H772" s="2"/>
    </row>
    <row r="773" spans="1:8" x14ac:dyDescent="0.25">
      <c r="A773" s="2" t="s">
        <v>1168</v>
      </c>
      <c r="B773" s="2" t="s">
        <v>604</v>
      </c>
      <c r="C773" s="2" t="s">
        <v>13</v>
      </c>
      <c r="D773" s="3">
        <v>44127</v>
      </c>
      <c r="E773">
        <v>66983</v>
      </c>
      <c r="F773">
        <v>502</v>
      </c>
      <c r="G773">
        <v>0</v>
      </c>
      <c r="H773" s="2" t="s">
        <v>18</v>
      </c>
    </row>
    <row r="774" spans="1:8" x14ac:dyDescent="0.25">
      <c r="A774" s="2" t="s">
        <v>1169</v>
      </c>
      <c r="B774" s="2" t="s">
        <v>84</v>
      </c>
      <c r="C774" s="2" t="s">
        <v>32</v>
      </c>
      <c r="D774" s="3">
        <v>42631</v>
      </c>
      <c r="E774">
        <v>150655</v>
      </c>
      <c r="F774">
        <v>365</v>
      </c>
      <c r="G774">
        <v>0</v>
      </c>
      <c r="H774" s="2" t="s">
        <v>39</v>
      </c>
    </row>
    <row r="775" spans="1:8" x14ac:dyDescent="0.25">
      <c r="A775" s="2" t="s">
        <v>1170</v>
      </c>
      <c r="B775" s="2" t="s">
        <v>297</v>
      </c>
      <c r="C775" s="2" t="s">
        <v>13</v>
      </c>
      <c r="D775" s="3">
        <v>42794</v>
      </c>
      <c r="E775">
        <v>153837</v>
      </c>
      <c r="F775">
        <v>407</v>
      </c>
      <c r="G775">
        <v>0</v>
      </c>
      <c r="H775" s="2"/>
    </row>
    <row r="776" spans="1:8" x14ac:dyDescent="0.25">
      <c r="A776" s="2" t="s">
        <v>1171</v>
      </c>
      <c r="B776" s="2" t="s">
        <v>1172</v>
      </c>
      <c r="C776" s="2" t="s">
        <v>10</v>
      </c>
      <c r="D776" s="3">
        <v>44686</v>
      </c>
      <c r="E776">
        <v>190359</v>
      </c>
      <c r="F776">
        <v>567</v>
      </c>
      <c r="G776">
        <v>0</v>
      </c>
      <c r="H776" s="2"/>
    </row>
    <row r="777" spans="1:8" x14ac:dyDescent="0.25">
      <c r="A777" s="2" t="s">
        <v>1173</v>
      </c>
      <c r="B777" s="2" t="s">
        <v>333</v>
      </c>
      <c r="C777" s="2" t="s">
        <v>13</v>
      </c>
      <c r="D777" s="3">
        <v>42864</v>
      </c>
      <c r="E777">
        <v>417122</v>
      </c>
      <c r="F777">
        <v>521</v>
      </c>
      <c r="G777">
        <v>0</v>
      </c>
      <c r="H777" s="2"/>
    </row>
    <row r="778" spans="1:8" x14ac:dyDescent="0.25">
      <c r="A778" s="2" t="s">
        <v>1174</v>
      </c>
      <c r="B778" s="2" t="s">
        <v>549</v>
      </c>
      <c r="C778" s="2" t="s">
        <v>10</v>
      </c>
      <c r="D778" s="3">
        <v>42605</v>
      </c>
      <c r="E778">
        <v>382891</v>
      </c>
      <c r="F778">
        <v>829</v>
      </c>
      <c r="G778">
        <v>0</v>
      </c>
      <c r="H778" s="2" t="s">
        <v>18</v>
      </c>
    </row>
    <row r="779" spans="1:8" x14ac:dyDescent="0.25">
      <c r="A779" s="2" t="s">
        <v>1175</v>
      </c>
      <c r="B779" s="2" t="s">
        <v>844</v>
      </c>
      <c r="C779" s="2" t="s">
        <v>10</v>
      </c>
      <c r="D779" s="3">
        <v>45382</v>
      </c>
      <c r="E779">
        <v>347247</v>
      </c>
      <c r="F779">
        <v>389</v>
      </c>
      <c r="G779">
        <v>0</v>
      </c>
      <c r="H779" s="2" t="s">
        <v>39</v>
      </c>
    </row>
    <row r="780" spans="1:8" x14ac:dyDescent="0.25">
      <c r="A780" s="2" t="s">
        <v>1176</v>
      </c>
      <c r="B780" s="2" t="s">
        <v>1177</v>
      </c>
      <c r="C780" s="2" t="s">
        <v>13</v>
      </c>
      <c r="D780" s="3">
        <v>45712</v>
      </c>
      <c r="E780">
        <v>210747</v>
      </c>
      <c r="F780">
        <v>554</v>
      </c>
      <c r="G780">
        <v>0</v>
      </c>
      <c r="H780" s="2"/>
    </row>
    <row r="781" spans="1:8" x14ac:dyDescent="0.25">
      <c r="A781" s="2" t="s">
        <v>1178</v>
      </c>
      <c r="B781" s="2" t="s">
        <v>636</v>
      </c>
      <c r="C781" s="2" t="s">
        <v>13</v>
      </c>
      <c r="D781" s="3">
        <v>45714</v>
      </c>
      <c r="E781">
        <v>177597</v>
      </c>
      <c r="F781">
        <v>754</v>
      </c>
      <c r="G781">
        <v>0</v>
      </c>
      <c r="H781" s="2"/>
    </row>
    <row r="782" spans="1:8" x14ac:dyDescent="0.25">
      <c r="A782" s="2" t="s">
        <v>1179</v>
      </c>
      <c r="B782" s="2" t="s">
        <v>437</v>
      </c>
      <c r="C782" s="2" t="s">
        <v>25</v>
      </c>
      <c r="D782" s="3">
        <v>44038</v>
      </c>
      <c r="E782">
        <v>169302</v>
      </c>
      <c r="F782">
        <v>552</v>
      </c>
      <c r="G782">
        <v>0</v>
      </c>
      <c r="H782" s="2"/>
    </row>
    <row r="783" spans="1:8" x14ac:dyDescent="0.25">
      <c r="A783" s="2" t="s">
        <v>1180</v>
      </c>
      <c r="B783" s="2" t="s">
        <v>221</v>
      </c>
      <c r="C783" s="2" t="s">
        <v>13</v>
      </c>
      <c r="D783" s="3">
        <v>43288</v>
      </c>
      <c r="E783">
        <v>412736</v>
      </c>
      <c r="F783">
        <v>556</v>
      </c>
      <c r="G783">
        <v>0</v>
      </c>
      <c r="H783" s="2"/>
    </row>
    <row r="784" spans="1:8" x14ac:dyDescent="0.25">
      <c r="A784" s="2" t="s">
        <v>1181</v>
      </c>
      <c r="B784" s="2" t="s">
        <v>57</v>
      </c>
      <c r="C784" s="2" t="s">
        <v>10</v>
      </c>
      <c r="D784" s="3">
        <v>43136</v>
      </c>
      <c r="E784">
        <v>478454</v>
      </c>
      <c r="F784">
        <v>682</v>
      </c>
      <c r="G784">
        <v>0</v>
      </c>
      <c r="H784" s="2"/>
    </row>
    <row r="785" spans="1:8" x14ac:dyDescent="0.25">
      <c r="A785" s="2" t="s">
        <v>1182</v>
      </c>
      <c r="B785" s="2" t="s">
        <v>820</v>
      </c>
      <c r="C785" s="2" t="s">
        <v>13</v>
      </c>
      <c r="D785" s="3">
        <v>42778</v>
      </c>
      <c r="E785">
        <v>445150</v>
      </c>
      <c r="F785">
        <v>741</v>
      </c>
      <c r="G785">
        <v>0</v>
      </c>
      <c r="H785" s="2" t="s">
        <v>18</v>
      </c>
    </row>
    <row r="786" spans="1:8" x14ac:dyDescent="0.25">
      <c r="A786" s="2" t="s">
        <v>1183</v>
      </c>
      <c r="B786" s="2" t="s">
        <v>983</v>
      </c>
      <c r="C786" s="2" t="s">
        <v>25</v>
      </c>
      <c r="D786" s="3">
        <v>45608</v>
      </c>
      <c r="E786">
        <v>287710</v>
      </c>
      <c r="F786">
        <v>389</v>
      </c>
      <c r="G786">
        <v>0</v>
      </c>
      <c r="H786" s="2" t="s">
        <v>39</v>
      </c>
    </row>
    <row r="787" spans="1:8" x14ac:dyDescent="0.25">
      <c r="A787" s="2" t="s">
        <v>1184</v>
      </c>
      <c r="B787" s="2" t="s">
        <v>1185</v>
      </c>
      <c r="C787" s="2" t="s">
        <v>13</v>
      </c>
      <c r="D787" s="3">
        <v>43793</v>
      </c>
      <c r="E787">
        <v>335337</v>
      </c>
      <c r="F787">
        <v>689</v>
      </c>
      <c r="G787">
        <v>0</v>
      </c>
      <c r="H787" s="2"/>
    </row>
    <row r="788" spans="1:8" x14ac:dyDescent="0.25">
      <c r="A788" s="2" t="s">
        <v>1186</v>
      </c>
      <c r="B788" s="2" t="s">
        <v>449</v>
      </c>
      <c r="C788" s="2" t="s">
        <v>10</v>
      </c>
      <c r="D788" s="3">
        <v>43938</v>
      </c>
      <c r="E788">
        <v>496440</v>
      </c>
      <c r="F788">
        <v>343</v>
      </c>
      <c r="G788">
        <v>0</v>
      </c>
      <c r="H788" s="2"/>
    </row>
    <row r="789" spans="1:8" x14ac:dyDescent="0.25">
      <c r="A789" s="2" t="s">
        <v>1187</v>
      </c>
      <c r="B789" s="2" t="s">
        <v>311</v>
      </c>
      <c r="C789" s="2" t="s">
        <v>13</v>
      </c>
      <c r="D789" s="3">
        <v>45822</v>
      </c>
      <c r="E789">
        <v>423350</v>
      </c>
      <c r="F789">
        <v>318</v>
      </c>
      <c r="G789">
        <v>0</v>
      </c>
      <c r="H789" s="2"/>
    </row>
    <row r="790" spans="1:8" x14ac:dyDescent="0.25">
      <c r="A790" s="2" t="s">
        <v>1188</v>
      </c>
      <c r="B790" s="2" t="s">
        <v>727</v>
      </c>
      <c r="C790" s="2" t="s">
        <v>32</v>
      </c>
      <c r="D790" s="3">
        <v>44910</v>
      </c>
      <c r="E790">
        <v>403561</v>
      </c>
      <c r="F790">
        <v>400</v>
      </c>
      <c r="G790">
        <v>0</v>
      </c>
      <c r="H790" s="2"/>
    </row>
    <row r="791" spans="1:8" x14ac:dyDescent="0.25">
      <c r="A791" s="2" t="s">
        <v>1189</v>
      </c>
      <c r="B791" s="2" t="s">
        <v>388</v>
      </c>
      <c r="C791" s="2" t="s">
        <v>13</v>
      </c>
      <c r="D791" s="3">
        <v>44863</v>
      </c>
      <c r="E791">
        <v>252084</v>
      </c>
      <c r="F791">
        <v>656</v>
      </c>
      <c r="G791">
        <v>497442</v>
      </c>
      <c r="H791" s="2"/>
    </row>
    <row r="792" spans="1:8" x14ac:dyDescent="0.25">
      <c r="A792" s="2" t="s">
        <v>1190</v>
      </c>
      <c r="B792" s="2" t="s">
        <v>1191</v>
      </c>
      <c r="C792" s="2" t="s">
        <v>25</v>
      </c>
      <c r="D792" s="3">
        <v>45855</v>
      </c>
      <c r="E792">
        <v>121015</v>
      </c>
      <c r="F792">
        <v>841</v>
      </c>
      <c r="G792">
        <v>62241</v>
      </c>
      <c r="H792" s="2"/>
    </row>
    <row r="793" spans="1:8" x14ac:dyDescent="0.25">
      <c r="A793" s="2" t="s">
        <v>1192</v>
      </c>
      <c r="B793" s="2" t="s">
        <v>499</v>
      </c>
      <c r="C793" s="2" t="s">
        <v>10</v>
      </c>
      <c r="D793" s="3">
        <v>44454</v>
      </c>
      <c r="E793">
        <v>172257</v>
      </c>
      <c r="F793">
        <v>332</v>
      </c>
      <c r="G793">
        <v>0</v>
      </c>
      <c r="H793" s="2"/>
    </row>
    <row r="794" spans="1:8" x14ac:dyDescent="0.25">
      <c r="A794" s="2" t="s">
        <v>1193</v>
      </c>
      <c r="B794" s="2" t="s">
        <v>1194</v>
      </c>
      <c r="C794" s="2" t="s">
        <v>13</v>
      </c>
      <c r="D794" s="3">
        <v>43104</v>
      </c>
      <c r="E794">
        <v>246536</v>
      </c>
      <c r="F794">
        <v>528</v>
      </c>
      <c r="G794">
        <v>70030</v>
      </c>
      <c r="H794" s="2" t="s">
        <v>18</v>
      </c>
    </row>
    <row r="795" spans="1:8" x14ac:dyDescent="0.25">
      <c r="A795" s="2" t="s">
        <v>1195</v>
      </c>
      <c r="B795" s="2" t="s">
        <v>1196</v>
      </c>
      <c r="C795" s="2" t="s">
        <v>25</v>
      </c>
      <c r="D795" s="3">
        <v>44145</v>
      </c>
      <c r="E795">
        <v>224021</v>
      </c>
      <c r="F795">
        <v>823</v>
      </c>
      <c r="G795">
        <v>182577</v>
      </c>
      <c r="H795" s="2"/>
    </row>
    <row r="796" spans="1:8" x14ac:dyDescent="0.25">
      <c r="A796" s="2" t="s">
        <v>1197</v>
      </c>
      <c r="B796" s="2" t="s">
        <v>1198</v>
      </c>
      <c r="C796" s="2" t="s">
        <v>13</v>
      </c>
      <c r="D796" s="3">
        <v>42496</v>
      </c>
      <c r="E796">
        <v>130956</v>
      </c>
      <c r="F796">
        <v>454</v>
      </c>
      <c r="G796">
        <v>0</v>
      </c>
      <c r="H796" s="2"/>
    </row>
    <row r="797" spans="1:8" x14ac:dyDescent="0.25">
      <c r="A797" s="2" t="s">
        <v>1199</v>
      </c>
      <c r="B797" s="2" t="s">
        <v>688</v>
      </c>
      <c r="C797" s="2" t="s">
        <v>25</v>
      </c>
      <c r="D797" s="3">
        <v>42743</v>
      </c>
      <c r="E797">
        <v>70744</v>
      </c>
      <c r="F797">
        <v>722</v>
      </c>
      <c r="G797">
        <v>483394</v>
      </c>
      <c r="H797" s="2"/>
    </row>
    <row r="798" spans="1:8" x14ac:dyDescent="0.25">
      <c r="A798" s="2" t="s">
        <v>1200</v>
      </c>
      <c r="B798" s="2" t="s">
        <v>535</v>
      </c>
      <c r="C798" s="2" t="s">
        <v>32</v>
      </c>
      <c r="D798" s="3">
        <v>45498</v>
      </c>
      <c r="E798">
        <v>295599</v>
      </c>
      <c r="F798">
        <v>545</v>
      </c>
      <c r="G798">
        <v>212397</v>
      </c>
      <c r="H798" s="2"/>
    </row>
    <row r="799" spans="1:8" x14ac:dyDescent="0.25">
      <c r="A799" s="2" t="s">
        <v>1201</v>
      </c>
      <c r="B799" s="2" t="s">
        <v>1202</v>
      </c>
      <c r="C799" s="2" t="s">
        <v>25</v>
      </c>
      <c r="D799" s="3">
        <v>45174</v>
      </c>
      <c r="E799">
        <v>421234</v>
      </c>
      <c r="F799">
        <v>704</v>
      </c>
      <c r="G799">
        <v>0</v>
      </c>
      <c r="H799" s="2" t="s">
        <v>18</v>
      </c>
    </row>
    <row r="800" spans="1:8" x14ac:dyDescent="0.25">
      <c r="A800" s="2" t="s">
        <v>1203</v>
      </c>
      <c r="B800" s="2" t="s">
        <v>130</v>
      </c>
      <c r="C800" s="2" t="s">
        <v>13</v>
      </c>
      <c r="D800" s="3">
        <v>44735</v>
      </c>
      <c r="E800">
        <v>316363</v>
      </c>
      <c r="F800">
        <v>840</v>
      </c>
      <c r="G800">
        <v>0</v>
      </c>
      <c r="H800" s="2"/>
    </row>
    <row r="801" spans="1:8" x14ac:dyDescent="0.25">
      <c r="A801" s="2" t="s">
        <v>1204</v>
      </c>
      <c r="B801" s="2" t="s">
        <v>1205</v>
      </c>
      <c r="C801" s="2" t="s">
        <v>25</v>
      </c>
      <c r="D801" s="3">
        <v>43330</v>
      </c>
      <c r="E801">
        <v>308135</v>
      </c>
      <c r="F801">
        <v>460</v>
      </c>
      <c r="G801">
        <v>0</v>
      </c>
      <c r="H801" s="2" t="s">
        <v>39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98B84-04C2-4BF0-BFBD-9708D3B35433}">
  <dimension ref="A1:H801"/>
  <sheetViews>
    <sheetView workbookViewId="0">
      <selection activeCell="B3" sqref="B3"/>
    </sheetView>
  </sheetViews>
  <sheetFormatPr defaultRowHeight="15" x14ac:dyDescent="0.25"/>
  <cols>
    <col min="1" max="1" width="12.140625" customWidth="1"/>
    <col min="2" max="2" width="13.5703125" customWidth="1"/>
    <col min="3" max="3" width="15.5703125" customWidth="1"/>
    <col min="4" max="4" width="13.140625" customWidth="1"/>
    <col min="5" max="5" width="10" customWidth="1"/>
    <col min="6" max="6" width="14.42578125" customWidth="1"/>
    <col min="7" max="7" width="15.42578125" customWidth="1"/>
    <col min="8" max="8" width="13.7109375" customWidth="1"/>
  </cols>
  <sheetData>
    <row r="1" spans="1:8" x14ac:dyDescent="0.25">
      <c r="A1" t="s">
        <v>0</v>
      </c>
      <c r="B1" t="s">
        <v>1</v>
      </c>
      <c r="C1" t="s">
        <v>2</v>
      </c>
      <c r="D1" t="s">
        <v>3</v>
      </c>
      <c r="E1" t="s">
        <v>4</v>
      </c>
      <c r="F1" t="s">
        <v>5</v>
      </c>
      <c r="G1" t="s">
        <v>6</v>
      </c>
      <c r="H1" t="s">
        <v>7</v>
      </c>
    </row>
    <row r="2" spans="1:8" x14ac:dyDescent="0.25">
      <c r="A2" t="s">
        <v>8</v>
      </c>
      <c r="B2" t="s">
        <v>9</v>
      </c>
      <c r="C2" t="s">
        <v>10</v>
      </c>
      <c r="D2" s="1">
        <v>43258</v>
      </c>
      <c r="E2">
        <v>363265</v>
      </c>
      <c r="F2">
        <v>698</v>
      </c>
      <c r="G2">
        <v>0</v>
      </c>
    </row>
    <row r="3" spans="1:8" x14ac:dyDescent="0.25">
      <c r="A3" t="s">
        <v>11</v>
      </c>
      <c r="B3" t="s">
        <v>12</v>
      </c>
      <c r="C3" t="s">
        <v>13</v>
      </c>
      <c r="D3" s="1">
        <v>45670</v>
      </c>
      <c r="E3">
        <v>282169</v>
      </c>
      <c r="F3">
        <v>405</v>
      </c>
      <c r="G3">
        <v>0</v>
      </c>
    </row>
    <row r="4" spans="1:8" x14ac:dyDescent="0.25">
      <c r="A4" t="s">
        <v>14</v>
      </c>
      <c r="B4" t="s">
        <v>15</v>
      </c>
      <c r="C4" t="s">
        <v>13</v>
      </c>
      <c r="D4" s="1">
        <v>43852</v>
      </c>
      <c r="E4">
        <v>397674</v>
      </c>
      <c r="F4">
        <v>570</v>
      </c>
      <c r="G4">
        <v>0</v>
      </c>
    </row>
    <row r="5" spans="1:8" x14ac:dyDescent="0.25">
      <c r="A5" t="s">
        <v>16</v>
      </c>
      <c r="B5" t="s">
        <v>17</v>
      </c>
      <c r="C5" t="s">
        <v>13</v>
      </c>
      <c r="D5" s="1">
        <v>44837</v>
      </c>
      <c r="E5">
        <v>63610</v>
      </c>
      <c r="F5">
        <v>802</v>
      </c>
      <c r="G5">
        <v>401875</v>
      </c>
      <c r="H5" t="s">
        <v>18</v>
      </c>
    </row>
    <row r="6" spans="1:8" x14ac:dyDescent="0.25">
      <c r="A6" t="s">
        <v>19</v>
      </c>
      <c r="B6" t="s">
        <v>20</v>
      </c>
      <c r="C6" t="s">
        <v>13</v>
      </c>
      <c r="D6" s="1">
        <v>44039</v>
      </c>
      <c r="E6">
        <v>70843</v>
      </c>
      <c r="F6">
        <v>824</v>
      </c>
      <c r="G6">
        <v>458505</v>
      </c>
    </row>
    <row r="7" spans="1:8" x14ac:dyDescent="0.25">
      <c r="A7" t="s">
        <v>21</v>
      </c>
      <c r="B7" t="s">
        <v>22</v>
      </c>
      <c r="C7" t="s">
        <v>10</v>
      </c>
      <c r="D7" s="1">
        <v>44185</v>
      </c>
      <c r="E7">
        <v>107237</v>
      </c>
      <c r="F7">
        <v>331</v>
      </c>
      <c r="G7">
        <v>163666</v>
      </c>
    </row>
    <row r="8" spans="1:8" x14ac:dyDescent="0.25">
      <c r="A8" t="s">
        <v>23</v>
      </c>
      <c r="B8" t="s">
        <v>24</v>
      </c>
      <c r="C8" t="s">
        <v>25</v>
      </c>
      <c r="D8" s="1">
        <v>44160</v>
      </c>
      <c r="E8">
        <v>477177</v>
      </c>
      <c r="F8">
        <v>692</v>
      </c>
      <c r="G8">
        <v>120819</v>
      </c>
    </row>
    <row r="9" spans="1:8" x14ac:dyDescent="0.25">
      <c r="A9" t="s">
        <v>26</v>
      </c>
      <c r="B9" t="s">
        <v>27</v>
      </c>
      <c r="C9" t="s">
        <v>10</v>
      </c>
      <c r="D9" s="1">
        <v>45487</v>
      </c>
      <c r="E9">
        <v>180903</v>
      </c>
      <c r="F9">
        <v>339</v>
      </c>
      <c r="G9">
        <v>0</v>
      </c>
    </row>
    <row r="10" spans="1:8" x14ac:dyDescent="0.25">
      <c r="A10" t="s">
        <v>28</v>
      </c>
      <c r="B10" t="s">
        <v>29</v>
      </c>
      <c r="C10" t="s">
        <v>25</v>
      </c>
      <c r="D10" s="1">
        <v>42340</v>
      </c>
      <c r="E10">
        <v>174499</v>
      </c>
      <c r="F10">
        <v>517</v>
      </c>
      <c r="G10">
        <v>0</v>
      </c>
    </row>
    <row r="11" spans="1:8" x14ac:dyDescent="0.25">
      <c r="A11" t="s">
        <v>30</v>
      </c>
      <c r="B11" t="s">
        <v>31</v>
      </c>
      <c r="C11" t="s">
        <v>32</v>
      </c>
      <c r="D11" s="1">
        <v>45493</v>
      </c>
      <c r="E11">
        <v>487025</v>
      </c>
      <c r="F11">
        <v>381</v>
      </c>
      <c r="G11">
        <v>0</v>
      </c>
    </row>
    <row r="12" spans="1:8" x14ac:dyDescent="0.25">
      <c r="A12" t="s">
        <v>33</v>
      </c>
      <c r="B12" t="s">
        <v>34</v>
      </c>
      <c r="C12" t="s">
        <v>25</v>
      </c>
      <c r="D12" s="1">
        <v>45351</v>
      </c>
      <c r="E12">
        <v>130299</v>
      </c>
      <c r="F12">
        <v>500</v>
      </c>
      <c r="G12">
        <v>0</v>
      </c>
    </row>
    <row r="13" spans="1:8" x14ac:dyDescent="0.25">
      <c r="A13" t="s">
        <v>35</v>
      </c>
      <c r="B13" t="s">
        <v>36</v>
      </c>
      <c r="C13" t="s">
        <v>10</v>
      </c>
      <c r="D13" s="1">
        <v>44010</v>
      </c>
      <c r="E13">
        <v>431722</v>
      </c>
      <c r="F13">
        <v>746</v>
      </c>
      <c r="G13">
        <v>278365</v>
      </c>
    </row>
    <row r="14" spans="1:8" x14ac:dyDescent="0.25">
      <c r="A14" t="s">
        <v>37</v>
      </c>
      <c r="B14" t="s">
        <v>38</v>
      </c>
      <c r="C14" t="s">
        <v>10</v>
      </c>
      <c r="D14" s="1">
        <v>45860</v>
      </c>
      <c r="E14">
        <v>5668</v>
      </c>
      <c r="F14">
        <v>727</v>
      </c>
      <c r="G14">
        <v>0</v>
      </c>
      <c r="H14" t="s">
        <v>39</v>
      </c>
    </row>
    <row r="15" spans="1:8" x14ac:dyDescent="0.25">
      <c r="A15" t="s">
        <v>40</v>
      </c>
      <c r="B15" t="s">
        <v>41</v>
      </c>
      <c r="C15" t="s">
        <v>10</v>
      </c>
      <c r="D15" s="1">
        <v>44587</v>
      </c>
      <c r="E15">
        <v>222542</v>
      </c>
      <c r="F15">
        <v>337</v>
      </c>
      <c r="G15">
        <v>18569</v>
      </c>
    </row>
    <row r="16" spans="1:8" x14ac:dyDescent="0.25">
      <c r="A16" t="s">
        <v>42</v>
      </c>
      <c r="B16" t="s">
        <v>43</v>
      </c>
      <c r="C16" t="s">
        <v>13</v>
      </c>
      <c r="D16" s="1">
        <v>45438</v>
      </c>
      <c r="E16">
        <v>178267</v>
      </c>
      <c r="F16">
        <v>510</v>
      </c>
      <c r="G16">
        <v>0</v>
      </c>
    </row>
    <row r="17" spans="1:8" x14ac:dyDescent="0.25">
      <c r="A17" t="s">
        <v>44</v>
      </c>
      <c r="B17" t="s">
        <v>45</v>
      </c>
      <c r="C17" t="s">
        <v>13</v>
      </c>
      <c r="D17" s="1">
        <v>43064</v>
      </c>
      <c r="E17">
        <v>335377</v>
      </c>
      <c r="F17">
        <v>743</v>
      </c>
      <c r="G17">
        <v>0</v>
      </c>
    </row>
    <row r="18" spans="1:8" x14ac:dyDescent="0.25">
      <c r="A18" t="s">
        <v>46</v>
      </c>
      <c r="B18" t="s">
        <v>47</v>
      </c>
      <c r="C18" t="s">
        <v>32</v>
      </c>
      <c r="D18" s="1">
        <v>44333</v>
      </c>
      <c r="E18">
        <v>155489</v>
      </c>
      <c r="F18">
        <v>626</v>
      </c>
      <c r="G18">
        <v>207630</v>
      </c>
    </row>
    <row r="19" spans="1:8" x14ac:dyDescent="0.25">
      <c r="A19" t="s">
        <v>48</v>
      </c>
      <c r="B19" t="s">
        <v>49</v>
      </c>
      <c r="C19" t="s">
        <v>25</v>
      </c>
      <c r="D19" s="1">
        <v>44007</v>
      </c>
      <c r="E19">
        <v>344126</v>
      </c>
      <c r="F19">
        <v>526</v>
      </c>
      <c r="G19">
        <v>0</v>
      </c>
    </row>
    <row r="20" spans="1:8" x14ac:dyDescent="0.25">
      <c r="A20" t="s">
        <v>50</v>
      </c>
      <c r="B20" t="s">
        <v>51</v>
      </c>
      <c r="C20" t="s">
        <v>13</v>
      </c>
      <c r="D20" s="1">
        <v>44694</v>
      </c>
      <c r="E20">
        <v>106133</v>
      </c>
      <c r="F20">
        <v>347</v>
      </c>
      <c r="G20">
        <v>0</v>
      </c>
      <c r="H20" t="s">
        <v>18</v>
      </c>
    </row>
    <row r="21" spans="1:8" x14ac:dyDescent="0.25">
      <c r="A21" t="s">
        <v>52</v>
      </c>
      <c r="B21" t="s">
        <v>53</v>
      </c>
      <c r="C21" t="s">
        <v>10</v>
      </c>
      <c r="D21" s="1">
        <v>43335</v>
      </c>
      <c r="E21">
        <v>272895</v>
      </c>
      <c r="F21">
        <v>317</v>
      </c>
      <c r="G21">
        <v>0</v>
      </c>
    </row>
    <row r="22" spans="1:8" x14ac:dyDescent="0.25">
      <c r="A22" t="s">
        <v>54</v>
      </c>
      <c r="B22" t="s">
        <v>55</v>
      </c>
      <c r="C22" t="s">
        <v>25</v>
      </c>
      <c r="D22" s="1">
        <v>43980</v>
      </c>
      <c r="E22">
        <v>308362</v>
      </c>
      <c r="F22">
        <v>738</v>
      </c>
      <c r="G22">
        <v>0</v>
      </c>
    </row>
    <row r="23" spans="1:8" x14ac:dyDescent="0.25">
      <c r="A23" t="s">
        <v>56</v>
      </c>
      <c r="B23" t="s">
        <v>57</v>
      </c>
      <c r="C23" t="s">
        <v>13</v>
      </c>
      <c r="D23" s="1">
        <v>45635</v>
      </c>
      <c r="E23">
        <v>388793</v>
      </c>
      <c r="F23">
        <v>486</v>
      </c>
      <c r="G23">
        <v>258078</v>
      </c>
    </row>
    <row r="24" spans="1:8" x14ac:dyDescent="0.25">
      <c r="A24" t="s">
        <v>58</v>
      </c>
      <c r="B24" t="s">
        <v>55</v>
      </c>
      <c r="C24" t="s">
        <v>13</v>
      </c>
      <c r="D24" s="1">
        <v>45186</v>
      </c>
      <c r="E24">
        <v>269496</v>
      </c>
      <c r="F24">
        <v>644</v>
      </c>
      <c r="G24">
        <v>0</v>
      </c>
      <c r="H24" t="s">
        <v>59</v>
      </c>
    </row>
    <row r="25" spans="1:8" x14ac:dyDescent="0.25">
      <c r="A25" t="s">
        <v>60</v>
      </c>
      <c r="B25" t="s">
        <v>61</v>
      </c>
      <c r="C25" t="s">
        <v>25</v>
      </c>
      <c r="D25" s="1">
        <v>43146</v>
      </c>
      <c r="E25">
        <v>210124</v>
      </c>
      <c r="F25">
        <v>523</v>
      </c>
      <c r="G25">
        <v>0</v>
      </c>
    </row>
    <row r="26" spans="1:8" x14ac:dyDescent="0.25">
      <c r="A26" t="s">
        <v>62</v>
      </c>
      <c r="B26" t="s">
        <v>63</v>
      </c>
      <c r="C26" t="s">
        <v>10</v>
      </c>
      <c r="D26" s="1">
        <v>42535</v>
      </c>
      <c r="E26">
        <v>88835</v>
      </c>
      <c r="F26">
        <v>787</v>
      </c>
      <c r="G26">
        <v>485443</v>
      </c>
    </row>
    <row r="27" spans="1:8" x14ac:dyDescent="0.25">
      <c r="A27" t="s">
        <v>64</v>
      </c>
      <c r="B27" t="s">
        <v>12</v>
      </c>
      <c r="C27" t="s">
        <v>13</v>
      </c>
      <c r="D27" s="1">
        <v>43851</v>
      </c>
      <c r="E27">
        <v>97493</v>
      </c>
      <c r="F27">
        <v>528</v>
      </c>
      <c r="G27">
        <v>0</v>
      </c>
    </row>
    <row r="28" spans="1:8" x14ac:dyDescent="0.25">
      <c r="A28" t="s">
        <v>65</v>
      </c>
      <c r="B28" t="s">
        <v>66</v>
      </c>
      <c r="C28" t="s">
        <v>10</v>
      </c>
      <c r="D28" s="1">
        <v>45203</v>
      </c>
      <c r="E28">
        <v>291071</v>
      </c>
      <c r="F28">
        <v>689</v>
      </c>
      <c r="G28">
        <v>196007</v>
      </c>
    </row>
    <row r="29" spans="1:8" x14ac:dyDescent="0.25">
      <c r="A29" t="s">
        <v>67</v>
      </c>
      <c r="B29" t="s">
        <v>57</v>
      </c>
      <c r="C29" t="s">
        <v>25</v>
      </c>
      <c r="D29" s="1">
        <v>43189</v>
      </c>
      <c r="E29">
        <v>172166</v>
      </c>
      <c r="F29">
        <v>487</v>
      </c>
      <c r="G29">
        <v>0</v>
      </c>
      <c r="H29" t="s">
        <v>59</v>
      </c>
    </row>
    <row r="30" spans="1:8" x14ac:dyDescent="0.25">
      <c r="A30" t="s">
        <v>68</v>
      </c>
      <c r="B30" t="s">
        <v>69</v>
      </c>
      <c r="C30" t="s">
        <v>10</v>
      </c>
      <c r="D30" s="1">
        <v>43955</v>
      </c>
      <c r="E30">
        <v>101948</v>
      </c>
      <c r="F30">
        <v>569</v>
      </c>
      <c r="G30">
        <v>335724</v>
      </c>
    </row>
    <row r="31" spans="1:8" x14ac:dyDescent="0.25">
      <c r="A31" t="s">
        <v>70</v>
      </c>
      <c r="B31" t="s">
        <v>71</v>
      </c>
      <c r="C31" t="s">
        <v>13</v>
      </c>
      <c r="D31" s="1">
        <v>43461</v>
      </c>
      <c r="E31">
        <v>185194</v>
      </c>
      <c r="F31">
        <v>609</v>
      </c>
      <c r="G31">
        <v>0</v>
      </c>
    </row>
    <row r="32" spans="1:8" x14ac:dyDescent="0.25">
      <c r="A32" t="s">
        <v>72</v>
      </c>
      <c r="B32" t="s">
        <v>69</v>
      </c>
      <c r="C32" t="s">
        <v>13</v>
      </c>
      <c r="D32" s="1">
        <v>44092</v>
      </c>
      <c r="E32">
        <v>29493</v>
      </c>
      <c r="F32">
        <v>431</v>
      </c>
      <c r="G32">
        <v>0</v>
      </c>
    </row>
    <row r="33" spans="1:8" x14ac:dyDescent="0.25">
      <c r="A33" t="s">
        <v>73</v>
      </c>
      <c r="B33" t="s">
        <v>74</v>
      </c>
      <c r="C33" t="s">
        <v>10</v>
      </c>
      <c r="D33" s="1">
        <v>45191</v>
      </c>
      <c r="E33">
        <v>485463</v>
      </c>
      <c r="F33">
        <v>371</v>
      </c>
      <c r="G33">
        <v>0</v>
      </c>
    </row>
    <row r="34" spans="1:8" x14ac:dyDescent="0.25">
      <c r="A34" t="s">
        <v>75</v>
      </c>
      <c r="B34" t="s">
        <v>76</v>
      </c>
      <c r="C34" t="s">
        <v>10</v>
      </c>
      <c r="D34" s="1">
        <v>45495</v>
      </c>
      <c r="E34">
        <v>466755</v>
      </c>
      <c r="F34">
        <v>486</v>
      </c>
      <c r="G34">
        <v>0</v>
      </c>
      <c r="H34" t="s">
        <v>59</v>
      </c>
    </row>
    <row r="35" spans="1:8" x14ac:dyDescent="0.25">
      <c r="A35" t="s">
        <v>77</v>
      </c>
      <c r="B35" t="s">
        <v>78</v>
      </c>
      <c r="C35" t="s">
        <v>25</v>
      </c>
      <c r="D35" s="1">
        <v>42433</v>
      </c>
      <c r="E35">
        <v>293851</v>
      </c>
      <c r="F35">
        <v>785</v>
      </c>
      <c r="G35">
        <v>0</v>
      </c>
    </row>
    <row r="36" spans="1:8" x14ac:dyDescent="0.25">
      <c r="A36" t="s">
        <v>79</v>
      </c>
      <c r="B36" t="s">
        <v>80</v>
      </c>
      <c r="C36" t="s">
        <v>13</v>
      </c>
      <c r="D36" s="1">
        <v>43495</v>
      </c>
      <c r="E36">
        <v>199886</v>
      </c>
      <c r="F36">
        <v>490</v>
      </c>
      <c r="G36">
        <v>0</v>
      </c>
    </row>
    <row r="37" spans="1:8" x14ac:dyDescent="0.25">
      <c r="A37" t="s">
        <v>81</v>
      </c>
      <c r="B37" t="s">
        <v>82</v>
      </c>
      <c r="C37" t="s">
        <v>25</v>
      </c>
      <c r="D37" s="1">
        <v>44385</v>
      </c>
      <c r="E37">
        <v>138368</v>
      </c>
      <c r="F37">
        <v>721</v>
      </c>
      <c r="G37">
        <v>0</v>
      </c>
    </row>
    <row r="38" spans="1:8" x14ac:dyDescent="0.25">
      <c r="A38" t="s">
        <v>83</v>
      </c>
      <c r="B38" t="s">
        <v>84</v>
      </c>
      <c r="C38" t="s">
        <v>13</v>
      </c>
      <c r="D38" s="1">
        <v>44430</v>
      </c>
      <c r="E38">
        <v>156470</v>
      </c>
      <c r="F38">
        <v>419</v>
      </c>
      <c r="G38">
        <v>0</v>
      </c>
    </row>
    <row r="39" spans="1:8" x14ac:dyDescent="0.25">
      <c r="A39" t="s">
        <v>85</v>
      </c>
      <c r="B39" t="s">
        <v>86</v>
      </c>
      <c r="C39" t="s">
        <v>13</v>
      </c>
      <c r="D39" s="1">
        <v>43619</v>
      </c>
      <c r="E39">
        <v>297986</v>
      </c>
      <c r="F39">
        <v>519</v>
      </c>
      <c r="G39">
        <v>5654</v>
      </c>
    </row>
    <row r="40" spans="1:8" x14ac:dyDescent="0.25">
      <c r="A40" t="s">
        <v>87</v>
      </c>
      <c r="B40" t="s">
        <v>88</v>
      </c>
      <c r="C40" t="s">
        <v>13</v>
      </c>
      <c r="D40" s="1">
        <v>45596</v>
      </c>
      <c r="E40">
        <v>13261</v>
      </c>
      <c r="F40">
        <v>352</v>
      </c>
      <c r="G40">
        <v>59633</v>
      </c>
    </row>
    <row r="41" spans="1:8" x14ac:dyDescent="0.25">
      <c r="A41" t="s">
        <v>89</v>
      </c>
      <c r="B41" t="s">
        <v>90</v>
      </c>
      <c r="C41" t="s">
        <v>13</v>
      </c>
      <c r="D41" s="1">
        <v>44121</v>
      </c>
      <c r="E41">
        <v>76709</v>
      </c>
      <c r="F41">
        <v>750</v>
      </c>
      <c r="G41">
        <v>0</v>
      </c>
      <c r="H41" t="s">
        <v>18</v>
      </c>
    </row>
    <row r="42" spans="1:8" x14ac:dyDescent="0.25">
      <c r="A42" t="s">
        <v>91</v>
      </c>
      <c r="B42" t="s">
        <v>92</v>
      </c>
      <c r="C42" t="s">
        <v>10</v>
      </c>
      <c r="D42" s="1">
        <v>45740</v>
      </c>
      <c r="E42">
        <v>95985</v>
      </c>
      <c r="F42">
        <v>711</v>
      </c>
      <c r="G42">
        <v>0</v>
      </c>
    </row>
    <row r="43" spans="1:8" x14ac:dyDescent="0.25">
      <c r="A43" t="s">
        <v>93</v>
      </c>
      <c r="B43" t="s">
        <v>94</v>
      </c>
      <c r="C43" t="s">
        <v>10</v>
      </c>
      <c r="D43" s="1">
        <v>44171</v>
      </c>
      <c r="E43">
        <v>368760</v>
      </c>
      <c r="F43">
        <v>536</v>
      </c>
      <c r="G43">
        <v>0</v>
      </c>
    </row>
    <row r="44" spans="1:8" x14ac:dyDescent="0.25">
      <c r="A44" t="s">
        <v>95</v>
      </c>
      <c r="B44" t="s">
        <v>96</v>
      </c>
      <c r="C44" t="s">
        <v>13</v>
      </c>
      <c r="D44" s="1">
        <v>45200</v>
      </c>
      <c r="E44">
        <v>449920</v>
      </c>
      <c r="F44">
        <v>705</v>
      </c>
      <c r="G44">
        <v>0</v>
      </c>
    </row>
    <row r="45" spans="1:8" x14ac:dyDescent="0.25">
      <c r="A45" t="s">
        <v>97</v>
      </c>
      <c r="B45" t="s">
        <v>98</v>
      </c>
      <c r="C45" t="s">
        <v>10</v>
      </c>
      <c r="D45" s="1">
        <v>42460</v>
      </c>
      <c r="E45">
        <v>329317</v>
      </c>
      <c r="F45">
        <v>721</v>
      </c>
      <c r="G45">
        <v>0</v>
      </c>
    </row>
    <row r="46" spans="1:8" x14ac:dyDescent="0.25">
      <c r="A46" t="s">
        <v>99</v>
      </c>
      <c r="B46" t="s">
        <v>100</v>
      </c>
      <c r="C46" t="s">
        <v>13</v>
      </c>
      <c r="D46" s="1">
        <v>45290</v>
      </c>
      <c r="E46">
        <v>293925</v>
      </c>
      <c r="F46">
        <v>546</v>
      </c>
      <c r="G46">
        <v>0</v>
      </c>
    </row>
    <row r="47" spans="1:8" x14ac:dyDescent="0.25">
      <c r="A47" t="s">
        <v>101</v>
      </c>
      <c r="B47" t="s">
        <v>88</v>
      </c>
      <c r="C47" t="s">
        <v>25</v>
      </c>
      <c r="D47" s="1">
        <v>45413</v>
      </c>
      <c r="E47">
        <v>275796</v>
      </c>
      <c r="F47">
        <v>371</v>
      </c>
      <c r="G47">
        <v>0</v>
      </c>
    </row>
    <row r="48" spans="1:8" x14ac:dyDescent="0.25">
      <c r="A48" t="s">
        <v>102</v>
      </c>
      <c r="B48" t="s">
        <v>96</v>
      </c>
      <c r="C48" t="s">
        <v>32</v>
      </c>
      <c r="D48" s="1">
        <v>44782</v>
      </c>
      <c r="E48">
        <v>267247</v>
      </c>
      <c r="F48">
        <v>484</v>
      </c>
      <c r="G48">
        <v>0</v>
      </c>
    </row>
    <row r="49" spans="1:8" x14ac:dyDescent="0.25">
      <c r="A49" t="s">
        <v>103</v>
      </c>
      <c r="B49" t="s">
        <v>104</v>
      </c>
      <c r="C49" t="s">
        <v>13</v>
      </c>
      <c r="D49" s="1">
        <v>45583</v>
      </c>
      <c r="E49">
        <v>287644</v>
      </c>
      <c r="F49">
        <v>305</v>
      </c>
      <c r="G49">
        <v>485398</v>
      </c>
    </row>
    <row r="50" spans="1:8" x14ac:dyDescent="0.25">
      <c r="A50" t="s">
        <v>105</v>
      </c>
      <c r="B50" t="s">
        <v>106</v>
      </c>
      <c r="C50" t="s">
        <v>10</v>
      </c>
      <c r="D50" s="1">
        <v>43835</v>
      </c>
      <c r="E50">
        <v>246404</v>
      </c>
      <c r="F50">
        <v>505</v>
      </c>
      <c r="G50">
        <v>0</v>
      </c>
    </row>
    <row r="51" spans="1:8" x14ac:dyDescent="0.25">
      <c r="A51" t="s">
        <v>107</v>
      </c>
      <c r="B51" t="s">
        <v>108</v>
      </c>
      <c r="C51" t="s">
        <v>13</v>
      </c>
      <c r="D51" s="1">
        <v>45414</v>
      </c>
      <c r="E51">
        <v>100336</v>
      </c>
      <c r="F51">
        <v>843</v>
      </c>
      <c r="G51">
        <v>316011</v>
      </c>
      <c r="H51" t="s">
        <v>18</v>
      </c>
    </row>
    <row r="52" spans="1:8" x14ac:dyDescent="0.25">
      <c r="A52" t="s">
        <v>109</v>
      </c>
      <c r="B52" t="s">
        <v>110</v>
      </c>
      <c r="C52" t="s">
        <v>13</v>
      </c>
      <c r="D52" s="1">
        <v>43810</v>
      </c>
      <c r="E52">
        <v>428745</v>
      </c>
      <c r="F52">
        <v>686</v>
      </c>
      <c r="G52">
        <v>449244</v>
      </c>
    </row>
    <row r="53" spans="1:8" x14ac:dyDescent="0.25">
      <c r="A53" t="s">
        <v>111</v>
      </c>
      <c r="B53" t="s">
        <v>112</v>
      </c>
      <c r="C53" t="s">
        <v>13</v>
      </c>
      <c r="D53" s="1">
        <v>42425</v>
      </c>
      <c r="E53">
        <v>113499</v>
      </c>
      <c r="F53">
        <v>375</v>
      </c>
      <c r="G53">
        <v>0</v>
      </c>
      <c r="H53" t="s">
        <v>18</v>
      </c>
    </row>
    <row r="54" spans="1:8" x14ac:dyDescent="0.25">
      <c r="A54" t="s">
        <v>113</v>
      </c>
      <c r="B54" t="s">
        <v>114</v>
      </c>
      <c r="C54" t="s">
        <v>25</v>
      </c>
      <c r="D54" s="1">
        <v>43028</v>
      </c>
      <c r="E54">
        <v>149524</v>
      </c>
      <c r="F54">
        <v>476</v>
      </c>
      <c r="G54">
        <v>0</v>
      </c>
    </row>
    <row r="55" spans="1:8" x14ac:dyDescent="0.25">
      <c r="A55" t="s">
        <v>115</v>
      </c>
      <c r="B55" t="s">
        <v>116</v>
      </c>
      <c r="C55" t="s">
        <v>10</v>
      </c>
      <c r="D55" s="1">
        <v>42626</v>
      </c>
      <c r="E55">
        <v>311537</v>
      </c>
      <c r="F55">
        <v>648</v>
      </c>
      <c r="G55">
        <v>0</v>
      </c>
    </row>
    <row r="56" spans="1:8" x14ac:dyDescent="0.25">
      <c r="A56" t="s">
        <v>117</v>
      </c>
      <c r="B56" t="s">
        <v>118</v>
      </c>
      <c r="C56" t="s">
        <v>13</v>
      </c>
      <c r="D56" s="1">
        <v>45145</v>
      </c>
      <c r="E56">
        <v>424390</v>
      </c>
      <c r="F56">
        <v>554</v>
      </c>
      <c r="G56">
        <v>0</v>
      </c>
    </row>
    <row r="57" spans="1:8" x14ac:dyDescent="0.25">
      <c r="A57" t="s">
        <v>119</v>
      </c>
      <c r="B57" t="s">
        <v>120</v>
      </c>
      <c r="C57" t="s">
        <v>25</v>
      </c>
      <c r="D57" s="1">
        <v>44318</v>
      </c>
      <c r="E57">
        <v>457666</v>
      </c>
      <c r="F57">
        <v>607</v>
      </c>
      <c r="G57">
        <v>0</v>
      </c>
    </row>
    <row r="58" spans="1:8" x14ac:dyDescent="0.25">
      <c r="A58" t="s">
        <v>121</v>
      </c>
      <c r="B58" t="s">
        <v>122</v>
      </c>
      <c r="C58" t="s">
        <v>10</v>
      </c>
      <c r="D58" s="1">
        <v>45750</v>
      </c>
      <c r="E58">
        <v>166508</v>
      </c>
      <c r="F58">
        <v>644</v>
      </c>
      <c r="G58">
        <v>222508</v>
      </c>
    </row>
    <row r="59" spans="1:8" x14ac:dyDescent="0.25">
      <c r="A59" t="s">
        <v>123</v>
      </c>
      <c r="B59" t="s">
        <v>124</v>
      </c>
      <c r="C59" t="s">
        <v>25</v>
      </c>
      <c r="D59" s="1">
        <v>43942</v>
      </c>
      <c r="E59">
        <v>309550</v>
      </c>
      <c r="F59">
        <v>426</v>
      </c>
      <c r="G59">
        <v>0</v>
      </c>
      <c r="H59" t="s">
        <v>18</v>
      </c>
    </row>
    <row r="60" spans="1:8" x14ac:dyDescent="0.25">
      <c r="A60" t="s">
        <v>125</v>
      </c>
      <c r="B60" t="s">
        <v>126</v>
      </c>
      <c r="C60" t="s">
        <v>10</v>
      </c>
      <c r="D60" s="1">
        <v>43744</v>
      </c>
      <c r="E60">
        <v>325203</v>
      </c>
      <c r="F60">
        <v>586</v>
      </c>
      <c r="G60">
        <v>0</v>
      </c>
    </row>
    <row r="61" spans="1:8" x14ac:dyDescent="0.25">
      <c r="A61" t="s">
        <v>127</v>
      </c>
      <c r="B61" t="s">
        <v>128</v>
      </c>
      <c r="C61" t="s">
        <v>10</v>
      </c>
      <c r="D61" s="1">
        <v>44768</v>
      </c>
      <c r="E61">
        <v>147026</v>
      </c>
      <c r="F61">
        <v>786</v>
      </c>
      <c r="G61">
        <v>0</v>
      </c>
    </row>
    <row r="62" spans="1:8" x14ac:dyDescent="0.25">
      <c r="A62" t="s">
        <v>129</v>
      </c>
      <c r="B62" t="s">
        <v>130</v>
      </c>
      <c r="C62" t="s">
        <v>13</v>
      </c>
      <c r="D62" s="1">
        <v>43375</v>
      </c>
      <c r="E62">
        <v>344866</v>
      </c>
      <c r="F62">
        <v>682</v>
      </c>
      <c r="G62">
        <v>0</v>
      </c>
    </row>
    <row r="63" spans="1:8" x14ac:dyDescent="0.25">
      <c r="A63" t="s">
        <v>131</v>
      </c>
      <c r="B63" t="s">
        <v>132</v>
      </c>
      <c r="C63" t="s">
        <v>13</v>
      </c>
      <c r="D63" s="1">
        <v>44407</v>
      </c>
      <c r="E63">
        <v>250819</v>
      </c>
      <c r="F63">
        <v>705</v>
      </c>
      <c r="G63">
        <v>0</v>
      </c>
    </row>
    <row r="64" spans="1:8" x14ac:dyDescent="0.25">
      <c r="A64" t="s">
        <v>133</v>
      </c>
      <c r="B64" t="s">
        <v>57</v>
      </c>
      <c r="C64" t="s">
        <v>32</v>
      </c>
      <c r="D64" s="1">
        <v>43721</v>
      </c>
      <c r="E64">
        <v>12356</v>
      </c>
      <c r="F64">
        <v>687</v>
      </c>
      <c r="G64">
        <v>0</v>
      </c>
    </row>
    <row r="65" spans="1:8" x14ac:dyDescent="0.25">
      <c r="A65" t="s">
        <v>134</v>
      </c>
      <c r="B65" t="s">
        <v>53</v>
      </c>
      <c r="C65" t="s">
        <v>13</v>
      </c>
      <c r="D65" s="1">
        <v>43714</v>
      </c>
      <c r="E65">
        <v>128128</v>
      </c>
      <c r="F65">
        <v>824</v>
      </c>
      <c r="G65">
        <v>0</v>
      </c>
    </row>
    <row r="66" spans="1:8" x14ac:dyDescent="0.25">
      <c r="A66" t="s">
        <v>135</v>
      </c>
      <c r="B66" t="s">
        <v>136</v>
      </c>
      <c r="C66" t="s">
        <v>32</v>
      </c>
      <c r="D66" s="1">
        <v>42707</v>
      </c>
      <c r="E66">
        <v>491715</v>
      </c>
      <c r="F66">
        <v>575</v>
      </c>
      <c r="G66">
        <v>0</v>
      </c>
    </row>
    <row r="67" spans="1:8" x14ac:dyDescent="0.25">
      <c r="A67" t="s">
        <v>137</v>
      </c>
      <c r="B67" t="s">
        <v>80</v>
      </c>
      <c r="C67" t="s">
        <v>10</v>
      </c>
      <c r="D67" s="1">
        <v>45846</v>
      </c>
      <c r="E67">
        <v>2187</v>
      </c>
      <c r="F67">
        <v>799</v>
      </c>
      <c r="G67">
        <v>0</v>
      </c>
    </row>
    <row r="68" spans="1:8" x14ac:dyDescent="0.25">
      <c r="A68" t="s">
        <v>138</v>
      </c>
      <c r="B68" t="s">
        <v>139</v>
      </c>
      <c r="C68" t="s">
        <v>13</v>
      </c>
      <c r="D68" s="1">
        <v>42482</v>
      </c>
      <c r="E68">
        <v>339387</v>
      </c>
      <c r="F68">
        <v>636</v>
      </c>
      <c r="G68">
        <v>0</v>
      </c>
      <c r="H68" t="s">
        <v>18</v>
      </c>
    </row>
    <row r="69" spans="1:8" x14ac:dyDescent="0.25">
      <c r="A69" t="s">
        <v>140</v>
      </c>
      <c r="B69" t="s">
        <v>88</v>
      </c>
      <c r="C69" t="s">
        <v>13</v>
      </c>
      <c r="D69" s="1">
        <v>42605</v>
      </c>
      <c r="E69">
        <v>297242</v>
      </c>
      <c r="F69">
        <v>780</v>
      </c>
      <c r="G69">
        <v>0</v>
      </c>
      <c r="H69" t="s">
        <v>59</v>
      </c>
    </row>
    <row r="70" spans="1:8" x14ac:dyDescent="0.25">
      <c r="A70" t="s">
        <v>141</v>
      </c>
      <c r="B70" t="s">
        <v>142</v>
      </c>
      <c r="C70" t="s">
        <v>13</v>
      </c>
      <c r="D70" s="1">
        <v>43964</v>
      </c>
      <c r="E70">
        <v>485687</v>
      </c>
      <c r="F70">
        <v>572</v>
      </c>
      <c r="G70">
        <v>0</v>
      </c>
    </row>
    <row r="71" spans="1:8" x14ac:dyDescent="0.25">
      <c r="A71" t="s">
        <v>143</v>
      </c>
      <c r="B71" t="s">
        <v>144</v>
      </c>
      <c r="C71" t="s">
        <v>32</v>
      </c>
      <c r="D71" s="1">
        <v>44843</v>
      </c>
      <c r="E71">
        <v>152297</v>
      </c>
      <c r="F71">
        <v>357</v>
      </c>
      <c r="G71">
        <v>0</v>
      </c>
    </row>
    <row r="72" spans="1:8" x14ac:dyDescent="0.25">
      <c r="A72" t="s">
        <v>145</v>
      </c>
      <c r="B72" t="s">
        <v>146</v>
      </c>
      <c r="C72" t="s">
        <v>10</v>
      </c>
      <c r="D72" s="1">
        <v>42702</v>
      </c>
      <c r="E72">
        <v>134678</v>
      </c>
      <c r="F72">
        <v>627</v>
      </c>
      <c r="G72">
        <v>0</v>
      </c>
    </row>
    <row r="73" spans="1:8" x14ac:dyDescent="0.25">
      <c r="A73" t="s">
        <v>147</v>
      </c>
      <c r="B73" t="s">
        <v>148</v>
      </c>
      <c r="C73" t="s">
        <v>13</v>
      </c>
      <c r="D73" s="1">
        <v>44558</v>
      </c>
      <c r="E73">
        <v>319764</v>
      </c>
      <c r="F73">
        <v>408</v>
      </c>
      <c r="G73">
        <v>0</v>
      </c>
      <c r="H73" t="s">
        <v>39</v>
      </c>
    </row>
    <row r="74" spans="1:8" x14ac:dyDescent="0.25">
      <c r="A74" t="s">
        <v>149</v>
      </c>
      <c r="B74" t="s">
        <v>150</v>
      </c>
      <c r="C74" t="s">
        <v>13</v>
      </c>
      <c r="D74" s="1">
        <v>43267</v>
      </c>
      <c r="E74">
        <v>426044</v>
      </c>
      <c r="F74">
        <v>578</v>
      </c>
      <c r="G74">
        <v>373894</v>
      </c>
    </row>
    <row r="75" spans="1:8" x14ac:dyDescent="0.25">
      <c r="A75" t="s">
        <v>151</v>
      </c>
      <c r="B75" t="s">
        <v>152</v>
      </c>
      <c r="C75" t="s">
        <v>13</v>
      </c>
      <c r="D75" s="1">
        <v>45406</v>
      </c>
      <c r="E75">
        <v>126270</v>
      </c>
      <c r="F75">
        <v>627</v>
      </c>
      <c r="G75">
        <v>394187</v>
      </c>
    </row>
    <row r="76" spans="1:8" x14ac:dyDescent="0.25">
      <c r="A76" t="s">
        <v>153</v>
      </c>
      <c r="B76" t="s">
        <v>154</v>
      </c>
      <c r="C76" t="s">
        <v>10</v>
      </c>
      <c r="D76" s="1">
        <v>43741</v>
      </c>
      <c r="E76">
        <v>419705</v>
      </c>
      <c r="F76">
        <v>614</v>
      </c>
      <c r="G76">
        <v>0</v>
      </c>
    </row>
    <row r="77" spans="1:8" x14ac:dyDescent="0.25">
      <c r="A77" t="s">
        <v>155</v>
      </c>
      <c r="B77" t="s">
        <v>156</v>
      </c>
      <c r="C77" t="s">
        <v>13</v>
      </c>
      <c r="D77" s="1">
        <v>43170</v>
      </c>
      <c r="E77">
        <v>276531</v>
      </c>
      <c r="F77">
        <v>773</v>
      </c>
      <c r="G77">
        <v>0</v>
      </c>
    </row>
    <row r="78" spans="1:8" x14ac:dyDescent="0.25">
      <c r="A78" t="s">
        <v>157</v>
      </c>
      <c r="B78" t="s">
        <v>158</v>
      </c>
      <c r="C78" t="s">
        <v>25</v>
      </c>
      <c r="D78" s="1">
        <v>45642</v>
      </c>
      <c r="E78">
        <v>331607</v>
      </c>
      <c r="F78">
        <v>410</v>
      </c>
      <c r="G78">
        <v>429606</v>
      </c>
      <c r="H78" t="s">
        <v>39</v>
      </c>
    </row>
    <row r="79" spans="1:8" x14ac:dyDescent="0.25">
      <c r="A79" t="s">
        <v>159</v>
      </c>
      <c r="B79" t="s">
        <v>160</v>
      </c>
      <c r="C79" t="s">
        <v>13</v>
      </c>
      <c r="D79" s="1">
        <v>43803</v>
      </c>
      <c r="E79">
        <v>465048</v>
      </c>
      <c r="F79">
        <v>528</v>
      </c>
      <c r="G79">
        <v>0</v>
      </c>
    </row>
    <row r="80" spans="1:8" x14ac:dyDescent="0.25">
      <c r="A80" t="s">
        <v>161</v>
      </c>
      <c r="B80" t="s">
        <v>162</v>
      </c>
      <c r="C80" t="s">
        <v>13</v>
      </c>
      <c r="D80" s="1">
        <v>45733</v>
      </c>
      <c r="E80">
        <v>489196</v>
      </c>
      <c r="F80">
        <v>796</v>
      </c>
      <c r="G80">
        <v>149233</v>
      </c>
    </row>
    <row r="81" spans="1:8" x14ac:dyDescent="0.25">
      <c r="A81" t="s">
        <v>163</v>
      </c>
      <c r="B81" t="s">
        <v>164</v>
      </c>
      <c r="C81" t="s">
        <v>10</v>
      </c>
      <c r="D81" s="1">
        <v>42365</v>
      </c>
      <c r="E81">
        <v>242998</v>
      </c>
      <c r="F81">
        <v>455</v>
      </c>
      <c r="G81">
        <v>0</v>
      </c>
      <c r="H81" t="s">
        <v>18</v>
      </c>
    </row>
    <row r="82" spans="1:8" x14ac:dyDescent="0.25">
      <c r="A82" t="s">
        <v>165</v>
      </c>
      <c r="B82" t="s">
        <v>166</v>
      </c>
      <c r="C82" t="s">
        <v>10</v>
      </c>
      <c r="D82" s="1">
        <v>43834</v>
      </c>
      <c r="E82">
        <v>395807</v>
      </c>
      <c r="F82">
        <v>772</v>
      </c>
      <c r="G82">
        <v>0</v>
      </c>
      <c r="H82" t="s">
        <v>39</v>
      </c>
    </row>
    <row r="83" spans="1:8" x14ac:dyDescent="0.25">
      <c r="A83" t="s">
        <v>167</v>
      </c>
      <c r="B83" t="s">
        <v>168</v>
      </c>
      <c r="C83" t="s">
        <v>32</v>
      </c>
      <c r="D83" s="1">
        <v>42626</v>
      </c>
      <c r="E83">
        <v>241503</v>
      </c>
      <c r="F83">
        <v>571</v>
      </c>
      <c r="G83">
        <v>111379</v>
      </c>
      <c r="H83" t="s">
        <v>39</v>
      </c>
    </row>
    <row r="84" spans="1:8" x14ac:dyDescent="0.25">
      <c r="A84" t="s">
        <v>169</v>
      </c>
      <c r="B84" t="s">
        <v>170</v>
      </c>
      <c r="C84" t="s">
        <v>10</v>
      </c>
      <c r="D84" s="1">
        <v>43147</v>
      </c>
      <c r="E84">
        <v>441732</v>
      </c>
      <c r="F84">
        <v>301</v>
      </c>
      <c r="G84">
        <v>231905</v>
      </c>
      <c r="H84" t="s">
        <v>39</v>
      </c>
    </row>
    <row r="85" spans="1:8" x14ac:dyDescent="0.25">
      <c r="A85" t="s">
        <v>171</v>
      </c>
      <c r="B85" t="s">
        <v>172</v>
      </c>
      <c r="C85" t="s">
        <v>13</v>
      </c>
      <c r="D85" s="1">
        <v>43176</v>
      </c>
      <c r="E85">
        <v>353827</v>
      </c>
      <c r="F85">
        <v>810</v>
      </c>
      <c r="G85">
        <v>0</v>
      </c>
    </row>
    <row r="86" spans="1:8" x14ac:dyDescent="0.25">
      <c r="A86" t="s">
        <v>173</v>
      </c>
      <c r="B86" t="s">
        <v>174</v>
      </c>
      <c r="C86" t="s">
        <v>10</v>
      </c>
      <c r="D86" s="1">
        <v>43642</v>
      </c>
      <c r="E86">
        <v>62061</v>
      </c>
      <c r="F86">
        <v>585</v>
      </c>
      <c r="G86">
        <v>0</v>
      </c>
    </row>
    <row r="87" spans="1:8" x14ac:dyDescent="0.25">
      <c r="A87" t="s">
        <v>175</v>
      </c>
      <c r="B87" t="s">
        <v>176</v>
      </c>
      <c r="C87" t="s">
        <v>13</v>
      </c>
      <c r="D87" s="1">
        <v>44444</v>
      </c>
      <c r="E87">
        <v>235497</v>
      </c>
      <c r="F87">
        <v>312</v>
      </c>
      <c r="G87">
        <v>0</v>
      </c>
      <c r="H87" t="s">
        <v>59</v>
      </c>
    </row>
    <row r="88" spans="1:8" x14ac:dyDescent="0.25">
      <c r="A88" t="s">
        <v>177</v>
      </c>
      <c r="B88" t="s">
        <v>43</v>
      </c>
      <c r="C88" t="s">
        <v>13</v>
      </c>
      <c r="D88" s="1">
        <v>43238</v>
      </c>
      <c r="E88">
        <v>459952</v>
      </c>
      <c r="F88">
        <v>797</v>
      </c>
      <c r="G88">
        <v>0</v>
      </c>
      <c r="H88" t="s">
        <v>39</v>
      </c>
    </row>
    <row r="89" spans="1:8" x14ac:dyDescent="0.25">
      <c r="A89" t="s">
        <v>178</v>
      </c>
      <c r="B89" t="s">
        <v>179</v>
      </c>
      <c r="C89" t="s">
        <v>32</v>
      </c>
      <c r="D89" s="1">
        <v>42693</v>
      </c>
      <c r="E89">
        <v>81257</v>
      </c>
      <c r="F89">
        <v>537</v>
      </c>
      <c r="G89">
        <v>0</v>
      </c>
    </row>
    <row r="90" spans="1:8" x14ac:dyDescent="0.25">
      <c r="A90" t="s">
        <v>180</v>
      </c>
      <c r="B90" t="s">
        <v>41</v>
      </c>
      <c r="C90" t="s">
        <v>25</v>
      </c>
      <c r="D90" s="1">
        <v>43262</v>
      </c>
      <c r="E90">
        <v>61753</v>
      </c>
      <c r="F90">
        <v>393</v>
      </c>
      <c r="G90">
        <v>146835</v>
      </c>
    </row>
    <row r="91" spans="1:8" x14ac:dyDescent="0.25">
      <c r="A91" t="s">
        <v>181</v>
      </c>
      <c r="B91" t="s">
        <v>182</v>
      </c>
      <c r="C91" t="s">
        <v>32</v>
      </c>
      <c r="D91" s="1">
        <v>44429</v>
      </c>
      <c r="E91">
        <v>346918</v>
      </c>
      <c r="F91">
        <v>637</v>
      </c>
      <c r="G91">
        <v>0</v>
      </c>
    </row>
    <row r="92" spans="1:8" x14ac:dyDescent="0.25">
      <c r="A92" t="s">
        <v>183</v>
      </c>
      <c r="B92" t="s">
        <v>114</v>
      </c>
      <c r="C92" t="s">
        <v>10</v>
      </c>
      <c r="D92" s="1">
        <v>44681</v>
      </c>
      <c r="E92">
        <v>404303</v>
      </c>
      <c r="F92">
        <v>470</v>
      </c>
      <c r="G92">
        <v>98109</v>
      </c>
    </row>
    <row r="93" spans="1:8" x14ac:dyDescent="0.25">
      <c r="A93" t="s">
        <v>184</v>
      </c>
      <c r="B93" t="s">
        <v>90</v>
      </c>
      <c r="C93" t="s">
        <v>10</v>
      </c>
      <c r="D93" s="1">
        <v>43749</v>
      </c>
      <c r="E93">
        <v>424032</v>
      </c>
      <c r="F93">
        <v>766</v>
      </c>
      <c r="G93">
        <v>0</v>
      </c>
    </row>
    <row r="94" spans="1:8" x14ac:dyDescent="0.25">
      <c r="A94" t="s">
        <v>185</v>
      </c>
      <c r="B94" t="s">
        <v>186</v>
      </c>
      <c r="C94" t="s">
        <v>13</v>
      </c>
      <c r="D94" s="1">
        <v>45069</v>
      </c>
      <c r="E94">
        <v>23408</v>
      </c>
      <c r="F94">
        <v>442</v>
      </c>
      <c r="G94">
        <v>0</v>
      </c>
    </row>
    <row r="95" spans="1:8" x14ac:dyDescent="0.25">
      <c r="A95" t="s">
        <v>187</v>
      </c>
      <c r="B95" t="s">
        <v>188</v>
      </c>
      <c r="C95" t="s">
        <v>13</v>
      </c>
      <c r="D95" s="1">
        <v>45287</v>
      </c>
      <c r="E95">
        <v>124116</v>
      </c>
      <c r="F95">
        <v>500</v>
      </c>
      <c r="G95">
        <v>0</v>
      </c>
      <c r="H95" t="s">
        <v>18</v>
      </c>
    </row>
    <row r="96" spans="1:8" x14ac:dyDescent="0.25">
      <c r="A96" t="s">
        <v>189</v>
      </c>
      <c r="B96" t="s">
        <v>190</v>
      </c>
      <c r="C96" t="s">
        <v>25</v>
      </c>
      <c r="D96" s="1">
        <v>43128</v>
      </c>
      <c r="E96">
        <v>498492</v>
      </c>
      <c r="F96">
        <v>479</v>
      </c>
      <c r="G96">
        <v>426175</v>
      </c>
    </row>
    <row r="97" spans="1:8" x14ac:dyDescent="0.25">
      <c r="A97" t="s">
        <v>191</v>
      </c>
      <c r="B97" t="s">
        <v>192</v>
      </c>
      <c r="C97" t="s">
        <v>13</v>
      </c>
      <c r="D97" s="1">
        <v>45492</v>
      </c>
      <c r="E97">
        <v>131208</v>
      </c>
      <c r="F97">
        <v>663</v>
      </c>
      <c r="G97">
        <v>0</v>
      </c>
    </row>
    <row r="98" spans="1:8" x14ac:dyDescent="0.25">
      <c r="A98" t="s">
        <v>193</v>
      </c>
      <c r="B98" t="s">
        <v>194</v>
      </c>
      <c r="C98" t="s">
        <v>25</v>
      </c>
      <c r="D98" s="1">
        <v>44472</v>
      </c>
      <c r="E98">
        <v>17413</v>
      </c>
      <c r="F98">
        <v>778</v>
      </c>
      <c r="G98">
        <v>128076</v>
      </c>
    </row>
    <row r="99" spans="1:8" x14ac:dyDescent="0.25">
      <c r="A99" t="s">
        <v>195</v>
      </c>
      <c r="B99" t="s">
        <v>196</v>
      </c>
      <c r="C99" t="s">
        <v>25</v>
      </c>
      <c r="D99" s="1">
        <v>42587</v>
      </c>
      <c r="E99">
        <v>113650</v>
      </c>
      <c r="F99">
        <v>770</v>
      </c>
      <c r="G99">
        <v>163177</v>
      </c>
    </row>
    <row r="100" spans="1:8" x14ac:dyDescent="0.25">
      <c r="A100" t="s">
        <v>197</v>
      </c>
      <c r="B100" t="s">
        <v>198</v>
      </c>
      <c r="C100" t="s">
        <v>13</v>
      </c>
      <c r="D100" s="1">
        <v>43608</v>
      </c>
      <c r="E100">
        <v>59500</v>
      </c>
      <c r="F100">
        <v>683</v>
      </c>
      <c r="G100">
        <v>0</v>
      </c>
    </row>
    <row r="101" spans="1:8" x14ac:dyDescent="0.25">
      <c r="A101" t="s">
        <v>199</v>
      </c>
      <c r="B101" t="s">
        <v>78</v>
      </c>
      <c r="C101" t="s">
        <v>10</v>
      </c>
      <c r="D101" s="1">
        <v>45303</v>
      </c>
      <c r="E101">
        <v>346658</v>
      </c>
      <c r="F101">
        <v>716</v>
      </c>
      <c r="G101">
        <v>0</v>
      </c>
    </row>
    <row r="102" spans="1:8" x14ac:dyDescent="0.25">
      <c r="A102" t="s">
        <v>200</v>
      </c>
      <c r="B102" t="s">
        <v>201</v>
      </c>
      <c r="C102" t="s">
        <v>10</v>
      </c>
      <c r="D102" s="1">
        <v>44544</v>
      </c>
      <c r="E102">
        <v>56358</v>
      </c>
      <c r="F102">
        <v>607</v>
      </c>
      <c r="G102">
        <v>0</v>
      </c>
    </row>
    <row r="103" spans="1:8" x14ac:dyDescent="0.25">
      <c r="A103" t="s">
        <v>202</v>
      </c>
      <c r="B103" t="s">
        <v>203</v>
      </c>
      <c r="C103" t="s">
        <v>13</v>
      </c>
      <c r="D103" s="1">
        <v>43804</v>
      </c>
      <c r="E103">
        <v>66197</v>
      </c>
      <c r="F103">
        <v>666</v>
      </c>
      <c r="G103">
        <v>364014</v>
      </c>
      <c r="H103" t="s">
        <v>18</v>
      </c>
    </row>
    <row r="104" spans="1:8" x14ac:dyDescent="0.25">
      <c r="A104" t="s">
        <v>204</v>
      </c>
      <c r="B104" t="s">
        <v>205</v>
      </c>
      <c r="C104" t="s">
        <v>25</v>
      </c>
      <c r="D104" s="1">
        <v>43080</v>
      </c>
      <c r="E104">
        <v>493992</v>
      </c>
      <c r="F104">
        <v>300</v>
      </c>
      <c r="G104">
        <v>0</v>
      </c>
      <c r="H104" t="s">
        <v>39</v>
      </c>
    </row>
    <row r="105" spans="1:8" x14ac:dyDescent="0.25">
      <c r="A105" t="s">
        <v>206</v>
      </c>
      <c r="B105" t="s">
        <v>207</v>
      </c>
      <c r="C105" t="s">
        <v>10</v>
      </c>
      <c r="D105" s="1">
        <v>44834</v>
      </c>
      <c r="E105">
        <v>223861</v>
      </c>
      <c r="F105">
        <v>343</v>
      </c>
      <c r="G105">
        <v>0</v>
      </c>
    </row>
    <row r="106" spans="1:8" x14ac:dyDescent="0.25">
      <c r="A106" t="s">
        <v>208</v>
      </c>
      <c r="B106" t="s">
        <v>209</v>
      </c>
      <c r="C106" t="s">
        <v>13</v>
      </c>
      <c r="D106" s="1">
        <v>45829</v>
      </c>
      <c r="E106">
        <v>223492</v>
      </c>
      <c r="F106">
        <v>397</v>
      </c>
      <c r="G106">
        <v>0</v>
      </c>
    </row>
    <row r="107" spans="1:8" x14ac:dyDescent="0.25">
      <c r="A107" t="s">
        <v>210</v>
      </c>
      <c r="B107" t="s">
        <v>211</v>
      </c>
      <c r="C107" t="s">
        <v>10</v>
      </c>
      <c r="D107" s="1">
        <v>42332</v>
      </c>
      <c r="E107">
        <v>261545</v>
      </c>
      <c r="F107">
        <v>564</v>
      </c>
      <c r="G107">
        <v>0</v>
      </c>
    </row>
    <row r="108" spans="1:8" x14ac:dyDescent="0.25">
      <c r="A108" t="s">
        <v>212</v>
      </c>
      <c r="B108" t="s">
        <v>213</v>
      </c>
      <c r="C108" t="s">
        <v>32</v>
      </c>
      <c r="D108" s="1">
        <v>43131</v>
      </c>
      <c r="E108">
        <v>426070</v>
      </c>
      <c r="F108">
        <v>439</v>
      </c>
      <c r="G108">
        <v>0</v>
      </c>
    </row>
    <row r="109" spans="1:8" x14ac:dyDescent="0.25">
      <c r="A109" t="s">
        <v>214</v>
      </c>
      <c r="B109" t="s">
        <v>215</v>
      </c>
      <c r="C109" t="s">
        <v>13</v>
      </c>
      <c r="D109" s="1">
        <v>45023</v>
      </c>
      <c r="E109">
        <v>76240</v>
      </c>
      <c r="F109">
        <v>780</v>
      </c>
      <c r="G109">
        <v>0</v>
      </c>
      <c r="H109" t="s">
        <v>18</v>
      </c>
    </row>
    <row r="110" spans="1:8" x14ac:dyDescent="0.25">
      <c r="A110" t="s">
        <v>216</v>
      </c>
      <c r="B110" t="s">
        <v>217</v>
      </c>
      <c r="C110" t="s">
        <v>25</v>
      </c>
      <c r="D110" s="1">
        <v>45194</v>
      </c>
      <c r="E110">
        <v>235595</v>
      </c>
      <c r="F110">
        <v>536</v>
      </c>
      <c r="G110">
        <v>0</v>
      </c>
      <c r="H110" t="s">
        <v>18</v>
      </c>
    </row>
    <row r="111" spans="1:8" x14ac:dyDescent="0.25">
      <c r="A111" t="s">
        <v>218</v>
      </c>
      <c r="B111" t="s">
        <v>219</v>
      </c>
      <c r="C111" t="s">
        <v>13</v>
      </c>
      <c r="D111" s="1">
        <v>44192</v>
      </c>
      <c r="E111">
        <v>221135</v>
      </c>
      <c r="F111">
        <v>371</v>
      </c>
      <c r="G111">
        <v>0</v>
      </c>
    </row>
    <row r="112" spans="1:8" x14ac:dyDescent="0.25">
      <c r="A112" t="s">
        <v>220</v>
      </c>
      <c r="B112" t="s">
        <v>221</v>
      </c>
      <c r="C112" t="s">
        <v>25</v>
      </c>
      <c r="D112" s="1">
        <v>44639</v>
      </c>
      <c r="E112">
        <v>278466</v>
      </c>
      <c r="F112">
        <v>489</v>
      </c>
      <c r="G112">
        <v>0</v>
      </c>
    </row>
    <row r="113" spans="1:8" x14ac:dyDescent="0.25">
      <c r="A113" t="s">
        <v>222</v>
      </c>
      <c r="B113" t="s">
        <v>22</v>
      </c>
      <c r="C113" t="s">
        <v>25</v>
      </c>
      <c r="D113" s="1">
        <v>43077</v>
      </c>
      <c r="E113">
        <v>375197</v>
      </c>
      <c r="F113">
        <v>567</v>
      </c>
      <c r="G113">
        <v>0</v>
      </c>
    </row>
    <row r="114" spans="1:8" x14ac:dyDescent="0.25">
      <c r="A114" t="s">
        <v>223</v>
      </c>
      <c r="B114" t="s">
        <v>224</v>
      </c>
      <c r="C114" t="s">
        <v>13</v>
      </c>
      <c r="D114" s="1">
        <v>43042</v>
      </c>
      <c r="E114">
        <v>6968</v>
      </c>
      <c r="F114">
        <v>620</v>
      </c>
      <c r="G114">
        <v>0</v>
      </c>
    </row>
    <row r="115" spans="1:8" x14ac:dyDescent="0.25">
      <c r="A115" t="s">
        <v>225</v>
      </c>
      <c r="B115" t="s">
        <v>226</v>
      </c>
      <c r="C115" t="s">
        <v>13</v>
      </c>
      <c r="D115" s="1">
        <v>44873</v>
      </c>
      <c r="E115">
        <v>289662</v>
      </c>
      <c r="F115">
        <v>406</v>
      </c>
      <c r="G115">
        <v>0</v>
      </c>
    </row>
    <row r="116" spans="1:8" x14ac:dyDescent="0.25">
      <c r="A116" t="s">
        <v>227</v>
      </c>
      <c r="B116" t="s">
        <v>228</v>
      </c>
      <c r="C116" t="s">
        <v>25</v>
      </c>
      <c r="D116" s="1">
        <v>45498</v>
      </c>
      <c r="E116">
        <v>314069</v>
      </c>
      <c r="F116">
        <v>531</v>
      </c>
      <c r="G116">
        <v>0</v>
      </c>
    </row>
    <row r="117" spans="1:8" x14ac:dyDescent="0.25">
      <c r="A117" t="s">
        <v>229</v>
      </c>
      <c r="B117" t="s">
        <v>230</v>
      </c>
      <c r="C117" t="s">
        <v>10</v>
      </c>
      <c r="D117" s="1">
        <v>45114</v>
      </c>
      <c r="E117">
        <v>190920</v>
      </c>
      <c r="F117">
        <v>341</v>
      </c>
      <c r="G117">
        <v>0</v>
      </c>
      <c r="H117" t="s">
        <v>18</v>
      </c>
    </row>
    <row r="118" spans="1:8" x14ac:dyDescent="0.25">
      <c r="A118" t="s">
        <v>231</v>
      </c>
      <c r="B118" t="s">
        <v>232</v>
      </c>
      <c r="C118" t="s">
        <v>25</v>
      </c>
      <c r="D118" s="1">
        <v>42671</v>
      </c>
      <c r="E118">
        <v>374044</v>
      </c>
      <c r="F118">
        <v>438</v>
      </c>
      <c r="G118">
        <v>251983</v>
      </c>
    </row>
    <row r="119" spans="1:8" x14ac:dyDescent="0.25">
      <c r="A119" t="s">
        <v>233</v>
      </c>
      <c r="B119" t="s">
        <v>213</v>
      </c>
      <c r="C119" t="s">
        <v>13</v>
      </c>
      <c r="D119" s="1">
        <v>44565</v>
      </c>
      <c r="E119">
        <v>355566</v>
      </c>
      <c r="F119">
        <v>572</v>
      </c>
      <c r="G119">
        <v>352236</v>
      </c>
    </row>
    <row r="120" spans="1:8" x14ac:dyDescent="0.25">
      <c r="A120" t="s">
        <v>234</v>
      </c>
      <c r="B120" t="s">
        <v>235</v>
      </c>
      <c r="C120" t="s">
        <v>25</v>
      </c>
      <c r="D120" s="1">
        <v>44297</v>
      </c>
      <c r="E120">
        <v>263844</v>
      </c>
      <c r="F120">
        <v>780</v>
      </c>
      <c r="G120">
        <v>0</v>
      </c>
    </row>
    <row r="121" spans="1:8" x14ac:dyDescent="0.25">
      <c r="A121" t="s">
        <v>236</v>
      </c>
      <c r="B121" t="s">
        <v>230</v>
      </c>
      <c r="C121" t="s">
        <v>25</v>
      </c>
      <c r="D121" s="1">
        <v>42512</v>
      </c>
      <c r="E121">
        <v>355926</v>
      </c>
      <c r="F121">
        <v>715</v>
      </c>
      <c r="G121">
        <v>0</v>
      </c>
    </row>
    <row r="122" spans="1:8" x14ac:dyDescent="0.25">
      <c r="A122" t="s">
        <v>237</v>
      </c>
      <c r="B122" t="s">
        <v>238</v>
      </c>
      <c r="C122" t="s">
        <v>32</v>
      </c>
      <c r="D122" s="1">
        <v>44775</v>
      </c>
      <c r="E122">
        <v>232076</v>
      </c>
      <c r="F122">
        <v>805</v>
      </c>
      <c r="G122">
        <v>0</v>
      </c>
    </row>
    <row r="123" spans="1:8" x14ac:dyDescent="0.25">
      <c r="A123" t="s">
        <v>239</v>
      </c>
      <c r="B123" t="s">
        <v>240</v>
      </c>
      <c r="C123" t="s">
        <v>13</v>
      </c>
      <c r="D123" s="1">
        <v>43515</v>
      </c>
      <c r="E123">
        <v>23199</v>
      </c>
      <c r="F123">
        <v>723</v>
      </c>
      <c r="G123">
        <v>0</v>
      </c>
    </row>
    <row r="124" spans="1:8" x14ac:dyDescent="0.25">
      <c r="A124" t="s">
        <v>241</v>
      </c>
      <c r="B124" t="s">
        <v>242</v>
      </c>
      <c r="C124" t="s">
        <v>10</v>
      </c>
      <c r="D124" s="1">
        <v>45207</v>
      </c>
      <c r="E124">
        <v>437805</v>
      </c>
      <c r="F124">
        <v>706</v>
      </c>
      <c r="G124">
        <v>0</v>
      </c>
      <c r="H124" t="s">
        <v>39</v>
      </c>
    </row>
    <row r="125" spans="1:8" x14ac:dyDescent="0.25">
      <c r="A125" t="s">
        <v>243</v>
      </c>
      <c r="B125" t="s">
        <v>244</v>
      </c>
      <c r="C125" t="s">
        <v>10</v>
      </c>
      <c r="D125" s="1">
        <v>45343</v>
      </c>
      <c r="E125">
        <v>163187</v>
      </c>
      <c r="F125">
        <v>689</v>
      </c>
      <c r="G125">
        <v>497174</v>
      </c>
    </row>
    <row r="126" spans="1:8" x14ac:dyDescent="0.25">
      <c r="A126" t="s">
        <v>245</v>
      </c>
      <c r="B126" t="s">
        <v>246</v>
      </c>
      <c r="C126" t="s">
        <v>13</v>
      </c>
      <c r="D126" s="1">
        <v>45708</v>
      </c>
      <c r="E126">
        <v>455150</v>
      </c>
      <c r="F126">
        <v>641</v>
      </c>
      <c r="G126">
        <v>93741</v>
      </c>
      <c r="H126" t="s">
        <v>18</v>
      </c>
    </row>
    <row r="127" spans="1:8" x14ac:dyDescent="0.25">
      <c r="A127" t="s">
        <v>247</v>
      </c>
      <c r="B127" t="s">
        <v>240</v>
      </c>
      <c r="C127" t="s">
        <v>10</v>
      </c>
      <c r="D127" s="1">
        <v>42587</v>
      </c>
      <c r="E127">
        <v>185388</v>
      </c>
      <c r="F127">
        <v>792</v>
      </c>
      <c r="G127">
        <v>0</v>
      </c>
    </row>
    <row r="128" spans="1:8" x14ac:dyDescent="0.25">
      <c r="A128" t="s">
        <v>248</v>
      </c>
      <c r="B128" t="s">
        <v>249</v>
      </c>
      <c r="C128" t="s">
        <v>13</v>
      </c>
      <c r="D128" s="1">
        <v>44581</v>
      </c>
      <c r="E128">
        <v>5520</v>
      </c>
      <c r="F128">
        <v>491</v>
      </c>
      <c r="G128">
        <v>0</v>
      </c>
      <c r="H128" t="s">
        <v>59</v>
      </c>
    </row>
    <row r="129" spans="1:8" x14ac:dyDescent="0.25">
      <c r="A129" t="s">
        <v>250</v>
      </c>
      <c r="B129" t="s">
        <v>251</v>
      </c>
      <c r="C129" t="s">
        <v>25</v>
      </c>
      <c r="D129" s="1">
        <v>44456</v>
      </c>
      <c r="E129">
        <v>109814</v>
      </c>
      <c r="F129">
        <v>798</v>
      </c>
      <c r="G129">
        <v>0</v>
      </c>
    </row>
    <row r="130" spans="1:8" x14ac:dyDescent="0.25">
      <c r="A130" t="s">
        <v>252</v>
      </c>
      <c r="B130" t="s">
        <v>253</v>
      </c>
      <c r="C130" t="s">
        <v>10</v>
      </c>
      <c r="D130" s="1">
        <v>43216</v>
      </c>
      <c r="E130">
        <v>167527</v>
      </c>
      <c r="F130">
        <v>532</v>
      </c>
      <c r="G130">
        <v>0</v>
      </c>
    </row>
    <row r="131" spans="1:8" x14ac:dyDescent="0.25">
      <c r="A131" t="s">
        <v>254</v>
      </c>
      <c r="B131" t="s">
        <v>255</v>
      </c>
      <c r="C131" t="s">
        <v>13</v>
      </c>
      <c r="D131" s="1">
        <v>44377</v>
      </c>
      <c r="E131">
        <v>246356</v>
      </c>
      <c r="F131">
        <v>526</v>
      </c>
      <c r="G131">
        <v>0</v>
      </c>
    </row>
    <row r="132" spans="1:8" x14ac:dyDescent="0.25">
      <c r="A132" t="s">
        <v>256</v>
      </c>
      <c r="B132" t="s">
        <v>116</v>
      </c>
      <c r="C132" t="s">
        <v>10</v>
      </c>
      <c r="D132" s="1">
        <v>45208</v>
      </c>
      <c r="E132">
        <v>479681</v>
      </c>
      <c r="F132">
        <v>670</v>
      </c>
      <c r="G132">
        <v>0</v>
      </c>
    </row>
    <row r="133" spans="1:8" x14ac:dyDescent="0.25">
      <c r="A133" t="s">
        <v>257</v>
      </c>
      <c r="B133" t="s">
        <v>207</v>
      </c>
      <c r="C133" t="s">
        <v>10</v>
      </c>
      <c r="D133" s="1">
        <v>43403</v>
      </c>
      <c r="E133">
        <v>123364</v>
      </c>
      <c r="F133">
        <v>438</v>
      </c>
      <c r="G133">
        <v>0</v>
      </c>
      <c r="H133" t="s">
        <v>18</v>
      </c>
    </row>
    <row r="134" spans="1:8" x14ac:dyDescent="0.25">
      <c r="A134" t="s">
        <v>258</v>
      </c>
      <c r="B134" t="s">
        <v>259</v>
      </c>
      <c r="C134" t="s">
        <v>13</v>
      </c>
      <c r="D134" s="1">
        <v>43335</v>
      </c>
      <c r="E134">
        <v>434821</v>
      </c>
      <c r="F134">
        <v>448</v>
      </c>
      <c r="G134">
        <v>374653</v>
      </c>
    </row>
    <row r="135" spans="1:8" x14ac:dyDescent="0.25">
      <c r="A135" t="s">
        <v>260</v>
      </c>
      <c r="B135" t="s">
        <v>235</v>
      </c>
      <c r="C135" t="s">
        <v>32</v>
      </c>
      <c r="D135" s="1">
        <v>43925</v>
      </c>
      <c r="E135">
        <v>14955</v>
      </c>
      <c r="F135">
        <v>414</v>
      </c>
      <c r="G135">
        <v>0</v>
      </c>
    </row>
    <row r="136" spans="1:8" x14ac:dyDescent="0.25">
      <c r="A136" t="s">
        <v>261</v>
      </c>
      <c r="B136" t="s">
        <v>262</v>
      </c>
      <c r="C136" t="s">
        <v>32</v>
      </c>
      <c r="D136" s="1">
        <v>42807</v>
      </c>
      <c r="E136">
        <v>175121</v>
      </c>
      <c r="F136">
        <v>749</v>
      </c>
      <c r="G136">
        <v>0</v>
      </c>
    </row>
    <row r="137" spans="1:8" x14ac:dyDescent="0.25">
      <c r="A137" t="s">
        <v>263</v>
      </c>
      <c r="B137" t="s">
        <v>264</v>
      </c>
      <c r="C137" t="s">
        <v>10</v>
      </c>
      <c r="D137" s="1">
        <v>45862</v>
      </c>
      <c r="E137">
        <v>144989</v>
      </c>
      <c r="F137">
        <v>362</v>
      </c>
      <c r="G137">
        <v>0</v>
      </c>
      <c r="H137" t="s">
        <v>39</v>
      </c>
    </row>
    <row r="138" spans="1:8" x14ac:dyDescent="0.25">
      <c r="A138" t="s">
        <v>265</v>
      </c>
      <c r="B138" t="s">
        <v>182</v>
      </c>
      <c r="C138" t="s">
        <v>13</v>
      </c>
      <c r="D138" s="1">
        <v>45365</v>
      </c>
      <c r="E138">
        <v>463509</v>
      </c>
      <c r="F138">
        <v>403</v>
      </c>
      <c r="G138">
        <v>111471</v>
      </c>
    </row>
    <row r="139" spans="1:8" x14ac:dyDescent="0.25">
      <c r="A139" t="s">
        <v>266</v>
      </c>
      <c r="B139" t="s">
        <v>267</v>
      </c>
      <c r="C139" t="s">
        <v>25</v>
      </c>
      <c r="D139" s="1">
        <v>44990</v>
      </c>
      <c r="E139">
        <v>471797</v>
      </c>
      <c r="F139">
        <v>572</v>
      </c>
      <c r="G139">
        <v>0</v>
      </c>
    </row>
    <row r="140" spans="1:8" x14ac:dyDescent="0.25">
      <c r="A140" t="s">
        <v>268</v>
      </c>
      <c r="B140" t="s">
        <v>269</v>
      </c>
      <c r="C140" t="s">
        <v>10</v>
      </c>
      <c r="D140" s="1">
        <v>42553</v>
      </c>
      <c r="E140">
        <v>250144</v>
      </c>
      <c r="F140">
        <v>305</v>
      </c>
      <c r="G140">
        <v>0</v>
      </c>
      <c r="H140" t="s">
        <v>18</v>
      </c>
    </row>
    <row r="141" spans="1:8" x14ac:dyDescent="0.25">
      <c r="A141" t="s">
        <v>270</v>
      </c>
      <c r="B141" t="s">
        <v>82</v>
      </c>
      <c r="C141" t="s">
        <v>13</v>
      </c>
      <c r="D141" s="1">
        <v>44660</v>
      </c>
      <c r="E141">
        <v>64925</v>
      </c>
      <c r="F141">
        <v>446</v>
      </c>
      <c r="G141">
        <v>0</v>
      </c>
    </row>
    <row r="142" spans="1:8" x14ac:dyDescent="0.25">
      <c r="A142" t="s">
        <v>271</v>
      </c>
      <c r="B142" t="s">
        <v>51</v>
      </c>
      <c r="C142" t="s">
        <v>10</v>
      </c>
      <c r="D142" s="1">
        <v>44184</v>
      </c>
      <c r="E142">
        <v>369360</v>
      </c>
      <c r="F142">
        <v>483</v>
      </c>
      <c r="G142">
        <v>8681</v>
      </c>
    </row>
    <row r="143" spans="1:8" x14ac:dyDescent="0.25">
      <c r="A143" t="s">
        <v>272</v>
      </c>
      <c r="B143" t="s">
        <v>273</v>
      </c>
      <c r="C143" t="s">
        <v>10</v>
      </c>
      <c r="D143" s="1">
        <v>43090</v>
      </c>
      <c r="E143">
        <v>70269</v>
      </c>
      <c r="F143">
        <v>327</v>
      </c>
      <c r="G143">
        <v>0</v>
      </c>
    </row>
    <row r="144" spans="1:8" x14ac:dyDescent="0.25">
      <c r="A144" t="s">
        <v>274</v>
      </c>
      <c r="B144" t="s">
        <v>132</v>
      </c>
      <c r="C144" t="s">
        <v>10</v>
      </c>
      <c r="D144" s="1">
        <v>43224</v>
      </c>
      <c r="E144">
        <v>424170</v>
      </c>
      <c r="F144">
        <v>849</v>
      </c>
      <c r="G144">
        <v>0</v>
      </c>
    </row>
    <row r="145" spans="1:8" x14ac:dyDescent="0.25">
      <c r="A145" t="s">
        <v>275</v>
      </c>
      <c r="B145" t="s">
        <v>221</v>
      </c>
      <c r="C145" t="s">
        <v>10</v>
      </c>
      <c r="D145" s="1">
        <v>45059</v>
      </c>
      <c r="E145">
        <v>489887</v>
      </c>
      <c r="F145">
        <v>418</v>
      </c>
      <c r="G145">
        <v>0</v>
      </c>
    </row>
    <row r="146" spans="1:8" x14ac:dyDescent="0.25">
      <c r="A146" t="s">
        <v>276</v>
      </c>
      <c r="B146" t="s">
        <v>277</v>
      </c>
      <c r="C146" t="s">
        <v>10</v>
      </c>
      <c r="D146" s="1">
        <v>45879</v>
      </c>
      <c r="E146">
        <v>465833</v>
      </c>
      <c r="F146">
        <v>592</v>
      </c>
      <c r="G146">
        <v>0</v>
      </c>
    </row>
    <row r="147" spans="1:8" x14ac:dyDescent="0.25">
      <c r="A147" t="s">
        <v>278</v>
      </c>
      <c r="B147" t="s">
        <v>279</v>
      </c>
      <c r="C147" t="s">
        <v>32</v>
      </c>
      <c r="D147" s="1">
        <v>44994</v>
      </c>
      <c r="E147">
        <v>303602</v>
      </c>
      <c r="F147">
        <v>670</v>
      </c>
      <c r="G147">
        <v>0</v>
      </c>
    </row>
    <row r="148" spans="1:8" x14ac:dyDescent="0.25">
      <c r="A148" t="s">
        <v>280</v>
      </c>
      <c r="B148" t="s">
        <v>281</v>
      </c>
      <c r="C148" t="s">
        <v>13</v>
      </c>
      <c r="D148" s="1">
        <v>43698</v>
      </c>
      <c r="E148">
        <v>351181</v>
      </c>
      <c r="F148">
        <v>543</v>
      </c>
      <c r="G148">
        <v>0</v>
      </c>
    </row>
    <row r="149" spans="1:8" x14ac:dyDescent="0.25">
      <c r="A149" t="s">
        <v>282</v>
      </c>
      <c r="B149" t="s">
        <v>283</v>
      </c>
      <c r="C149" t="s">
        <v>25</v>
      </c>
      <c r="D149" s="1">
        <v>43903</v>
      </c>
      <c r="E149">
        <v>152185</v>
      </c>
      <c r="F149">
        <v>517</v>
      </c>
      <c r="G149">
        <v>0</v>
      </c>
    </row>
    <row r="150" spans="1:8" x14ac:dyDescent="0.25">
      <c r="A150" t="s">
        <v>284</v>
      </c>
      <c r="B150" t="s">
        <v>285</v>
      </c>
      <c r="C150" t="s">
        <v>25</v>
      </c>
      <c r="D150" s="1">
        <v>42302</v>
      </c>
      <c r="E150">
        <v>99977</v>
      </c>
      <c r="F150">
        <v>476</v>
      </c>
      <c r="G150">
        <v>0</v>
      </c>
    </row>
    <row r="151" spans="1:8" x14ac:dyDescent="0.25">
      <c r="A151" t="s">
        <v>286</v>
      </c>
      <c r="B151" t="s">
        <v>287</v>
      </c>
      <c r="C151" t="s">
        <v>10</v>
      </c>
      <c r="D151" s="1">
        <v>44299</v>
      </c>
      <c r="E151">
        <v>483442</v>
      </c>
      <c r="F151">
        <v>598</v>
      </c>
      <c r="G151">
        <v>0</v>
      </c>
    </row>
    <row r="152" spans="1:8" x14ac:dyDescent="0.25">
      <c r="A152" t="s">
        <v>288</v>
      </c>
      <c r="B152" t="s">
        <v>289</v>
      </c>
      <c r="C152" t="s">
        <v>10</v>
      </c>
      <c r="D152" s="1">
        <v>43931</v>
      </c>
      <c r="E152">
        <v>306083</v>
      </c>
      <c r="F152">
        <v>357</v>
      </c>
      <c r="G152">
        <v>0</v>
      </c>
    </row>
    <row r="153" spans="1:8" x14ac:dyDescent="0.25">
      <c r="A153" t="s">
        <v>290</v>
      </c>
      <c r="B153" t="s">
        <v>291</v>
      </c>
      <c r="C153" t="s">
        <v>10</v>
      </c>
      <c r="D153" s="1">
        <v>44257</v>
      </c>
      <c r="E153">
        <v>29345</v>
      </c>
      <c r="F153">
        <v>568</v>
      </c>
      <c r="G153">
        <v>213886</v>
      </c>
    </row>
    <row r="154" spans="1:8" x14ac:dyDescent="0.25">
      <c r="A154" t="s">
        <v>292</v>
      </c>
      <c r="B154" t="s">
        <v>98</v>
      </c>
      <c r="C154" t="s">
        <v>10</v>
      </c>
      <c r="D154" s="1">
        <v>44820</v>
      </c>
      <c r="E154">
        <v>255688</v>
      </c>
      <c r="F154">
        <v>607</v>
      </c>
      <c r="G154">
        <v>0</v>
      </c>
    </row>
    <row r="155" spans="1:8" x14ac:dyDescent="0.25">
      <c r="A155" t="s">
        <v>293</v>
      </c>
      <c r="B155" t="s">
        <v>294</v>
      </c>
      <c r="C155" t="s">
        <v>25</v>
      </c>
      <c r="D155" s="1">
        <v>44895</v>
      </c>
      <c r="E155">
        <v>439529</v>
      </c>
      <c r="F155">
        <v>587</v>
      </c>
      <c r="G155">
        <v>0</v>
      </c>
    </row>
    <row r="156" spans="1:8" x14ac:dyDescent="0.25">
      <c r="A156" t="s">
        <v>295</v>
      </c>
      <c r="B156" t="s">
        <v>182</v>
      </c>
      <c r="C156" t="s">
        <v>10</v>
      </c>
      <c r="D156" s="1">
        <v>44134</v>
      </c>
      <c r="E156">
        <v>372251</v>
      </c>
      <c r="F156">
        <v>404</v>
      </c>
      <c r="G156">
        <v>170837</v>
      </c>
      <c r="H156" t="s">
        <v>18</v>
      </c>
    </row>
    <row r="157" spans="1:8" x14ac:dyDescent="0.25">
      <c r="A157" t="s">
        <v>296</v>
      </c>
      <c r="B157" t="s">
        <v>297</v>
      </c>
      <c r="C157" t="s">
        <v>32</v>
      </c>
      <c r="D157" s="1">
        <v>43906</v>
      </c>
      <c r="E157">
        <v>384010</v>
      </c>
      <c r="F157">
        <v>527</v>
      </c>
      <c r="G157">
        <v>0</v>
      </c>
    </row>
    <row r="158" spans="1:8" x14ac:dyDescent="0.25">
      <c r="A158" t="s">
        <v>298</v>
      </c>
      <c r="B158" t="s">
        <v>100</v>
      </c>
      <c r="C158" t="s">
        <v>13</v>
      </c>
      <c r="D158" s="1">
        <v>43354</v>
      </c>
      <c r="E158">
        <v>485581</v>
      </c>
      <c r="F158">
        <v>546</v>
      </c>
      <c r="G158">
        <v>0</v>
      </c>
    </row>
    <row r="159" spans="1:8" x14ac:dyDescent="0.25">
      <c r="A159" t="s">
        <v>299</v>
      </c>
      <c r="B159" t="s">
        <v>300</v>
      </c>
      <c r="C159" t="s">
        <v>13</v>
      </c>
      <c r="D159" s="1">
        <v>43858</v>
      </c>
      <c r="E159">
        <v>261798</v>
      </c>
      <c r="F159">
        <v>793</v>
      </c>
      <c r="G159">
        <v>0</v>
      </c>
      <c r="H159" t="s">
        <v>18</v>
      </c>
    </row>
    <row r="160" spans="1:8" x14ac:dyDescent="0.25">
      <c r="A160" t="s">
        <v>301</v>
      </c>
      <c r="B160" t="s">
        <v>302</v>
      </c>
      <c r="C160" t="s">
        <v>10</v>
      </c>
      <c r="D160" s="1">
        <v>43956</v>
      </c>
      <c r="E160">
        <v>493814</v>
      </c>
      <c r="F160">
        <v>382</v>
      </c>
      <c r="G160">
        <v>192646</v>
      </c>
    </row>
    <row r="161" spans="1:8" x14ac:dyDescent="0.25">
      <c r="A161" t="s">
        <v>303</v>
      </c>
      <c r="B161" t="s">
        <v>304</v>
      </c>
      <c r="C161" t="s">
        <v>13</v>
      </c>
      <c r="D161" s="1">
        <v>45218</v>
      </c>
      <c r="E161">
        <v>331310</v>
      </c>
      <c r="F161">
        <v>485</v>
      </c>
      <c r="G161">
        <v>0</v>
      </c>
    </row>
    <row r="162" spans="1:8" x14ac:dyDescent="0.25">
      <c r="A162" t="s">
        <v>305</v>
      </c>
      <c r="B162" t="s">
        <v>306</v>
      </c>
      <c r="C162" t="s">
        <v>13</v>
      </c>
      <c r="D162" s="1">
        <v>42822</v>
      </c>
      <c r="E162">
        <v>178933</v>
      </c>
      <c r="F162">
        <v>551</v>
      </c>
      <c r="G162">
        <v>0</v>
      </c>
    </row>
    <row r="163" spans="1:8" x14ac:dyDescent="0.25">
      <c r="A163" t="s">
        <v>307</v>
      </c>
      <c r="B163" t="s">
        <v>92</v>
      </c>
      <c r="C163" t="s">
        <v>13</v>
      </c>
      <c r="D163" s="1">
        <v>44193</v>
      </c>
      <c r="E163">
        <v>97406</v>
      </c>
      <c r="F163">
        <v>654</v>
      </c>
      <c r="G163">
        <v>0</v>
      </c>
    </row>
    <row r="164" spans="1:8" x14ac:dyDescent="0.25">
      <c r="A164" t="s">
        <v>308</v>
      </c>
      <c r="B164" t="s">
        <v>309</v>
      </c>
      <c r="C164" t="s">
        <v>13</v>
      </c>
      <c r="D164" s="1">
        <v>45523</v>
      </c>
      <c r="E164">
        <v>311442</v>
      </c>
      <c r="F164">
        <v>509</v>
      </c>
      <c r="G164">
        <v>0</v>
      </c>
    </row>
    <row r="165" spans="1:8" x14ac:dyDescent="0.25">
      <c r="A165" t="s">
        <v>310</v>
      </c>
      <c r="B165" t="s">
        <v>311</v>
      </c>
      <c r="C165" t="s">
        <v>13</v>
      </c>
      <c r="D165" s="1">
        <v>43705</v>
      </c>
      <c r="E165">
        <v>440437</v>
      </c>
      <c r="F165">
        <v>746</v>
      </c>
      <c r="G165">
        <v>499927</v>
      </c>
      <c r="H165" t="s">
        <v>39</v>
      </c>
    </row>
    <row r="166" spans="1:8" x14ac:dyDescent="0.25">
      <c r="A166" t="s">
        <v>312</v>
      </c>
      <c r="B166" t="s">
        <v>47</v>
      </c>
      <c r="C166" t="s">
        <v>32</v>
      </c>
      <c r="D166" s="1">
        <v>43936</v>
      </c>
      <c r="E166">
        <v>307086</v>
      </c>
      <c r="F166">
        <v>759</v>
      </c>
      <c r="G166">
        <v>0</v>
      </c>
    </row>
    <row r="167" spans="1:8" x14ac:dyDescent="0.25">
      <c r="A167" t="s">
        <v>313</v>
      </c>
      <c r="B167" t="s">
        <v>314</v>
      </c>
      <c r="C167" t="s">
        <v>13</v>
      </c>
      <c r="D167" s="1">
        <v>43726</v>
      </c>
      <c r="E167">
        <v>3453</v>
      </c>
      <c r="F167">
        <v>771</v>
      </c>
      <c r="G167">
        <v>176635</v>
      </c>
      <c r="H167" t="s">
        <v>59</v>
      </c>
    </row>
    <row r="168" spans="1:8" x14ac:dyDescent="0.25">
      <c r="A168" t="s">
        <v>315</v>
      </c>
      <c r="B168" t="s">
        <v>174</v>
      </c>
      <c r="C168" t="s">
        <v>25</v>
      </c>
      <c r="D168" s="1">
        <v>45572</v>
      </c>
      <c r="E168">
        <v>102811</v>
      </c>
      <c r="F168">
        <v>669</v>
      </c>
      <c r="G168">
        <v>0</v>
      </c>
      <c r="H168" t="s">
        <v>18</v>
      </c>
    </row>
    <row r="169" spans="1:8" x14ac:dyDescent="0.25">
      <c r="A169" t="s">
        <v>316</v>
      </c>
      <c r="B169" t="s">
        <v>152</v>
      </c>
      <c r="C169" t="s">
        <v>25</v>
      </c>
      <c r="D169" s="1">
        <v>44565</v>
      </c>
      <c r="E169">
        <v>54935</v>
      </c>
      <c r="F169">
        <v>791</v>
      </c>
      <c r="G169">
        <v>0</v>
      </c>
      <c r="H169" t="s">
        <v>59</v>
      </c>
    </row>
    <row r="170" spans="1:8" x14ac:dyDescent="0.25">
      <c r="A170" t="s">
        <v>317</v>
      </c>
      <c r="B170" t="s">
        <v>318</v>
      </c>
      <c r="C170" t="s">
        <v>32</v>
      </c>
      <c r="D170" s="1">
        <v>43983</v>
      </c>
      <c r="E170">
        <v>384583</v>
      </c>
      <c r="F170">
        <v>436</v>
      </c>
      <c r="G170">
        <v>0</v>
      </c>
    </row>
    <row r="171" spans="1:8" x14ac:dyDescent="0.25">
      <c r="A171" t="s">
        <v>319</v>
      </c>
      <c r="B171" t="s">
        <v>320</v>
      </c>
      <c r="C171" t="s">
        <v>13</v>
      </c>
      <c r="D171" s="1">
        <v>44907</v>
      </c>
      <c r="E171">
        <v>174442</v>
      </c>
      <c r="F171">
        <v>666</v>
      </c>
      <c r="G171">
        <v>397704</v>
      </c>
    </row>
    <row r="172" spans="1:8" x14ac:dyDescent="0.25">
      <c r="A172" t="s">
        <v>321</v>
      </c>
      <c r="B172" t="s">
        <v>322</v>
      </c>
      <c r="C172" t="s">
        <v>25</v>
      </c>
      <c r="D172" s="1">
        <v>44201</v>
      </c>
      <c r="E172">
        <v>497148</v>
      </c>
      <c r="F172">
        <v>483</v>
      </c>
      <c r="G172">
        <v>0</v>
      </c>
      <c r="H172" t="s">
        <v>59</v>
      </c>
    </row>
    <row r="173" spans="1:8" x14ac:dyDescent="0.25">
      <c r="A173" t="s">
        <v>323</v>
      </c>
      <c r="B173" t="s">
        <v>324</v>
      </c>
      <c r="C173" t="s">
        <v>10</v>
      </c>
      <c r="D173" s="1">
        <v>43235</v>
      </c>
      <c r="E173">
        <v>270472</v>
      </c>
      <c r="F173">
        <v>586</v>
      </c>
      <c r="G173">
        <v>204519</v>
      </c>
      <c r="H173" t="s">
        <v>18</v>
      </c>
    </row>
    <row r="174" spans="1:8" x14ac:dyDescent="0.25">
      <c r="A174" t="s">
        <v>325</v>
      </c>
      <c r="B174" t="s">
        <v>326</v>
      </c>
      <c r="C174" t="s">
        <v>10</v>
      </c>
      <c r="D174" s="1">
        <v>43423</v>
      </c>
      <c r="E174">
        <v>15534</v>
      </c>
      <c r="F174">
        <v>771</v>
      </c>
      <c r="G174">
        <v>0</v>
      </c>
    </row>
    <row r="175" spans="1:8" x14ac:dyDescent="0.25">
      <c r="A175" t="s">
        <v>327</v>
      </c>
      <c r="B175" t="s">
        <v>78</v>
      </c>
      <c r="C175" t="s">
        <v>10</v>
      </c>
      <c r="D175" s="1">
        <v>45000</v>
      </c>
      <c r="E175">
        <v>347424</v>
      </c>
      <c r="F175">
        <v>674</v>
      </c>
      <c r="G175">
        <v>0</v>
      </c>
      <c r="H175" t="s">
        <v>18</v>
      </c>
    </row>
    <row r="176" spans="1:8" x14ac:dyDescent="0.25">
      <c r="A176" t="s">
        <v>328</v>
      </c>
      <c r="B176" t="s">
        <v>329</v>
      </c>
      <c r="C176" t="s">
        <v>25</v>
      </c>
      <c r="D176" s="1">
        <v>43795</v>
      </c>
      <c r="E176">
        <v>478141</v>
      </c>
      <c r="F176">
        <v>836</v>
      </c>
      <c r="G176">
        <v>0</v>
      </c>
      <c r="H176" t="s">
        <v>18</v>
      </c>
    </row>
    <row r="177" spans="1:8" x14ac:dyDescent="0.25">
      <c r="A177" t="s">
        <v>330</v>
      </c>
      <c r="B177" t="s">
        <v>31</v>
      </c>
      <c r="C177" t="s">
        <v>13</v>
      </c>
      <c r="D177" s="1">
        <v>44383</v>
      </c>
      <c r="E177">
        <v>36320</v>
      </c>
      <c r="F177">
        <v>810</v>
      </c>
      <c r="G177">
        <v>0</v>
      </c>
      <c r="H177" t="s">
        <v>59</v>
      </c>
    </row>
    <row r="178" spans="1:8" x14ac:dyDescent="0.25">
      <c r="A178" t="s">
        <v>331</v>
      </c>
      <c r="B178" t="s">
        <v>285</v>
      </c>
      <c r="C178" t="s">
        <v>25</v>
      </c>
      <c r="D178" s="1">
        <v>44086</v>
      </c>
      <c r="E178">
        <v>49170</v>
      </c>
      <c r="F178">
        <v>549</v>
      </c>
      <c r="G178">
        <v>85730</v>
      </c>
    </row>
    <row r="179" spans="1:8" x14ac:dyDescent="0.25">
      <c r="A179" t="s">
        <v>332</v>
      </c>
      <c r="B179" t="s">
        <v>333</v>
      </c>
      <c r="C179" t="s">
        <v>10</v>
      </c>
      <c r="D179" s="1">
        <v>43992</v>
      </c>
      <c r="E179">
        <v>100546</v>
      </c>
      <c r="F179">
        <v>809</v>
      </c>
      <c r="G179">
        <v>0</v>
      </c>
    </row>
    <row r="180" spans="1:8" x14ac:dyDescent="0.25">
      <c r="A180" t="s">
        <v>334</v>
      </c>
      <c r="B180" t="s">
        <v>162</v>
      </c>
      <c r="C180" t="s">
        <v>25</v>
      </c>
      <c r="D180" s="1">
        <v>45378</v>
      </c>
      <c r="E180">
        <v>80201</v>
      </c>
      <c r="F180">
        <v>372</v>
      </c>
      <c r="G180">
        <v>242474</v>
      </c>
    </row>
    <row r="181" spans="1:8" x14ac:dyDescent="0.25">
      <c r="A181" t="s">
        <v>335</v>
      </c>
      <c r="B181" t="s">
        <v>336</v>
      </c>
      <c r="C181" t="s">
        <v>32</v>
      </c>
      <c r="D181" s="1">
        <v>42494</v>
      </c>
      <c r="E181">
        <v>234473</v>
      </c>
      <c r="F181">
        <v>581</v>
      </c>
      <c r="G181">
        <v>295477</v>
      </c>
    </row>
    <row r="182" spans="1:8" x14ac:dyDescent="0.25">
      <c r="A182" t="s">
        <v>337</v>
      </c>
      <c r="B182" t="s">
        <v>338</v>
      </c>
      <c r="C182" t="s">
        <v>13</v>
      </c>
      <c r="D182" s="1">
        <v>43493</v>
      </c>
      <c r="E182">
        <v>270784</v>
      </c>
      <c r="F182">
        <v>659</v>
      </c>
      <c r="G182">
        <v>0</v>
      </c>
    </row>
    <row r="183" spans="1:8" x14ac:dyDescent="0.25">
      <c r="A183" t="s">
        <v>339</v>
      </c>
      <c r="B183" t="s">
        <v>340</v>
      </c>
      <c r="C183" t="s">
        <v>32</v>
      </c>
      <c r="D183" s="1">
        <v>42318</v>
      </c>
      <c r="E183">
        <v>231324</v>
      </c>
      <c r="F183">
        <v>309</v>
      </c>
      <c r="G183">
        <v>381565</v>
      </c>
    </row>
    <row r="184" spans="1:8" x14ac:dyDescent="0.25">
      <c r="A184" t="s">
        <v>341</v>
      </c>
      <c r="B184" t="s">
        <v>168</v>
      </c>
      <c r="C184" t="s">
        <v>13</v>
      </c>
      <c r="D184" s="1">
        <v>43597</v>
      </c>
      <c r="E184">
        <v>484273</v>
      </c>
      <c r="F184">
        <v>510</v>
      </c>
      <c r="G184">
        <v>45870</v>
      </c>
    </row>
    <row r="185" spans="1:8" x14ac:dyDescent="0.25">
      <c r="A185" t="s">
        <v>342</v>
      </c>
      <c r="B185" t="s">
        <v>309</v>
      </c>
      <c r="C185" t="s">
        <v>13</v>
      </c>
      <c r="D185" s="1">
        <v>43047</v>
      </c>
      <c r="E185">
        <v>161121</v>
      </c>
      <c r="F185">
        <v>451</v>
      </c>
      <c r="G185">
        <v>0</v>
      </c>
    </row>
    <row r="186" spans="1:8" x14ac:dyDescent="0.25">
      <c r="A186" t="s">
        <v>343</v>
      </c>
      <c r="B186" t="s">
        <v>9</v>
      </c>
      <c r="C186" t="s">
        <v>13</v>
      </c>
      <c r="D186" s="1">
        <v>44094</v>
      </c>
      <c r="E186">
        <v>398834</v>
      </c>
      <c r="F186">
        <v>304</v>
      </c>
      <c r="G186">
        <v>0</v>
      </c>
    </row>
    <row r="187" spans="1:8" x14ac:dyDescent="0.25">
      <c r="A187" t="s">
        <v>344</v>
      </c>
      <c r="B187" t="s">
        <v>150</v>
      </c>
      <c r="C187" t="s">
        <v>13</v>
      </c>
      <c r="D187" s="1">
        <v>42948</v>
      </c>
      <c r="E187">
        <v>233612</v>
      </c>
      <c r="F187">
        <v>494</v>
      </c>
      <c r="G187">
        <v>338245</v>
      </c>
      <c r="H187" t="s">
        <v>59</v>
      </c>
    </row>
    <row r="188" spans="1:8" x14ac:dyDescent="0.25">
      <c r="A188" t="s">
        <v>345</v>
      </c>
      <c r="B188" t="s">
        <v>346</v>
      </c>
      <c r="C188" t="s">
        <v>10</v>
      </c>
      <c r="D188" s="1">
        <v>44347</v>
      </c>
      <c r="E188">
        <v>187125</v>
      </c>
      <c r="F188">
        <v>582</v>
      </c>
      <c r="G188">
        <v>0</v>
      </c>
    </row>
    <row r="189" spans="1:8" x14ac:dyDescent="0.25">
      <c r="A189" t="s">
        <v>347</v>
      </c>
      <c r="B189" t="s">
        <v>348</v>
      </c>
      <c r="C189" t="s">
        <v>13</v>
      </c>
      <c r="D189" s="1">
        <v>45200</v>
      </c>
      <c r="E189">
        <v>395136</v>
      </c>
      <c r="F189">
        <v>763</v>
      </c>
      <c r="G189">
        <v>0</v>
      </c>
    </row>
    <row r="190" spans="1:8" x14ac:dyDescent="0.25">
      <c r="A190" t="s">
        <v>349</v>
      </c>
      <c r="B190" t="s">
        <v>350</v>
      </c>
      <c r="C190" t="s">
        <v>13</v>
      </c>
      <c r="D190" s="1">
        <v>44155</v>
      </c>
      <c r="E190">
        <v>306081</v>
      </c>
      <c r="F190">
        <v>412</v>
      </c>
      <c r="G190">
        <v>0</v>
      </c>
    </row>
    <row r="191" spans="1:8" x14ac:dyDescent="0.25">
      <c r="A191" t="s">
        <v>351</v>
      </c>
      <c r="B191" t="s">
        <v>324</v>
      </c>
      <c r="C191" t="s">
        <v>32</v>
      </c>
      <c r="D191" s="1">
        <v>43432</v>
      </c>
      <c r="E191">
        <v>200796</v>
      </c>
      <c r="F191">
        <v>570</v>
      </c>
      <c r="G191">
        <v>0</v>
      </c>
    </row>
    <row r="192" spans="1:8" x14ac:dyDescent="0.25">
      <c r="A192" t="s">
        <v>352</v>
      </c>
      <c r="B192" t="s">
        <v>353</v>
      </c>
      <c r="C192" t="s">
        <v>25</v>
      </c>
      <c r="D192" s="1">
        <v>43266</v>
      </c>
      <c r="E192">
        <v>143279</v>
      </c>
      <c r="F192">
        <v>462</v>
      </c>
      <c r="G192">
        <v>210232</v>
      </c>
    </row>
    <row r="193" spans="1:8" x14ac:dyDescent="0.25">
      <c r="A193" t="s">
        <v>354</v>
      </c>
      <c r="B193" t="s">
        <v>355</v>
      </c>
      <c r="C193" t="s">
        <v>25</v>
      </c>
      <c r="D193" s="1">
        <v>44292</v>
      </c>
      <c r="E193">
        <v>196846</v>
      </c>
      <c r="F193">
        <v>759</v>
      </c>
      <c r="G193">
        <v>0</v>
      </c>
      <c r="H193" t="s">
        <v>18</v>
      </c>
    </row>
    <row r="194" spans="1:8" x14ac:dyDescent="0.25">
      <c r="A194" t="s">
        <v>356</v>
      </c>
      <c r="B194" t="s">
        <v>357</v>
      </c>
      <c r="C194" t="s">
        <v>25</v>
      </c>
      <c r="D194" s="1">
        <v>42417</v>
      </c>
      <c r="E194">
        <v>164044</v>
      </c>
      <c r="F194">
        <v>404</v>
      </c>
      <c r="G194">
        <v>0</v>
      </c>
    </row>
    <row r="195" spans="1:8" x14ac:dyDescent="0.25">
      <c r="A195" t="s">
        <v>358</v>
      </c>
      <c r="B195" t="s">
        <v>84</v>
      </c>
      <c r="C195" t="s">
        <v>25</v>
      </c>
      <c r="D195" s="1">
        <v>44176</v>
      </c>
      <c r="E195">
        <v>404015</v>
      </c>
      <c r="F195">
        <v>581</v>
      </c>
      <c r="G195">
        <v>0</v>
      </c>
    </row>
    <row r="196" spans="1:8" x14ac:dyDescent="0.25">
      <c r="A196" t="s">
        <v>359</v>
      </c>
      <c r="B196" t="s">
        <v>289</v>
      </c>
      <c r="C196" t="s">
        <v>13</v>
      </c>
      <c r="D196" s="1">
        <v>44739</v>
      </c>
      <c r="E196">
        <v>202160</v>
      </c>
      <c r="F196">
        <v>461</v>
      </c>
      <c r="G196">
        <v>0</v>
      </c>
    </row>
    <row r="197" spans="1:8" x14ac:dyDescent="0.25">
      <c r="A197" t="s">
        <v>360</v>
      </c>
      <c r="B197" t="s">
        <v>36</v>
      </c>
      <c r="C197" t="s">
        <v>13</v>
      </c>
      <c r="D197" s="1">
        <v>42688</v>
      </c>
      <c r="E197">
        <v>422132</v>
      </c>
      <c r="F197">
        <v>650</v>
      </c>
      <c r="G197">
        <v>0</v>
      </c>
    </row>
    <row r="198" spans="1:8" x14ac:dyDescent="0.25">
      <c r="A198" t="s">
        <v>361</v>
      </c>
      <c r="B198" t="s">
        <v>287</v>
      </c>
      <c r="C198" t="s">
        <v>25</v>
      </c>
      <c r="D198" s="1">
        <v>43513</v>
      </c>
      <c r="E198">
        <v>70463</v>
      </c>
      <c r="F198">
        <v>733</v>
      </c>
      <c r="G198">
        <v>0</v>
      </c>
    </row>
    <row r="199" spans="1:8" x14ac:dyDescent="0.25">
      <c r="A199" t="s">
        <v>362</v>
      </c>
      <c r="B199" t="s">
        <v>363</v>
      </c>
      <c r="C199" t="s">
        <v>13</v>
      </c>
      <c r="D199" s="1">
        <v>44622</v>
      </c>
      <c r="E199">
        <v>93500</v>
      </c>
      <c r="F199">
        <v>439</v>
      </c>
      <c r="G199">
        <v>0</v>
      </c>
    </row>
    <row r="200" spans="1:8" x14ac:dyDescent="0.25">
      <c r="A200" t="s">
        <v>364</v>
      </c>
      <c r="B200" t="s">
        <v>365</v>
      </c>
      <c r="C200" t="s">
        <v>10</v>
      </c>
      <c r="D200" s="1">
        <v>43754</v>
      </c>
      <c r="E200">
        <v>207772</v>
      </c>
      <c r="F200">
        <v>770</v>
      </c>
      <c r="G200">
        <v>0</v>
      </c>
    </row>
    <row r="201" spans="1:8" x14ac:dyDescent="0.25">
      <c r="A201" t="s">
        <v>366</v>
      </c>
      <c r="B201" t="s">
        <v>367</v>
      </c>
      <c r="C201" t="s">
        <v>13</v>
      </c>
      <c r="D201" s="1">
        <v>44662</v>
      </c>
      <c r="E201">
        <v>37158</v>
      </c>
      <c r="F201">
        <v>431</v>
      </c>
      <c r="G201">
        <v>382078</v>
      </c>
      <c r="H201" t="s">
        <v>59</v>
      </c>
    </row>
    <row r="202" spans="1:8" x14ac:dyDescent="0.25">
      <c r="A202" t="s">
        <v>368</v>
      </c>
      <c r="B202" t="s">
        <v>369</v>
      </c>
      <c r="C202" t="s">
        <v>13</v>
      </c>
      <c r="D202" s="1">
        <v>43603</v>
      </c>
      <c r="E202">
        <v>84607</v>
      </c>
      <c r="F202">
        <v>386</v>
      </c>
      <c r="G202">
        <v>138501</v>
      </c>
    </row>
    <row r="203" spans="1:8" x14ac:dyDescent="0.25">
      <c r="A203" t="s">
        <v>370</v>
      </c>
      <c r="B203" t="s">
        <v>371</v>
      </c>
      <c r="C203" t="s">
        <v>10</v>
      </c>
      <c r="D203" s="1">
        <v>44322</v>
      </c>
      <c r="E203">
        <v>381783</v>
      </c>
      <c r="F203">
        <v>482</v>
      </c>
      <c r="G203">
        <v>0</v>
      </c>
    </row>
    <row r="204" spans="1:8" x14ac:dyDescent="0.25">
      <c r="A204" t="s">
        <v>372</v>
      </c>
      <c r="B204" t="s">
        <v>373</v>
      </c>
      <c r="C204" t="s">
        <v>10</v>
      </c>
      <c r="D204" s="1">
        <v>42841</v>
      </c>
      <c r="E204">
        <v>245017</v>
      </c>
      <c r="F204">
        <v>667</v>
      </c>
      <c r="G204">
        <v>0</v>
      </c>
    </row>
    <row r="205" spans="1:8" x14ac:dyDescent="0.25">
      <c r="A205" t="s">
        <v>374</v>
      </c>
      <c r="B205" t="s">
        <v>22</v>
      </c>
      <c r="C205" t="s">
        <v>10</v>
      </c>
      <c r="D205" s="1">
        <v>45602</v>
      </c>
      <c r="E205">
        <v>333840</v>
      </c>
      <c r="F205">
        <v>428</v>
      </c>
      <c r="G205">
        <v>0</v>
      </c>
    </row>
    <row r="206" spans="1:8" x14ac:dyDescent="0.25">
      <c r="A206" t="s">
        <v>375</v>
      </c>
      <c r="B206" t="s">
        <v>122</v>
      </c>
      <c r="C206" t="s">
        <v>10</v>
      </c>
      <c r="D206" s="1">
        <v>44544</v>
      </c>
      <c r="E206">
        <v>323654</v>
      </c>
      <c r="F206">
        <v>545</v>
      </c>
      <c r="G206">
        <v>0</v>
      </c>
    </row>
    <row r="207" spans="1:8" x14ac:dyDescent="0.25">
      <c r="A207" t="s">
        <v>376</v>
      </c>
      <c r="B207" t="s">
        <v>122</v>
      </c>
      <c r="C207" t="s">
        <v>13</v>
      </c>
      <c r="D207" s="1">
        <v>43513</v>
      </c>
      <c r="E207">
        <v>120076</v>
      </c>
      <c r="F207">
        <v>677</v>
      </c>
      <c r="G207">
        <v>0</v>
      </c>
    </row>
    <row r="208" spans="1:8" x14ac:dyDescent="0.25">
      <c r="A208" t="s">
        <v>377</v>
      </c>
      <c r="B208" t="s">
        <v>378</v>
      </c>
      <c r="C208" t="s">
        <v>13</v>
      </c>
      <c r="D208" s="1">
        <v>45855</v>
      </c>
      <c r="E208">
        <v>58692</v>
      </c>
      <c r="F208">
        <v>448</v>
      </c>
      <c r="G208">
        <v>204215</v>
      </c>
    </row>
    <row r="209" spans="1:8" x14ac:dyDescent="0.25">
      <c r="A209" t="s">
        <v>379</v>
      </c>
      <c r="B209" t="s">
        <v>380</v>
      </c>
      <c r="C209" t="s">
        <v>25</v>
      </c>
      <c r="D209" s="1">
        <v>43587</v>
      </c>
      <c r="E209">
        <v>130841</v>
      </c>
      <c r="F209">
        <v>732</v>
      </c>
      <c r="G209">
        <v>0</v>
      </c>
    </row>
    <row r="210" spans="1:8" x14ac:dyDescent="0.25">
      <c r="A210" t="s">
        <v>381</v>
      </c>
      <c r="B210" t="s">
        <v>382</v>
      </c>
      <c r="C210" t="s">
        <v>10</v>
      </c>
      <c r="D210" s="1">
        <v>42633</v>
      </c>
      <c r="E210">
        <v>192816</v>
      </c>
      <c r="F210">
        <v>768</v>
      </c>
      <c r="G210">
        <v>371378</v>
      </c>
    </row>
    <row r="211" spans="1:8" x14ac:dyDescent="0.25">
      <c r="A211" t="s">
        <v>383</v>
      </c>
      <c r="B211" t="s">
        <v>384</v>
      </c>
      <c r="C211" t="s">
        <v>13</v>
      </c>
      <c r="D211" s="1">
        <v>43962</v>
      </c>
      <c r="E211">
        <v>277954</v>
      </c>
      <c r="F211">
        <v>745</v>
      </c>
      <c r="G211">
        <v>0</v>
      </c>
    </row>
    <row r="212" spans="1:8" x14ac:dyDescent="0.25">
      <c r="A212" t="s">
        <v>385</v>
      </c>
      <c r="B212" t="s">
        <v>386</v>
      </c>
      <c r="C212" t="s">
        <v>25</v>
      </c>
      <c r="D212" s="1">
        <v>45782</v>
      </c>
      <c r="E212">
        <v>398342</v>
      </c>
      <c r="F212">
        <v>780</v>
      </c>
      <c r="G212">
        <v>0</v>
      </c>
      <c r="H212" t="s">
        <v>18</v>
      </c>
    </row>
    <row r="213" spans="1:8" x14ac:dyDescent="0.25">
      <c r="A213" t="s">
        <v>387</v>
      </c>
      <c r="B213" t="s">
        <v>388</v>
      </c>
      <c r="C213" t="s">
        <v>13</v>
      </c>
      <c r="D213" s="1">
        <v>43801</v>
      </c>
      <c r="E213">
        <v>161081</v>
      </c>
      <c r="F213">
        <v>593</v>
      </c>
      <c r="G213">
        <v>0</v>
      </c>
    </row>
    <row r="214" spans="1:8" x14ac:dyDescent="0.25">
      <c r="A214" t="s">
        <v>389</v>
      </c>
      <c r="B214" t="s">
        <v>369</v>
      </c>
      <c r="C214" t="s">
        <v>10</v>
      </c>
      <c r="D214" s="1">
        <v>45661</v>
      </c>
      <c r="E214">
        <v>492336</v>
      </c>
      <c r="F214">
        <v>442</v>
      </c>
      <c r="G214">
        <v>0</v>
      </c>
    </row>
    <row r="215" spans="1:8" x14ac:dyDescent="0.25">
      <c r="A215" t="s">
        <v>390</v>
      </c>
      <c r="B215" t="s">
        <v>391</v>
      </c>
      <c r="C215" t="s">
        <v>13</v>
      </c>
      <c r="D215" s="1">
        <v>43431</v>
      </c>
      <c r="E215">
        <v>111718</v>
      </c>
      <c r="F215">
        <v>549</v>
      </c>
      <c r="G215">
        <v>429315</v>
      </c>
    </row>
    <row r="216" spans="1:8" x14ac:dyDescent="0.25">
      <c r="A216" t="s">
        <v>392</v>
      </c>
      <c r="B216" t="s">
        <v>393</v>
      </c>
      <c r="C216" t="s">
        <v>25</v>
      </c>
      <c r="D216" s="1">
        <v>43732</v>
      </c>
      <c r="E216">
        <v>353076</v>
      </c>
      <c r="F216">
        <v>601</v>
      </c>
      <c r="G216">
        <v>0</v>
      </c>
      <c r="H216" t="s">
        <v>59</v>
      </c>
    </row>
    <row r="217" spans="1:8" x14ac:dyDescent="0.25">
      <c r="A217" t="s">
        <v>394</v>
      </c>
      <c r="B217" t="s">
        <v>395</v>
      </c>
      <c r="C217" t="s">
        <v>10</v>
      </c>
      <c r="D217" s="1">
        <v>44653</v>
      </c>
      <c r="E217">
        <v>192</v>
      </c>
      <c r="F217">
        <v>324</v>
      </c>
      <c r="G217">
        <v>0</v>
      </c>
    </row>
    <row r="218" spans="1:8" x14ac:dyDescent="0.25">
      <c r="A218" t="s">
        <v>396</v>
      </c>
      <c r="B218" t="s">
        <v>397</v>
      </c>
      <c r="C218" t="s">
        <v>13</v>
      </c>
      <c r="D218" s="1">
        <v>43736</v>
      </c>
      <c r="E218">
        <v>247536</v>
      </c>
      <c r="F218">
        <v>369</v>
      </c>
      <c r="G218">
        <v>0</v>
      </c>
    </row>
    <row r="219" spans="1:8" x14ac:dyDescent="0.25">
      <c r="A219" t="s">
        <v>398</v>
      </c>
      <c r="B219" t="s">
        <v>399</v>
      </c>
      <c r="C219" t="s">
        <v>25</v>
      </c>
      <c r="D219" s="1">
        <v>42559</v>
      </c>
      <c r="E219">
        <v>36413</v>
      </c>
      <c r="F219">
        <v>411</v>
      </c>
      <c r="G219">
        <v>0</v>
      </c>
    </row>
    <row r="220" spans="1:8" x14ac:dyDescent="0.25">
      <c r="A220" t="s">
        <v>400</v>
      </c>
      <c r="B220" t="s">
        <v>88</v>
      </c>
      <c r="C220" t="s">
        <v>10</v>
      </c>
      <c r="D220" s="1">
        <v>45547</v>
      </c>
      <c r="E220">
        <v>143888</v>
      </c>
      <c r="F220">
        <v>663</v>
      </c>
      <c r="G220">
        <v>0</v>
      </c>
    </row>
    <row r="221" spans="1:8" x14ac:dyDescent="0.25">
      <c r="A221" t="s">
        <v>401</v>
      </c>
      <c r="B221" t="s">
        <v>395</v>
      </c>
      <c r="C221" t="s">
        <v>13</v>
      </c>
      <c r="D221" s="1">
        <v>45614</v>
      </c>
      <c r="E221">
        <v>39082</v>
      </c>
      <c r="F221">
        <v>602</v>
      </c>
      <c r="G221">
        <v>0</v>
      </c>
    </row>
    <row r="222" spans="1:8" x14ac:dyDescent="0.25">
      <c r="A222" t="s">
        <v>402</v>
      </c>
      <c r="B222" t="s">
        <v>403</v>
      </c>
      <c r="C222" t="s">
        <v>13</v>
      </c>
      <c r="D222" s="1">
        <v>42337</v>
      </c>
      <c r="E222">
        <v>327192</v>
      </c>
      <c r="F222">
        <v>770</v>
      </c>
      <c r="G222">
        <v>0</v>
      </c>
    </row>
    <row r="223" spans="1:8" x14ac:dyDescent="0.25">
      <c r="A223" t="s">
        <v>404</v>
      </c>
      <c r="B223" t="s">
        <v>405</v>
      </c>
      <c r="C223" t="s">
        <v>13</v>
      </c>
      <c r="D223" s="1">
        <v>43059</v>
      </c>
      <c r="E223">
        <v>123130</v>
      </c>
      <c r="F223">
        <v>390</v>
      </c>
      <c r="G223">
        <v>0</v>
      </c>
      <c r="H223" t="s">
        <v>59</v>
      </c>
    </row>
    <row r="224" spans="1:8" x14ac:dyDescent="0.25">
      <c r="A224" t="s">
        <v>406</v>
      </c>
      <c r="B224" t="s">
        <v>350</v>
      </c>
      <c r="C224" t="s">
        <v>13</v>
      </c>
      <c r="D224" s="1">
        <v>42891</v>
      </c>
      <c r="E224">
        <v>50940</v>
      </c>
      <c r="F224">
        <v>829</v>
      </c>
      <c r="G224">
        <v>0</v>
      </c>
    </row>
    <row r="225" spans="1:8" x14ac:dyDescent="0.25">
      <c r="A225" t="s">
        <v>407</v>
      </c>
      <c r="B225" t="s">
        <v>408</v>
      </c>
      <c r="C225" t="s">
        <v>10</v>
      </c>
      <c r="D225" s="1">
        <v>42503</v>
      </c>
      <c r="E225">
        <v>163202</v>
      </c>
      <c r="F225">
        <v>491</v>
      </c>
      <c r="G225">
        <v>0</v>
      </c>
    </row>
    <row r="226" spans="1:8" x14ac:dyDescent="0.25">
      <c r="A226" t="s">
        <v>409</v>
      </c>
      <c r="B226" t="s">
        <v>410</v>
      </c>
      <c r="C226" t="s">
        <v>25</v>
      </c>
      <c r="D226" s="1">
        <v>44739</v>
      </c>
      <c r="E226">
        <v>40142</v>
      </c>
      <c r="F226">
        <v>541</v>
      </c>
      <c r="G226">
        <v>0</v>
      </c>
      <c r="H226" t="s">
        <v>59</v>
      </c>
    </row>
    <row r="227" spans="1:8" x14ac:dyDescent="0.25">
      <c r="A227" t="s">
        <v>411</v>
      </c>
      <c r="B227" t="s">
        <v>412</v>
      </c>
      <c r="C227" t="s">
        <v>10</v>
      </c>
      <c r="D227" s="1">
        <v>42645</v>
      </c>
      <c r="E227">
        <v>36468</v>
      </c>
      <c r="F227">
        <v>437</v>
      </c>
      <c r="G227">
        <v>0</v>
      </c>
    </row>
    <row r="228" spans="1:8" x14ac:dyDescent="0.25">
      <c r="A228" t="s">
        <v>413</v>
      </c>
      <c r="B228" t="s">
        <v>414</v>
      </c>
      <c r="C228" t="s">
        <v>13</v>
      </c>
      <c r="D228" s="1">
        <v>42526</v>
      </c>
      <c r="E228">
        <v>423914</v>
      </c>
      <c r="F228">
        <v>644</v>
      </c>
      <c r="G228">
        <v>0</v>
      </c>
    </row>
    <row r="229" spans="1:8" x14ac:dyDescent="0.25">
      <c r="A229" t="s">
        <v>415</v>
      </c>
      <c r="B229" t="s">
        <v>217</v>
      </c>
      <c r="C229" t="s">
        <v>13</v>
      </c>
      <c r="D229" s="1">
        <v>45618</v>
      </c>
      <c r="E229">
        <v>141727</v>
      </c>
      <c r="F229">
        <v>479</v>
      </c>
      <c r="G229">
        <v>0</v>
      </c>
    </row>
    <row r="230" spans="1:8" x14ac:dyDescent="0.25">
      <c r="A230" t="s">
        <v>416</v>
      </c>
      <c r="B230" t="s">
        <v>417</v>
      </c>
      <c r="C230" t="s">
        <v>13</v>
      </c>
      <c r="D230" s="1">
        <v>44996</v>
      </c>
      <c r="E230">
        <v>178969</v>
      </c>
      <c r="F230">
        <v>802</v>
      </c>
      <c r="G230">
        <v>102493</v>
      </c>
    </row>
    <row r="231" spans="1:8" x14ac:dyDescent="0.25">
      <c r="A231" t="s">
        <v>418</v>
      </c>
      <c r="B231" t="s">
        <v>405</v>
      </c>
      <c r="C231" t="s">
        <v>10</v>
      </c>
      <c r="D231" s="1">
        <v>43399</v>
      </c>
      <c r="E231">
        <v>423291</v>
      </c>
      <c r="F231">
        <v>502</v>
      </c>
      <c r="G231">
        <v>0</v>
      </c>
    </row>
    <row r="232" spans="1:8" x14ac:dyDescent="0.25">
      <c r="A232" t="s">
        <v>419</v>
      </c>
      <c r="B232" t="s">
        <v>395</v>
      </c>
      <c r="C232" t="s">
        <v>25</v>
      </c>
      <c r="D232" s="1">
        <v>45105</v>
      </c>
      <c r="E232">
        <v>402575</v>
      </c>
      <c r="F232">
        <v>491</v>
      </c>
      <c r="G232">
        <v>0</v>
      </c>
      <c r="H232" t="s">
        <v>18</v>
      </c>
    </row>
    <row r="233" spans="1:8" x14ac:dyDescent="0.25">
      <c r="A233" t="s">
        <v>420</v>
      </c>
      <c r="B233" t="s">
        <v>421</v>
      </c>
      <c r="C233" t="s">
        <v>13</v>
      </c>
      <c r="D233" s="1">
        <v>45431</v>
      </c>
      <c r="E233">
        <v>391192</v>
      </c>
      <c r="F233">
        <v>304</v>
      </c>
      <c r="G233">
        <v>196480</v>
      </c>
      <c r="H233" t="s">
        <v>59</v>
      </c>
    </row>
    <row r="234" spans="1:8" x14ac:dyDescent="0.25">
      <c r="A234" t="s">
        <v>422</v>
      </c>
      <c r="B234" t="s">
        <v>423</v>
      </c>
      <c r="C234" t="s">
        <v>25</v>
      </c>
      <c r="D234" s="1">
        <v>43354</v>
      </c>
      <c r="E234">
        <v>495413</v>
      </c>
      <c r="F234">
        <v>536</v>
      </c>
      <c r="G234">
        <v>0</v>
      </c>
    </row>
    <row r="235" spans="1:8" x14ac:dyDescent="0.25">
      <c r="A235" t="s">
        <v>424</v>
      </c>
      <c r="B235" t="s">
        <v>425</v>
      </c>
      <c r="C235" t="s">
        <v>25</v>
      </c>
      <c r="D235" s="1">
        <v>45520</v>
      </c>
      <c r="E235">
        <v>236187</v>
      </c>
      <c r="F235">
        <v>610</v>
      </c>
      <c r="G235">
        <v>0</v>
      </c>
    </row>
    <row r="236" spans="1:8" x14ac:dyDescent="0.25">
      <c r="A236" t="s">
        <v>426</v>
      </c>
      <c r="B236" t="s">
        <v>427</v>
      </c>
      <c r="C236" t="s">
        <v>10</v>
      </c>
      <c r="D236" s="1">
        <v>45108</v>
      </c>
      <c r="E236">
        <v>42056</v>
      </c>
      <c r="F236">
        <v>848</v>
      </c>
      <c r="G236">
        <v>436739</v>
      </c>
    </row>
    <row r="237" spans="1:8" x14ac:dyDescent="0.25">
      <c r="A237" t="s">
        <v>428</v>
      </c>
      <c r="B237" t="s">
        <v>429</v>
      </c>
      <c r="C237" t="s">
        <v>25</v>
      </c>
      <c r="D237" s="1">
        <v>45453</v>
      </c>
      <c r="E237">
        <v>51831</v>
      </c>
      <c r="F237">
        <v>355</v>
      </c>
      <c r="G237">
        <v>126648</v>
      </c>
    </row>
    <row r="238" spans="1:8" x14ac:dyDescent="0.25">
      <c r="A238" t="s">
        <v>430</v>
      </c>
      <c r="B238" t="s">
        <v>369</v>
      </c>
      <c r="C238" t="s">
        <v>10</v>
      </c>
      <c r="D238" s="1">
        <v>44692</v>
      </c>
      <c r="E238">
        <v>321335</v>
      </c>
      <c r="F238">
        <v>742</v>
      </c>
      <c r="G238">
        <v>292307</v>
      </c>
    </row>
    <row r="239" spans="1:8" x14ac:dyDescent="0.25">
      <c r="A239" t="s">
        <v>431</v>
      </c>
      <c r="B239" t="s">
        <v>27</v>
      </c>
      <c r="C239" t="s">
        <v>10</v>
      </c>
      <c r="D239" s="1">
        <v>42353</v>
      </c>
      <c r="E239">
        <v>249664</v>
      </c>
      <c r="F239">
        <v>536</v>
      </c>
      <c r="G239">
        <v>0</v>
      </c>
    </row>
    <row r="240" spans="1:8" x14ac:dyDescent="0.25">
      <c r="A240" t="s">
        <v>432</v>
      </c>
      <c r="B240" t="s">
        <v>433</v>
      </c>
      <c r="C240" t="s">
        <v>10</v>
      </c>
      <c r="D240" s="1">
        <v>44082</v>
      </c>
      <c r="E240">
        <v>384092</v>
      </c>
      <c r="F240">
        <v>496</v>
      </c>
      <c r="G240">
        <v>92508</v>
      </c>
    </row>
    <row r="241" spans="1:8" x14ac:dyDescent="0.25">
      <c r="A241" t="s">
        <v>434</v>
      </c>
      <c r="B241" t="s">
        <v>435</v>
      </c>
      <c r="C241" t="s">
        <v>10</v>
      </c>
      <c r="D241" s="1">
        <v>45391</v>
      </c>
      <c r="E241">
        <v>426488</v>
      </c>
      <c r="F241">
        <v>813</v>
      </c>
      <c r="G241">
        <v>0</v>
      </c>
    </row>
    <row r="242" spans="1:8" x14ac:dyDescent="0.25">
      <c r="A242" t="s">
        <v>436</v>
      </c>
      <c r="B242" t="s">
        <v>437</v>
      </c>
      <c r="C242" t="s">
        <v>13</v>
      </c>
      <c r="D242" s="1">
        <v>44259</v>
      </c>
      <c r="E242">
        <v>108117</v>
      </c>
      <c r="F242">
        <v>748</v>
      </c>
      <c r="G242">
        <v>0</v>
      </c>
    </row>
    <row r="243" spans="1:8" x14ac:dyDescent="0.25">
      <c r="A243" t="s">
        <v>438</v>
      </c>
      <c r="B243" t="s">
        <v>439</v>
      </c>
      <c r="C243" t="s">
        <v>13</v>
      </c>
      <c r="D243" s="1">
        <v>42575</v>
      </c>
      <c r="E243">
        <v>276815</v>
      </c>
      <c r="F243">
        <v>659</v>
      </c>
      <c r="G243">
        <v>0</v>
      </c>
    </row>
    <row r="244" spans="1:8" x14ac:dyDescent="0.25">
      <c r="A244" t="s">
        <v>440</v>
      </c>
      <c r="B244" t="s">
        <v>441</v>
      </c>
      <c r="C244" t="s">
        <v>13</v>
      </c>
      <c r="D244" s="1">
        <v>43055</v>
      </c>
      <c r="E244">
        <v>289192</v>
      </c>
      <c r="F244">
        <v>329</v>
      </c>
      <c r="G244">
        <v>0</v>
      </c>
    </row>
    <row r="245" spans="1:8" x14ac:dyDescent="0.25">
      <c r="A245" t="s">
        <v>442</v>
      </c>
      <c r="B245" t="s">
        <v>443</v>
      </c>
      <c r="C245" t="s">
        <v>10</v>
      </c>
      <c r="D245" s="1">
        <v>43320</v>
      </c>
      <c r="E245">
        <v>469490</v>
      </c>
      <c r="F245">
        <v>407</v>
      </c>
      <c r="G245">
        <v>69926</v>
      </c>
      <c r="H245" t="s">
        <v>18</v>
      </c>
    </row>
    <row r="246" spans="1:8" x14ac:dyDescent="0.25">
      <c r="A246" t="s">
        <v>444</v>
      </c>
      <c r="B246" t="s">
        <v>124</v>
      </c>
      <c r="C246" t="s">
        <v>13</v>
      </c>
      <c r="D246" s="1">
        <v>43218</v>
      </c>
      <c r="E246">
        <v>288107</v>
      </c>
      <c r="F246">
        <v>744</v>
      </c>
      <c r="G246">
        <v>0</v>
      </c>
    </row>
    <row r="247" spans="1:8" x14ac:dyDescent="0.25">
      <c r="A247" t="s">
        <v>445</v>
      </c>
      <c r="B247" t="s">
        <v>446</v>
      </c>
      <c r="C247" t="s">
        <v>32</v>
      </c>
      <c r="D247" s="1">
        <v>44104</v>
      </c>
      <c r="E247">
        <v>43954</v>
      </c>
      <c r="F247">
        <v>737</v>
      </c>
      <c r="G247">
        <v>0</v>
      </c>
    </row>
    <row r="248" spans="1:8" x14ac:dyDescent="0.25">
      <c r="A248" t="s">
        <v>447</v>
      </c>
      <c r="B248" t="s">
        <v>43</v>
      </c>
      <c r="C248" t="s">
        <v>25</v>
      </c>
      <c r="D248" s="1">
        <v>42655</v>
      </c>
      <c r="E248">
        <v>465525</v>
      </c>
      <c r="F248">
        <v>756</v>
      </c>
      <c r="G248">
        <v>0</v>
      </c>
      <c r="H248" t="s">
        <v>39</v>
      </c>
    </row>
    <row r="249" spans="1:8" x14ac:dyDescent="0.25">
      <c r="A249" t="s">
        <v>448</v>
      </c>
      <c r="B249" t="s">
        <v>449</v>
      </c>
      <c r="C249" t="s">
        <v>10</v>
      </c>
      <c r="D249" s="1">
        <v>43567</v>
      </c>
      <c r="E249">
        <v>233192</v>
      </c>
      <c r="F249">
        <v>794</v>
      </c>
      <c r="G249">
        <v>0</v>
      </c>
    </row>
    <row r="250" spans="1:8" x14ac:dyDescent="0.25">
      <c r="A250" t="s">
        <v>450</v>
      </c>
      <c r="B250" t="s">
        <v>12</v>
      </c>
      <c r="C250" t="s">
        <v>13</v>
      </c>
      <c r="D250" s="1">
        <v>42662</v>
      </c>
      <c r="E250">
        <v>357574</v>
      </c>
      <c r="F250">
        <v>546</v>
      </c>
      <c r="G250">
        <v>0</v>
      </c>
      <c r="H250" t="s">
        <v>39</v>
      </c>
    </row>
    <row r="251" spans="1:8" x14ac:dyDescent="0.25">
      <c r="A251" t="s">
        <v>451</v>
      </c>
      <c r="B251" t="s">
        <v>172</v>
      </c>
      <c r="C251" t="s">
        <v>25</v>
      </c>
      <c r="D251" s="1">
        <v>44785</v>
      </c>
      <c r="E251">
        <v>717</v>
      </c>
      <c r="F251">
        <v>842</v>
      </c>
      <c r="G251">
        <v>197718</v>
      </c>
    </row>
    <row r="252" spans="1:8" x14ac:dyDescent="0.25">
      <c r="A252" t="s">
        <v>452</v>
      </c>
      <c r="B252" t="s">
        <v>453</v>
      </c>
      <c r="C252" t="s">
        <v>25</v>
      </c>
      <c r="D252" s="1">
        <v>44736</v>
      </c>
      <c r="E252">
        <v>273820</v>
      </c>
      <c r="F252">
        <v>738</v>
      </c>
      <c r="G252">
        <v>0</v>
      </c>
    </row>
    <row r="253" spans="1:8" x14ac:dyDescent="0.25">
      <c r="A253" t="s">
        <v>454</v>
      </c>
      <c r="B253" t="s">
        <v>455</v>
      </c>
      <c r="C253" t="s">
        <v>25</v>
      </c>
      <c r="D253" s="1">
        <v>42316</v>
      </c>
      <c r="E253">
        <v>397650</v>
      </c>
      <c r="F253">
        <v>577</v>
      </c>
      <c r="G253">
        <v>0</v>
      </c>
    </row>
    <row r="254" spans="1:8" x14ac:dyDescent="0.25">
      <c r="A254" t="s">
        <v>456</v>
      </c>
      <c r="B254" t="s">
        <v>242</v>
      </c>
      <c r="C254" t="s">
        <v>13</v>
      </c>
      <c r="D254" s="1">
        <v>43441</v>
      </c>
      <c r="E254">
        <v>180882</v>
      </c>
      <c r="F254">
        <v>410</v>
      </c>
      <c r="G254">
        <v>0</v>
      </c>
      <c r="H254" t="s">
        <v>39</v>
      </c>
    </row>
    <row r="255" spans="1:8" x14ac:dyDescent="0.25">
      <c r="A255" t="s">
        <v>457</v>
      </c>
      <c r="B255" t="s">
        <v>458</v>
      </c>
      <c r="C255" t="s">
        <v>10</v>
      </c>
      <c r="D255" s="1">
        <v>45233</v>
      </c>
      <c r="E255">
        <v>496577</v>
      </c>
      <c r="F255">
        <v>684</v>
      </c>
      <c r="G255">
        <v>185388</v>
      </c>
    </row>
    <row r="256" spans="1:8" x14ac:dyDescent="0.25">
      <c r="A256" t="s">
        <v>459</v>
      </c>
      <c r="B256" t="s">
        <v>460</v>
      </c>
      <c r="C256" t="s">
        <v>13</v>
      </c>
      <c r="D256" s="1">
        <v>45511</v>
      </c>
      <c r="E256">
        <v>118696</v>
      </c>
      <c r="F256">
        <v>490</v>
      </c>
      <c r="G256">
        <v>372508</v>
      </c>
    </row>
    <row r="257" spans="1:8" x14ac:dyDescent="0.25">
      <c r="A257" t="s">
        <v>461</v>
      </c>
      <c r="B257" t="s">
        <v>318</v>
      </c>
      <c r="C257" t="s">
        <v>13</v>
      </c>
      <c r="D257" s="1">
        <v>44284</v>
      </c>
      <c r="E257">
        <v>487852</v>
      </c>
      <c r="F257">
        <v>789</v>
      </c>
      <c r="G257">
        <v>0</v>
      </c>
    </row>
    <row r="258" spans="1:8" x14ac:dyDescent="0.25">
      <c r="A258" t="s">
        <v>462</v>
      </c>
      <c r="B258" t="s">
        <v>363</v>
      </c>
      <c r="C258" t="s">
        <v>25</v>
      </c>
      <c r="D258" s="1">
        <v>43004</v>
      </c>
      <c r="E258">
        <v>392974</v>
      </c>
      <c r="F258">
        <v>725</v>
      </c>
      <c r="G258">
        <v>282648</v>
      </c>
    </row>
    <row r="259" spans="1:8" x14ac:dyDescent="0.25">
      <c r="A259" t="s">
        <v>463</v>
      </c>
      <c r="B259" t="s">
        <v>464</v>
      </c>
      <c r="C259" t="s">
        <v>25</v>
      </c>
      <c r="D259" s="1">
        <v>43620</v>
      </c>
      <c r="E259">
        <v>4994</v>
      </c>
      <c r="F259">
        <v>704</v>
      </c>
      <c r="G259">
        <v>204665</v>
      </c>
      <c r="H259" t="s">
        <v>39</v>
      </c>
    </row>
    <row r="260" spans="1:8" x14ac:dyDescent="0.25">
      <c r="A260" t="s">
        <v>465</v>
      </c>
      <c r="B260" t="s">
        <v>15</v>
      </c>
      <c r="C260" t="s">
        <v>10</v>
      </c>
      <c r="D260" s="1">
        <v>45597</v>
      </c>
      <c r="E260">
        <v>266378</v>
      </c>
      <c r="F260">
        <v>634</v>
      </c>
      <c r="G260">
        <v>0</v>
      </c>
    </row>
    <row r="261" spans="1:8" x14ac:dyDescent="0.25">
      <c r="A261" t="s">
        <v>466</v>
      </c>
      <c r="B261" t="s">
        <v>467</v>
      </c>
      <c r="C261" t="s">
        <v>25</v>
      </c>
      <c r="D261" s="1">
        <v>42661</v>
      </c>
      <c r="E261">
        <v>69300</v>
      </c>
      <c r="F261">
        <v>508</v>
      </c>
      <c r="G261">
        <v>0</v>
      </c>
    </row>
    <row r="262" spans="1:8" x14ac:dyDescent="0.25">
      <c r="A262" t="s">
        <v>468</v>
      </c>
      <c r="B262" t="s">
        <v>469</v>
      </c>
      <c r="C262" t="s">
        <v>10</v>
      </c>
      <c r="D262" s="1">
        <v>43313</v>
      </c>
      <c r="E262">
        <v>306093</v>
      </c>
      <c r="F262">
        <v>321</v>
      </c>
      <c r="G262">
        <v>0</v>
      </c>
    </row>
    <row r="263" spans="1:8" x14ac:dyDescent="0.25">
      <c r="A263" t="s">
        <v>470</v>
      </c>
      <c r="B263" t="s">
        <v>311</v>
      </c>
      <c r="C263" t="s">
        <v>10</v>
      </c>
      <c r="D263" s="1">
        <v>44634</v>
      </c>
      <c r="E263">
        <v>37405</v>
      </c>
      <c r="F263">
        <v>507</v>
      </c>
      <c r="G263">
        <v>0</v>
      </c>
      <c r="H263" t="s">
        <v>18</v>
      </c>
    </row>
    <row r="264" spans="1:8" x14ac:dyDescent="0.25">
      <c r="A264" t="s">
        <v>471</v>
      </c>
      <c r="B264" t="s">
        <v>322</v>
      </c>
      <c r="C264" t="s">
        <v>13</v>
      </c>
      <c r="D264" s="1">
        <v>45840</v>
      </c>
      <c r="E264">
        <v>297016</v>
      </c>
      <c r="F264">
        <v>307</v>
      </c>
      <c r="G264">
        <v>0</v>
      </c>
      <c r="H264" t="s">
        <v>59</v>
      </c>
    </row>
    <row r="265" spans="1:8" x14ac:dyDescent="0.25">
      <c r="A265" t="s">
        <v>472</v>
      </c>
      <c r="B265" t="s">
        <v>473</v>
      </c>
      <c r="C265" t="s">
        <v>32</v>
      </c>
      <c r="D265" s="1">
        <v>45501</v>
      </c>
      <c r="E265">
        <v>304359</v>
      </c>
      <c r="F265">
        <v>828</v>
      </c>
      <c r="G265">
        <v>217369</v>
      </c>
      <c r="H265" t="s">
        <v>18</v>
      </c>
    </row>
    <row r="266" spans="1:8" x14ac:dyDescent="0.25">
      <c r="A266" t="s">
        <v>474</v>
      </c>
      <c r="B266" t="s">
        <v>228</v>
      </c>
      <c r="C266" t="s">
        <v>13</v>
      </c>
      <c r="D266" s="1">
        <v>42487</v>
      </c>
      <c r="E266">
        <v>23185</v>
      </c>
      <c r="F266">
        <v>465</v>
      </c>
      <c r="G266">
        <v>0</v>
      </c>
    </row>
    <row r="267" spans="1:8" x14ac:dyDescent="0.25">
      <c r="A267" t="s">
        <v>475</v>
      </c>
      <c r="B267" t="s">
        <v>476</v>
      </c>
      <c r="C267" t="s">
        <v>32</v>
      </c>
      <c r="D267" s="1">
        <v>44322</v>
      </c>
      <c r="E267">
        <v>174514</v>
      </c>
      <c r="F267">
        <v>795</v>
      </c>
      <c r="G267">
        <v>0</v>
      </c>
    </row>
    <row r="268" spans="1:8" x14ac:dyDescent="0.25">
      <c r="A268" t="s">
        <v>477</v>
      </c>
      <c r="B268" t="s">
        <v>469</v>
      </c>
      <c r="C268" t="s">
        <v>25</v>
      </c>
      <c r="D268" s="1">
        <v>45121</v>
      </c>
      <c r="E268">
        <v>444975</v>
      </c>
      <c r="F268">
        <v>728</v>
      </c>
      <c r="G268">
        <v>0</v>
      </c>
    </row>
    <row r="269" spans="1:8" x14ac:dyDescent="0.25">
      <c r="A269" t="s">
        <v>478</v>
      </c>
      <c r="B269" t="s">
        <v>66</v>
      </c>
      <c r="C269" t="s">
        <v>13</v>
      </c>
      <c r="D269" s="1">
        <v>44000</v>
      </c>
      <c r="E269">
        <v>303297</v>
      </c>
      <c r="F269">
        <v>462</v>
      </c>
      <c r="G269">
        <v>0</v>
      </c>
    </row>
    <row r="270" spans="1:8" x14ac:dyDescent="0.25">
      <c r="A270" t="s">
        <v>479</v>
      </c>
      <c r="B270" t="s">
        <v>480</v>
      </c>
      <c r="C270" t="s">
        <v>10</v>
      </c>
      <c r="D270" s="1">
        <v>43413</v>
      </c>
      <c r="E270">
        <v>339679</v>
      </c>
      <c r="F270">
        <v>665</v>
      </c>
      <c r="G270">
        <v>215387</v>
      </c>
    </row>
    <row r="271" spans="1:8" x14ac:dyDescent="0.25">
      <c r="A271" t="s">
        <v>481</v>
      </c>
      <c r="B271" t="s">
        <v>249</v>
      </c>
      <c r="C271" t="s">
        <v>25</v>
      </c>
      <c r="D271" s="1">
        <v>43275</v>
      </c>
      <c r="E271">
        <v>495239</v>
      </c>
      <c r="F271">
        <v>825</v>
      </c>
      <c r="G271">
        <v>0</v>
      </c>
    </row>
    <row r="272" spans="1:8" x14ac:dyDescent="0.25">
      <c r="A272" t="s">
        <v>482</v>
      </c>
      <c r="B272" t="s">
        <v>483</v>
      </c>
      <c r="C272" t="s">
        <v>10</v>
      </c>
      <c r="D272" s="1">
        <v>43250</v>
      </c>
      <c r="E272">
        <v>133653</v>
      </c>
      <c r="F272">
        <v>538</v>
      </c>
      <c r="G272">
        <v>0</v>
      </c>
    </row>
    <row r="273" spans="1:8" x14ac:dyDescent="0.25">
      <c r="A273" t="s">
        <v>484</v>
      </c>
      <c r="B273" t="s">
        <v>485</v>
      </c>
      <c r="C273" t="s">
        <v>32</v>
      </c>
      <c r="D273" s="1">
        <v>43420</v>
      </c>
      <c r="E273">
        <v>51717</v>
      </c>
      <c r="F273">
        <v>371</v>
      </c>
      <c r="G273">
        <v>0</v>
      </c>
      <c r="H273" t="s">
        <v>59</v>
      </c>
    </row>
    <row r="274" spans="1:8" x14ac:dyDescent="0.25">
      <c r="A274" t="s">
        <v>486</v>
      </c>
      <c r="B274" t="s">
        <v>487</v>
      </c>
      <c r="C274" t="s">
        <v>32</v>
      </c>
      <c r="D274" s="1">
        <v>44680</v>
      </c>
      <c r="E274">
        <v>2763</v>
      </c>
      <c r="F274">
        <v>744</v>
      </c>
      <c r="G274">
        <v>0</v>
      </c>
    </row>
    <row r="275" spans="1:8" x14ac:dyDescent="0.25">
      <c r="A275" t="s">
        <v>488</v>
      </c>
      <c r="B275" t="s">
        <v>489</v>
      </c>
      <c r="C275" t="s">
        <v>10</v>
      </c>
      <c r="D275" s="1">
        <v>42951</v>
      </c>
      <c r="E275">
        <v>355054</v>
      </c>
      <c r="F275">
        <v>808</v>
      </c>
      <c r="G275">
        <v>0</v>
      </c>
    </row>
    <row r="276" spans="1:8" x14ac:dyDescent="0.25">
      <c r="A276" t="s">
        <v>490</v>
      </c>
      <c r="B276" t="s">
        <v>491</v>
      </c>
      <c r="C276" t="s">
        <v>13</v>
      </c>
      <c r="D276" s="1">
        <v>45124</v>
      </c>
      <c r="E276">
        <v>55480</v>
      </c>
      <c r="F276">
        <v>568</v>
      </c>
      <c r="G276">
        <v>0</v>
      </c>
      <c r="H276" t="s">
        <v>59</v>
      </c>
    </row>
    <row r="277" spans="1:8" x14ac:dyDescent="0.25">
      <c r="A277" t="s">
        <v>492</v>
      </c>
      <c r="B277" t="s">
        <v>493</v>
      </c>
      <c r="C277" t="s">
        <v>32</v>
      </c>
      <c r="D277" s="1">
        <v>44928</v>
      </c>
      <c r="E277">
        <v>169831</v>
      </c>
      <c r="F277">
        <v>714</v>
      </c>
      <c r="G277">
        <v>0</v>
      </c>
    </row>
    <row r="278" spans="1:8" x14ac:dyDescent="0.25">
      <c r="A278" t="s">
        <v>494</v>
      </c>
      <c r="B278" t="s">
        <v>495</v>
      </c>
      <c r="C278" t="s">
        <v>10</v>
      </c>
      <c r="D278" s="1">
        <v>42664</v>
      </c>
      <c r="E278">
        <v>207139</v>
      </c>
      <c r="F278">
        <v>544</v>
      </c>
      <c r="G278">
        <v>382411</v>
      </c>
    </row>
    <row r="279" spans="1:8" x14ac:dyDescent="0.25">
      <c r="A279" t="s">
        <v>496</v>
      </c>
      <c r="B279" t="s">
        <v>497</v>
      </c>
      <c r="C279" t="s">
        <v>13</v>
      </c>
      <c r="D279" s="1">
        <v>43422</v>
      </c>
      <c r="E279">
        <v>118094</v>
      </c>
      <c r="F279">
        <v>359</v>
      </c>
      <c r="G279">
        <v>0</v>
      </c>
    </row>
    <row r="280" spans="1:8" x14ac:dyDescent="0.25">
      <c r="A280" t="s">
        <v>498</v>
      </c>
      <c r="B280" t="s">
        <v>499</v>
      </c>
      <c r="C280" t="s">
        <v>13</v>
      </c>
      <c r="D280" s="1">
        <v>43986</v>
      </c>
      <c r="E280">
        <v>156379</v>
      </c>
      <c r="F280">
        <v>305</v>
      </c>
      <c r="G280">
        <v>0</v>
      </c>
    </row>
    <row r="281" spans="1:8" x14ac:dyDescent="0.25">
      <c r="A281" t="s">
        <v>500</v>
      </c>
      <c r="B281" t="s">
        <v>417</v>
      </c>
      <c r="C281" t="s">
        <v>10</v>
      </c>
      <c r="D281" s="1">
        <v>45591</v>
      </c>
      <c r="E281">
        <v>227443</v>
      </c>
      <c r="F281">
        <v>706</v>
      </c>
      <c r="G281">
        <v>44236</v>
      </c>
    </row>
    <row r="282" spans="1:8" x14ac:dyDescent="0.25">
      <c r="A282" t="s">
        <v>501</v>
      </c>
      <c r="B282" t="s">
        <v>502</v>
      </c>
      <c r="C282" t="s">
        <v>32</v>
      </c>
      <c r="D282" s="1">
        <v>43304</v>
      </c>
      <c r="E282">
        <v>11064</v>
      </c>
      <c r="F282">
        <v>516</v>
      </c>
      <c r="G282">
        <v>0</v>
      </c>
    </row>
    <row r="283" spans="1:8" x14ac:dyDescent="0.25">
      <c r="A283" t="s">
        <v>503</v>
      </c>
      <c r="B283" t="s">
        <v>304</v>
      </c>
      <c r="C283" t="s">
        <v>25</v>
      </c>
      <c r="D283" s="1">
        <v>43449</v>
      </c>
      <c r="E283">
        <v>76848</v>
      </c>
      <c r="F283">
        <v>325</v>
      </c>
      <c r="G283">
        <v>0</v>
      </c>
    </row>
    <row r="284" spans="1:8" x14ac:dyDescent="0.25">
      <c r="A284" t="s">
        <v>504</v>
      </c>
      <c r="B284" t="s">
        <v>136</v>
      </c>
      <c r="C284" t="s">
        <v>10</v>
      </c>
      <c r="D284" s="1">
        <v>43908</v>
      </c>
      <c r="E284">
        <v>37548</v>
      </c>
      <c r="F284">
        <v>304</v>
      </c>
      <c r="G284">
        <v>0</v>
      </c>
    </row>
    <row r="285" spans="1:8" x14ac:dyDescent="0.25">
      <c r="A285" t="s">
        <v>505</v>
      </c>
      <c r="B285" t="s">
        <v>506</v>
      </c>
      <c r="C285" t="s">
        <v>13</v>
      </c>
      <c r="D285" s="1">
        <v>45428</v>
      </c>
      <c r="E285">
        <v>168017</v>
      </c>
      <c r="F285">
        <v>831</v>
      </c>
      <c r="G285">
        <v>0</v>
      </c>
    </row>
    <row r="286" spans="1:8" x14ac:dyDescent="0.25">
      <c r="A286" t="s">
        <v>507</v>
      </c>
      <c r="B286" t="s">
        <v>508</v>
      </c>
      <c r="C286" t="s">
        <v>13</v>
      </c>
      <c r="D286" s="1">
        <v>44424</v>
      </c>
      <c r="E286">
        <v>441153</v>
      </c>
      <c r="F286">
        <v>689</v>
      </c>
      <c r="G286">
        <v>34992</v>
      </c>
    </row>
    <row r="287" spans="1:8" x14ac:dyDescent="0.25">
      <c r="A287" t="s">
        <v>509</v>
      </c>
      <c r="B287" t="s">
        <v>267</v>
      </c>
      <c r="C287" t="s">
        <v>25</v>
      </c>
      <c r="D287" s="1">
        <v>45395</v>
      </c>
      <c r="E287">
        <v>268620</v>
      </c>
      <c r="F287">
        <v>747</v>
      </c>
      <c r="G287">
        <v>0</v>
      </c>
    </row>
    <row r="288" spans="1:8" x14ac:dyDescent="0.25">
      <c r="A288" t="s">
        <v>510</v>
      </c>
      <c r="B288" t="s">
        <v>511</v>
      </c>
      <c r="C288" t="s">
        <v>13</v>
      </c>
      <c r="D288" s="1">
        <v>45685</v>
      </c>
      <c r="E288">
        <v>444972</v>
      </c>
      <c r="F288">
        <v>445</v>
      </c>
      <c r="G288">
        <v>0</v>
      </c>
    </row>
    <row r="289" spans="1:8" x14ac:dyDescent="0.25">
      <c r="A289" t="s">
        <v>512</v>
      </c>
      <c r="B289" t="s">
        <v>513</v>
      </c>
      <c r="C289" t="s">
        <v>13</v>
      </c>
      <c r="D289" s="1">
        <v>43618</v>
      </c>
      <c r="E289">
        <v>352245</v>
      </c>
      <c r="F289">
        <v>687</v>
      </c>
      <c r="G289">
        <v>0</v>
      </c>
    </row>
    <row r="290" spans="1:8" x14ac:dyDescent="0.25">
      <c r="A290" t="s">
        <v>514</v>
      </c>
      <c r="B290" t="s">
        <v>120</v>
      </c>
      <c r="C290" t="s">
        <v>13</v>
      </c>
      <c r="D290" s="1">
        <v>45689</v>
      </c>
      <c r="E290">
        <v>2382</v>
      </c>
      <c r="F290">
        <v>548</v>
      </c>
      <c r="G290">
        <v>0</v>
      </c>
      <c r="H290" t="s">
        <v>59</v>
      </c>
    </row>
    <row r="291" spans="1:8" x14ac:dyDescent="0.25">
      <c r="A291" t="s">
        <v>515</v>
      </c>
      <c r="B291" t="s">
        <v>516</v>
      </c>
      <c r="C291" t="s">
        <v>10</v>
      </c>
      <c r="D291" s="1">
        <v>44269</v>
      </c>
      <c r="E291">
        <v>442899</v>
      </c>
      <c r="F291">
        <v>825</v>
      </c>
      <c r="G291">
        <v>0</v>
      </c>
      <c r="H291" t="s">
        <v>39</v>
      </c>
    </row>
    <row r="292" spans="1:8" x14ac:dyDescent="0.25">
      <c r="A292" t="s">
        <v>517</v>
      </c>
      <c r="B292" t="s">
        <v>518</v>
      </c>
      <c r="C292" t="s">
        <v>32</v>
      </c>
      <c r="D292" s="1">
        <v>45436</v>
      </c>
      <c r="E292">
        <v>481215</v>
      </c>
      <c r="F292">
        <v>761</v>
      </c>
      <c r="G292">
        <v>0</v>
      </c>
      <c r="H292" t="s">
        <v>59</v>
      </c>
    </row>
    <row r="293" spans="1:8" x14ac:dyDescent="0.25">
      <c r="A293" t="s">
        <v>519</v>
      </c>
      <c r="B293" t="s">
        <v>429</v>
      </c>
      <c r="C293" t="s">
        <v>13</v>
      </c>
      <c r="D293" s="1">
        <v>43502</v>
      </c>
      <c r="E293">
        <v>176348</v>
      </c>
      <c r="F293">
        <v>312</v>
      </c>
      <c r="G293">
        <v>0</v>
      </c>
    </row>
    <row r="294" spans="1:8" x14ac:dyDescent="0.25">
      <c r="A294" t="s">
        <v>520</v>
      </c>
      <c r="B294" t="s">
        <v>521</v>
      </c>
      <c r="C294" t="s">
        <v>10</v>
      </c>
      <c r="D294" s="1">
        <v>45120</v>
      </c>
      <c r="E294">
        <v>426618</v>
      </c>
      <c r="F294">
        <v>683</v>
      </c>
      <c r="G294">
        <v>0</v>
      </c>
    </row>
    <row r="295" spans="1:8" x14ac:dyDescent="0.25">
      <c r="A295" t="s">
        <v>522</v>
      </c>
      <c r="B295" t="s">
        <v>523</v>
      </c>
      <c r="C295" t="s">
        <v>10</v>
      </c>
      <c r="D295" s="1">
        <v>45521</v>
      </c>
      <c r="E295">
        <v>485097</v>
      </c>
      <c r="F295">
        <v>698</v>
      </c>
      <c r="G295">
        <v>301379</v>
      </c>
    </row>
    <row r="296" spans="1:8" x14ac:dyDescent="0.25">
      <c r="A296" t="s">
        <v>524</v>
      </c>
      <c r="B296" t="s">
        <v>525</v>
      </c>
      <c r="C296" t="s">
        <v>32</v>
      </c>
      <c r="D296" s="1">
        <v>43493</v>
      </c>
      <c r="E296">
        <v>420162</v>
      </c>
      <c r="F296">
        <v>318</v>
      </c>
      <c r="G296">
        <v>0</v>
      </c>
    </row>
    <row r="297" spans="1:8" x14ac:dyDescent="0.25">
      <c r="A297" t="s">
        <v>526</v>
      </c>
      <c r="B297" t="s">
        <v>527</v>
      </c>
      <c r="C297" t="s">
        <v>13</v>
      </c>
      <c r="D297" s="1">
        <v>44749</v>
      </c>
      <c r="E297">
        <v>79698</v>
      </c>
      <c r="F297">
        <v>790</v>
      </c>
      <c r="G297">
        <v>0</v>
      </c>
    </row>
    <row r="298" spans="1:8" x14ac:dyDescent="0.25">
      <c r="A298" t="s">
        <v>528</v>
      </c>
      <c r="B298" t="s">
        <v>289</v>
      </c>
      <c r="C298" t="s">
        <v>10</v>
      </c>
      <c r="D298" s="1">
        <v>43730</v>
      </c>
      <c r="E298">
        <v>245762</v>
      </c>
      <c r="F298">
        <v>718</v>
      </c>
      <c r="G298">
        <v>291100</v>
      </c>
    </row>
    <row r="299" spans="1:8" x14ac:dyDescent="0.25">
      <c r="A299" t="s">
        <v>529</v>
      </c>
      <c r="B299" t="s">
        <v>530</v>
      </c>
      <c r="C299" t="s">
        <v>13</v>
      </c>
      <c r="D299" s="1">
        <v>43976</v>
      </c>
      <c r="E299">
        <v>243381</v>
      </c>
      <c r="F299">
        <v>636</v>
      </c>
      <c r="G299">
        <v>0</v>
      </c>
      <c r="H299" t="s">
        <v>39</v>
      </c>
    </row>
    <row r="300" spans="1:8" x14ac:dyDescent="0.25">
      <c r="A300" t="s">
        <v>531</v>
      </c>
      <c r="B300" t="s">
        <v>150</v>
      </c>
      <c r="C300" t="s">
        <v>25</v>
      </c>
      <c r="D300" s="1">
        <v>43731</v>
      </c>
      <c r="E300">
        <v>467149</v>
      </c>
      <c r="F300">
        <v>718</v>
      </c>
      <c r="G300">
        <v>0</v>
      </c>
    </row>
    <row r="301" spans="1:8" x14ac:dyDescent="0.25">
      <c r="A301" t="s">
        <v>532</v>
      </c>
      <c r="B301" t="s">
        <v>533</v>
      </c>
      <c r="C301" t="s">
        <v>10</v>
      </c>
      <c r="D301" s="1">
        <v>43955</v>
      </c>
      <c r="E301">
        <v>415551</v>
      </c>
      <c r="F301">
        <v>421</v>
      </c>
      <c r="G301">
        <v>0</v>
      </c>
    </row>
    <row r="302" spans="1:8" x14ac:dyDescent="0.25">
      <c r="A302" t="s">
        <v>534</v>
      </c>
      <c r="B302" t="s">
        <v>535</v>
      </c>
      <c r="C302" t="s">
        <v>13</v>
      </c>
      <c r="D302" s="1">
        <v>44983</v>
      </c>
      <c r="E302">
        <v>45095</v>
      </c>
      <c r="F302">
        <v>731</v>
      </c>
      <c r="G302">
        <v>0</v>
      </c>
    </row>
    <row r="303" spans="1:8" x14ac:dyDescent="0.25">
      <c r="A303" t="s">
        <v>536</v>
      </c>
      <c r="B303" t="s">
        <v>537</v>
      </c>
      <c r="C303" t="s">
        <v>10</v>
      </c>
      <c r="D303" s="1">
        <v>42963</v>
      </c>
      <c r="E303">
        <v>473146</v>
      </c>
      <c r="F303">
        <v>343</v>
      </c>
      <c r="G303">
        <v>204757</v>
      </c>
    </row>
    <row r="304" spans="1:8" x14ac:dyDescent="0.25">
      <c r="A304" t="s">
        <v>538</v>
      </c>
      <c r="B304" t="s">
        <v>539</v>
      </c>
      <c r="C304" t="s">
        <v>25</v>
      </c>
      <c r="D304" s="1">
        <v>45842</v>
      </c>
      <c r="E304">
        <v>392118</v>
      </c>
      <c r="F304">
        <v>616</v>
      </c>
      <c r="G304">
        <v>422876</v>
      </c>
    </row>
    <row r="305" spans="1:8" x14ac:dyDescent="0.25">
      <c r="A305" t="s">
        <v>540</v>
      </c>
      <c r="B305" t="s">
        <v>176</v>
      </c>
      <c r="C305" t="s">
        <v>13</v>
      </c>
      <c r="D305" s="1">
        <v>42608</v>
      </c>
      <c r="E305">
        <v>289341</v>
      </c>
      <c r="F305">
        <v>680</v>
      </c>
      <c r="G305">
        <v>242268</v>
      </c>
      <c r="H305" t="s">
        <v>18</v>
      </c>
    </row>
    <row r="306" spans="1:8" x14ac:dyDescent="0.25">
      <c r="A306" t="s">
        <v>541</v>
      </c>
      <c r="B306" t="s">
        <v>542</v>
      </c>
      <c r="C306" t="s">
        <v>25</v>
      </c>
      <c r="D306" s="1">
        <v>44584</v>
      </c>
      <c r="E306">
        <v>389763</v>
      </c>
      <c r="F306">
        <v>444</v>
      </c>
      <c r="G306">
        <v>0</v>
      </c>
      <c r="H306" t="s">
        <v>59</v>
      </c>
    </row>
    <row r="307" spans="1:8" x14ac:dyDescent="0.25">
      <c r="A307" t="s">
        <v>543</v>
      </c>
      <c r="B307" t="s">
        <v>232</v>
      </c>
      <c r="C307" t="s">
        <v>13</v>
      </c>
      <c r="D307" s="1">
        <v>43634</v>
      </c>
      <c r="E307">
        <v>22010</v>
      </c>
      <c r="F307">
        <v>626</v>
      </c>
      <c r="G307">
        <v>268312</v>
      </c>
      <c r="H307" t="s">
        <v>59</v>
      </c>
    </row>
    <row r="308" spans="1:8" x14ac:dyDescent="0.25">
      <c r="A308" t="s">
        <v>544</v>
      </c>
      <c r="B308" t="s">
        <v>71</v>
      </c>
      <c r="C308" t="s">
        <v>10</v>
      </c>
      <c r="D308" s="1">
        <v>45366</v>
      </c>
      <c r="E308">
        <v>417339</v>
      </c>
      <c r="F308">
        <v>662</v>
      </c>
      <c r="G308">
        <v>0</v>
      </c>
    </row>
    <row r="309" spans="1:8" x14ac:dyDescent="0.25">
      <c r="A309" t="s">
        <v>545</v>
      </c>
      <c r="B309" t="s">
        <v>205</v>
      </c>
      <c r="C309" t="s">
        <v>10</v>
      </c>
      <c r="D309" s="1">
        <v>43461</v>
      </c>
      <c r="E309">
        <v>350067</v>
      </c>
      <c r="F309">
        <v>349</v>
      </c>
      <c r="G309">
        <v>0</v>
      </c>
    </row>
    <row r="310" spans="1:8" x14ac:dyDescent="0.25">
      <c r="A310" t="s">
        <v>546</v>
      </c>
      <c r="B310" t="s">
        <v>547</v>
      </c>
      <c r="C310" t="s">
        <v>25</v>
      </c>
      <c r="D310" s="1">
        <v>44766</v>
      </c>
      <c r="E310">
        <v>133962</v>
      </c>
      <c r="F310">
        <v>364</v>
      </c>
      <c r="G310">
        <v>0</v>
      </c>
    </row>
    <row r="311" spans="1:8" x14ac:dyDescent="0.25">
      <c r="A311" t="s">
        <v>548</v>
      </c>
      <c r="B311" t="s">
        <v>549</v>
      </c>
      <c r="C311" t="s">
        <v>13</v>
      </c>
      <c r="D311" s="1">
        <v>43077</v>
      </c>
      <c r="E311">
        <v>486521</v>
      </c>
      <c r="F311">
        <v>654</v>
      </c>
      <c r="G311">
        <v>0</v>
      </c>
      <c r="H311" t="s">
        <v>39</v>
      </c>
    </row>
    <row r="312" spans="1:8" x14ac:dyDescent="0.25">
      <c r="A312" t="s">
        <v>550</v>
      </c>
      <c r="B312" t="s">
        <v>551</v>
      </c>
      <c r="C312" t="s">
        <v>25</v>
      </c>
      <c r="D312" s="1">
        <v>44537</v>
      </c>
      <c r="E312">
        <v>392670</v>
      </c>
      <c r="F312">
        <v>463</v>
      </c>
      <c r="G312">
        <v>0</v>
      </c>
    </row>
    <row r="313" spans="1:8" x14ac:dyDescent="0.25">
      <c r="A313" t="s">
        <v>552</v>
      </c>
      <c r="B313" t="s">
        <v>553</v>
      </c>
      <c r="C313" t="s">
        <v>25</v>
      </c>
      <c r="D313" s="1">
        <v>43936</v>
      </c>
      <c r="E313">
        <v>109162</v>
      </c>
      <c r="F313">
        <v>440</v>
      </c>
      <c r="G313">
        <v>0</v>
      </c>
    </row>
    <row r="314" spans="1:8" x14ac:dyDescent="0.25">
      <c r="A314" t="s">
        <v>554</v>
      </c>
      <c r="B314" t="s">
        <v>555</v>
      </c>
      <c r="C314" t="s">
        <v>10</v>
      </c>
      <c r="D314" s="1">
        <v>42740</v>
      </c>
      <c r="E314">
        <v>383071</v>
      </c>
      <c r="F314">
        <v>427</v>
      </c>
      <c r="G314">
        <v>0</v>
      </c>
    </row>
    <row r="315" spans="1:8" x14ac:dyDescent="0.25">
      <c r="A315" t="s">
        <v>556</v>
      </c>
      <c r="B315" t="s">
        <v>557</v>
      </c>
      <c r="C315" t="s">
        <v>25</v>
      </c>
      <c r="D315" s="1">
        <v>44495</v>
      </c>
      <c r="E315">
        <v>270170</v>
      </c>
      <c r="F315">
        <v>697</v>
      </c>
      <c r="G315">
        <v>0</v>
      </c>
    </row>
    <row r="316" spans="1:8" x14ac:dyDescent="0.25">
      <c r="A316" t="s">
        <v>558</v>
      </c>
      <c r="B316" t="s">
        <v>96</v>
      </c>
      <c r="C316" t="s">
        <v>25</v>
      </c>
      <c r="D316" s="1">
        <v>44821</v>
      </c>
      <c r="E316">
        <v>327069</v>
      </c>
      <c r="F316">
        <v>762</v>
      </c>
      <c r="G316">
        <v>0</v>
      </c>
    </row>
    <row r="317" spans="1:8" x14ac:dyDescent="0.25">
      <c r="A317" t="s">
        <v>559</v>
      </c>
      <c r="B317" t="s">
        <v>100</v>
      </c>
      <c r="C317" t="s">
        <v>13</v>
      </c>
      <c r="D317" s="1">
        <v>42853</v>
      </c>
      <c r="E317">
        <v>68842</v>
      </c>
      <c r="F317">
        <v>486</v>
      </c>
      <c r="G317">
        <v>127026</v>
      </c>
    </row>
    <row r="318" spans="1:8" x14ac:dyDescent="0.25">
      <c r="A318" t="s">
        <v>560</v>
      </c>
      <c r="B318" t="s">
        <v>47</v>
      </c>
      <c r="C318" t="s">
        <v>13</v>
      </c>
      <c r="D318" s="1">
        <v>43006</v>
      </c>
      <c r="E318">
        <v>295809</v>
      </c>
      <c r="F318">
        <v>489</v>
      </c>
      <c r="G318">
        <v>0</v>
      </c>
    </row>
    <row r="319" spans="1:8" x14ac:dyDescent="0.25">
      <c r="A319" t="s">
        <v>561</v>
      </c>
      <c r="B319" t="s">
        <v>562</v>
      </c>
      <c r="C319" t="s">
        <v>32</v>
      </c>
      <c r="D319" s="1">
        <v>44546</v>
      </c>
      <c r="E319">
        <v>271421</v>
      </c>
      <c r="F319">
        <v>687</v>
      </c>
      <c r="G319">
        <v>0</v>
      </c>
    </row>
    <row r="320" spans="1:8" x14ac:dyDescent="0.25">
      <c r="A320" t="s">
        <v>563</v>
      </c>
      <c r="B320" t="s">
        <v>564</v>
      </c>
      <c r="C320" t="s">
        <v>13</v>
      </c>
      <c r="D320" s="1">
        <v>43753</v>
      </c>
      <c r="E320">
        <v>173311</v>
      </c>
      <c r="F320">
        <v>728</v>
      </c>
      <c r="G320">
        <v>0</v>
      </c>
    </row>
    <row r="321" spans="1:7" x14ac:dyDescent="0.25">
      <c r="A321" t="s">
        <v>565</v>
      </c>
      <c r="B321" t="s">
        <v>566</v>
      </c>
      <c r="C321" t="s">
        <v>25</v>
      </c>
      <c r="D321" s="1">
        <v>43884</v>
      </c>
      <c r="E321">
        <v>440880</v>
      </c>
      <c r="F321">
        <v>583</v>
      </c>
      <c r="G321">
        <v>0</v>
      </c>
    </row>
    <row r="322" spans="1:7" x14ac:dyDescent="0.25">
      <c r="A322" t="s">
        <v>567</v>
      </c>
      <c r="B322" t="s">
        <v>513</v>
      </c>
      <c r="C322" t="s">
        <v>32</v>
      </c>
      <c r="D322" s="1">
        <v>43862</v>
      </c>
      <c r="E322">
        <v>310152</v>
      </c>
      <c r="F322">
        <v>536</v>
      </c>
      <c r="G322">
        <v>0</v>
      </c>
    </row>
    <row r="323" spans="1:7" x14ac:dyDescent="0.25">
      <c r="A323" t="s">
        <v>568</v>
      </c>
      <c r="B323" t="s">
        <v>211</v>
      </c>
      <c r="C323" t="s">
        <v>13</v>
      </c>
      <c r="D323" s="1">
        <v>45160</v>
      </c>
      <c r="E323">
        <v>276827</v>
      </c>
      <c r="F323">
        <v>493</v>
      </c>
      <c r="G323">
        <v>0</v>
      </c>
    </row>
    <row r="324" spans="1:7" x14ac:dyDescent="0.25">
      <c r="A324" t="s">
        <v>569</v>
      </c>
      <c r="B324" t="s">
        <v>170</v>
      </c>
      <c r="C324" t="s">
        <v>10</v>
      </c>
      <c r="D324" s="1">
        <v>45786</v>
      </c>
      <c r="E324">
        <v>131742</v>
      </c>
      <c r="F324">
        <v>586</v>
      </c>
      <c r="G324">
        <v>0</v>
      </c>
    </row>
    <row r="325" spans="1:7" x14ac:dyDescent="0.25">
      <c r="A325" t="s">
        <v>570</v>
      </c>
      <c r="B325" t="s">
        <v>397</v>
      </c>
      <c r="C325" t="s">
        <v>10</v>
      </c>
      <c r="D325" s="1">
        <v>42620</v>
      </c>
      <c r="E325">
        <v>220283</v>
      </c>
      <c r="F325">
        <v>435</v>
      </c>
      <c r="G325">
        <v>316741</v>
      </c>
    </row>
    <row r="326" spans="1:7" x14ac:dyDescent="0.25">
      <c r="A326" t="s">
        <v>571</v>
      </c>
      <c r="B326" t="s">
        <v>539</v>
      </c>
      <c r="C326" t="s">
        <v>10</v>
      </c>
      <c r="D326" s="1">
        <v>45641</v>
      </c>
      <c r="E326">
        <v>148961</v>
      </c>
      <c r="F326">
        <v>470</v>
      </c>
      <c r="G326">
        <v>437348</v>
      </c>
    </row>
    <row r="327" spans="1:7" x14ac:dyDescent="0.25">
      <c r="A327" t="s">
        <v>572</v>
      </c>
      <c r="B327" t="s">
        <v>573</v>
      </c>
      <c r="C327" t="s">
        <v>13</v>
      </c>
      <c r="D327" s="1">
        <v>42483</v>
      </c>
      <c r="E327">
        <v>448828</v>
      </c>
      <c r="F327">
        <v>458</v>
      </c>
      <c r="G327">
        <v>0</v>
      </c>
    </row>
    <row r="328" spans="1:7" x14ac:dyDescent="0.25">
      <c r="A328" t="s">
        <v>574</v>
      </c>
      <c r="B328" t="s">
        <v>575</v>
      </c>
      <c r="C328" t="s">
        <v>13</v>
      </c>
      <c r="D328" s="1">
        <v>43225</v>
      </c>
      <c r="E328">
        <v>175607</v>
      </c>
      <c r="F328">
        <v>500</v>
      </c>
      <c r="G328">
        <v>0</v>
      </c>
    </row>
    <row r="329" spans="1:7" x14ac:dyDescent="0.25">
      <c r="A329" t="s">
        <v>576</v>
      </c>
      <c r="B329" t="s">
        <v>255</v>
      </c>
      <c r="C329" t="s">
        <v>10</v>
      </c>
      <c r="D329" s="1">
        <v>44188</v>
      </c>
      <c r="E329">
        <v>340686</v>
      </c>
      <c r="F329">
        <v>786</v>
      </c>
      <c r="G329">
        <v>0</v>
      </c>
    </row>
    <row r="330" spans="1:7" x14ac:dyDescent="0.25">
      <c r="A330" t="s">
        <v>577</v>
      </c>
      <c r="B330" t="s">
        <v>506</v>
      </c>
      <c r="C330" t="s">
        <v>25</v>
      </c>
      <c r="D330" s="1">
        <v>43026</v>
      </c>
      <c r="E330">
        <v>316463</v>
      </c>
      <c r="F330">
        <v>803</v>
      </c>
      <c r="G330">
        <v>0</v>
      </c>
    </row>
    <row r="331" spans="1:7" x14ac:dyDescent="0.25">
      <c r="A331" t="s">
        <v>578</v>
      </c>
      <c r="B331" t="s">
        <v>144</v>
      </c>
      <c r="C331" t="s">
        <v>25</v>
      </c>
      <c r="D331" s="1">
        <v>43469</v>
      </c>
      <c r="E331">
        <v>245144</v>
      </c>
      <c r="F331">
        <v>670</v>
      </c>
      <c r="G331">
        <v>0</v>
      </c>
    </row>
    <row r="332" spans="1:7" x14ac:dyDescent="0.25">
      <c r="A332" t="s">
        <v>579</v>
      </c>
      <c r="B332" t="s">
        <v>128</v>
      </c>
      <c r="C332" t="s">
        <v>10</v>
      </c>
      <c r="D332" s="1">
        <v>42406</v>
      </c>
      <c r="E332">
        <v>354211</v>
      </c>
      <c r="F332">
        <v>402</v>
      </c>
      <c r="G332">
        <v>0</v>
      </c>
    </row>
    <row r="333" spans="1:7" x14ac:dyDescent="0.25">
      <c r="A333" t="s">
        <v>580</v>
      </c>
      <c r="B333" t="s">
        <v>581</v>
      </c>
      <c r="C333" t="s">
        <v>13</v>
      </c>
      <c r="D333" s="1">
        <v>43227</v>
      </c>
      <c r="E333">
        <v>152711</v>
      </c>
      <c r="F333">
        <v>424</v>
      </c>
      <c r="G333">
        <v>0</v>
      </c>
    </row>
    <row r="334" spans="1:7" x14ac:dyDescent="0.25">
      <c r="A334" t="s">
        <v>582</v>
      </c>
      <c r="B334" t="s">
        <v>583</v>
      </c>
      <c r="C334" t="s">
        <v>10</v>
      </c>
      <c r="D334" s="1">
        <v>43429</v>
      </c>
      <c r="E334">
        <v>195784</v>
      </c>
      <c r="F334">
        <v>612</v>
      </c>
      <c r="G334">
        <v>0</v>
      </c>
    </row>
    <row r="335" spans="1:7" x14ac:dyDescent="0.25">
      <c r="A335" t="s">
        <v>584</v>
      </c>
      <c r="B335" t="s">
        <v>281</v>
      </c>
      <c r="C335" t="s">
        <v>13</v>
      </c>
      <c r="D335" s="1">
        <v>45482</v>
      </c>
      <c r="E335">
        <v>409849</v>
      </c>
      <c r="F335">
        <v>757</v>
      </c>
      <c r="G335">
        <v>0</v>
      </c>
    </row>
    <row r="336" spans="1:7" x14ac:dyDescent="0.25">
      <c r="A336" t="s">
        <v>585</v>
      </c>
      <c r="B336" t="s">
        <v>586</v>
      </c>
      <c r="C336" t="s">
        <v>32</v>
      </c>
      <c r="D336" s="1">
        <v>44934</v>
      </c>
      <c r="E336">
        <v>252217</v>
      </c>
      <c r="F336">
        <v>529</v>
      </c>
      <c r="G336">
        <v>0</v>
      </c>
    </row>
    <row r="337" spans="1:8" x14ac:dyDescent="0.25">
      <c r="A337" t="s">
        <v>587</v>
      </c>
      <c r="B337" t="s">
        <v>34</v>
      </c>
      <c r="C337" t="s">
        <v>25</v>
      </c>
      <c r="D337" s="1">
        <v>44222</v>
      </c>
      <c r="E337">
        <v>427876</v>
      </c>
      <c r="F337">
        <v>496</v>
      </c>
      <c r="G337">
        <v>0</v>
      </c>
    </row>
    <row r="338" spans="1:8" x14ac:dyDescent="0.25">
      <c r="A338" t="s">
        <v>588</v>
      </c>
      <c r="B338" t="s">
        <v>291</v>
      </c>
      <c r="C338" t="s">
        <v>25</v>
      </c>
      <c r="D338" s="1">
        <v>44861</v>
      </c>
      <c r="E338">
        <v>331119</v>
      </c>
      <c r="F338">
        <v>722</v>
      </c>
      <c r="G338">
        <v>0</v>
      </c>
    </row>
    <row r="339" spans="1:8" x14ac:dyDescent="0.25">
      <c r="A339" t="s">
        <v>589</v>
      </c>
      <c r="B339" t="s">
        <v>240</v>
      </c>
      <c r="C339" t="s">
        <v>32</v>
      </c>
      <c r="D339" s="1">
        <v>42767</v>
      </c>
      <c r="E339">
        <v>163244</v>
      </c>
      <c r="F339">
        <v>470</v>
      </c>
      <c r="G339">
        <v>0</v>
      </c>
    </row>
    <row r="340" spans="1:8" x14ac:dyDescent="0.25">
      <c r="A340" t="s">
        <v>590</v>
      </c>
      <c r="B340" t="s">
        <v>196</v>
      </c>
      <c r="C340" t="s">
        <v>13</v>
      </c>
      <c r="D340" s="1">
        <v>45406</v>
      </c>
      <c r="E340">
        <v>452413</v>
      </c>
      <c r="F340">
        <v>681</v>
      </c>
      <c r="G340">
        <v>0</v>
      </c>
    </row>
    <row r="341" spans="1:8" x14ac:dyDescent="0.25">
      <c r="A341" t="s">
        <v>591</v>
      </c>
      <c r="B341" t="s">
        <v>542</v>
      </c>
      <c r="C341" t="s">
        <v>25</v>
      </c>
      <c r="D341" s="1">
        <v>44887</v>
      </c>
      <c r="E341">
        <v>101158</v>
      </c>
      <c r="F341">
        <v>472</v>
      </c>
      <c r="G341">
        <v>0</v>
      </c>
    </row>
    <row r="342" spans="1:8" x14ac:dyDescent="0.25">
      <c r="A342" t="s">
        <v>592</v>
      </c>
      <c r="B342" t="s">
        <v>593</v>
      </c>
      <c r="C342" t="s">
        <v>13</v>
      </c>
      <c r="D342" s="1">
        <v>43599</v>
      </c>
      <c r="E342">
        <v>452063</v>
      </c>
      <c r="F342">
        <v>752</v>
      </c>
      <c r="G342">
        <v>467927</v>
      </c>
      <c r="H342" t="s">
        <v>59</v>
      </c>
    </row>
    <row r="343" spans="1:8" x14ac:dyDescent="0.25">
      <c r="A343" t="s">
        <v>594</v>
      </c>
      <c r="B343" t="s">
        <v>595</v>
      </c>
      <c r="C343" t="s">
        <v>32</v>
      </c>
      <c r="D343" s="1">
        <v>44417</v>
      </c>
      <c r="E343">
        <v>273721</v>
      </c>
      <c r="F343">
        <v>649</v>
      </c>
      <c r="G343">
        <v>0</v>
      </c>
    </row>
    <row r="344" spans="1:8" x14ac:dyDescent="0.25">
      <c r="A344" t="s">
        <v>596</v>
      </c>
      <c r="B344" t="s">
        <v>597</v>
      </c>
      <c r="C344" t="s">
        <v>13</v>
      </c>
      <c r="D344" s="1">
        <v>45227</v>
      </c>
      <c r="E344">
        <v>339443</v>
      </c>
      <c r="F344">
        <v>793</v>
      </c>
      <c r="G344">
        <v>393333</v>
      </c>
    </row>
    <row r="345" spans="1:8" x14ac:dyDescent="0.25">
      <c r="A345" t="s">
        <v>598</v>
      </c>
      <c r="B345" t="s">
        <v>599</v>
      </c>
      <c r="C345" t="s">
        <v>25</v>
      </c>
      <c r="D345" s="1">
        <v>44551</v>
      </c>
      <c r="E345">
        <v>282320</v>
      </c>
      <c r="F345">
        <v>303</v>
      </c>
      <c r="G345">
        <v>0</v>
      </c>
    </row>
    <row r="346" spans="1:8" x14ac:dyDescent="0.25">
      <c r="A346" t="s">
        <v>600</v>
      </c>
      <c r="B346" t="s">
        <v>132</v>
      </c>
      <c r="C346" t="s">
        <v>25</v>
      </c>
      <c r="D346" s="1">
        <v>45530</v>
      </c>
      <c r="E346">
        <v>437602</v>
      </c>
      <c r="F346">
        <v>392</v>
      </c>
      <c r="G346">
        <v>0</v>
      </c>
    </row>
    <row r="347" spans="1:8" x14ac:dyDescent="0.25">
      <c r="A347" t="s">
        <v>601</v>
      </c>
      <c r="B347" t="s">
        <v>593</v>
      </c>
      <c r="C347" t="s">
        <v>13</v>
      </c>
      <c r="D347" s="1">
        <v>44962</v>
      </c>
      <c r="E347">
        <v>63972</v>
      </c>
      <c r="F347">
        <v>305</v>
      </c>
      <c r="G347">
        <v>0</v>
      </c>
    </row>
    <row r="348" spans="1:8" x14ac:dyDescent="0.25">
      <c r="A348" t="s">
        <v>602</v>
      </c>
      <c r="B348" t="s">
        <v>90</v>
      </c>
      <c r="C348" t="s">
        <v>13</v>
      </c>
      <c r="D348" s="1">
        <v>43171</v>
      </c>
      <c r="E348">
        <v>382162</v>
      </c>
      <c r="F348">
        <v>587</v>
      </c>
      <c r="G348">
        <v>277869</v>
      </c>
    </row>
    <row r="349" spans="1:8" x14ac:dyDescent="0.25">
      <c r="A349" t="s">
        <v>603</v>
      </c>
      <c r="B349" t="s">
        <v>604</v>
      </c>
      <c r="C349" t="s">
        <v>25</v>
      </c>
      <c r="D349" s="1">
        <v>44803</v>
      </c>
      <c r="E349">
        <v>483007</v>
      </c>
      <c r="F349">
        <v>445</v>
      </c>
      <c r="G349">
        <v>0</v>
      </c>
    </row>
    <row r="350" spans="1:8" x14ac:dyDescent="0.25">
      <c r="A350" t="s">
        <v>605</v>
      </c>
      <c r="B350" t="s">
        <v>397</v>
      </c>
      <c r="C350" t="s">
        <v>10</v>
      </c>
      <c r="D350" s="1">
        <v>44433</v>
      </c>
      <c r="E350">
        <v>434219</v>
      </c>
      <c r="F350">
        <v>723</v>
      </c>
      <c r="G350">
        <v>0</v>
      </c>
    </row>
    <row r="351" spans="1:8" x14ac:dyDescent="0.25">
      <c r="A351" t="s">
        <v>606</v>
      </c>
      <c r="B351" t="s">
        <v>15</v>
      </c>
      <c r="C351" t="s">
        <v>13</v>
      </c>
      <c r="D351" s="1">
        <v>43800</v>
      </c>
      <c r="E351">
        <v>282140</v>
      </c>
      <c r="F351">
        <v>756</v>
      </c>
      <c r="G351">
        <v>0</v>
      </c>
      <c r="H351" t="s">
        <v>39</v>
      </c>
    </row>
    <row r="352" spans="1:8" x14ac:dyDescent="0.25">
      <c r="A352" t="s">
        <v>607</v>
      </c>
      <c r="B352" t="s">
        <v>608</v>
      </c>
      <c r="C352" t="s">
        <v>13</v>
      </c>
      <c r="D352" s="1">
        <v>43973</v>
      </c>
      <c r="E352">
        <v>100922</v>
      </c>
      <c r="F352">
        <v>501</v>
      </c>
      <c r="G352">
        <v>0</v>
      </c>
    </row>
    <row r="353" spans="1:8" x14ac:dyDescent="0.25">
      <c r="A353" t="s">
        <v>609</v>
      </c>
      <c r="B353" t="s">
        <v>610</v>
      </c>
      <c r="C353" t="s">
        <v>13</v>
      </c>
      <c r="D353" s="1">
        <v>45651</v>
      </c>
      <c r="E353">
        <v>348742</v>
      </c>
      <c r="F353">
        <v>511</v>
      </c>
      <c r="G353">
        <v>0</v>
      </c>
      <c r="H353" t="s">
        <v>39</v>
      </c>
    </row>
    <row r="354" spans="1:8" x14ac:dyDescent="0.25">
      <c r="A354" t="s">
        <v>611</v>
      </c>
      <c r="B354" t="s">
        <v>455</v>
      </c>
      <c r="C354" t="s">
        <v>25</v>
      </c>
      <c r="D354" s="1">
        <v>42667</v>
      </c>
      <c r="E354">
        <v>35931</v>
      </c>
      <c r="F354">
        <v>305</v>
      </c>
      <c r="G354">
        <v>0</v>
      </c>
    </row>
    <row r="355" spans="1:8" x14ac:dyDescent="0.25">
      <c r="A355" t="s">
        <v>612</v>
      </c>
      <c r="B355" t="s">
        <v>112</v>
      </c>
      <c r="C355" t="s">
        <v>10</v>
      </c>
      <c r="D355" s="1">
        <v>43668</v>
      </c>
      <c r="E355">
        <v>124168</v>
      </c>
      <c r="F355">
        <v>675</v>
      </c>
      <c r="G355">
        <v>478006</v>
      </c>
    </row>
    <row r="356" spans="1:8" x14ac:dyDescent="0.25">
      <c r="A356" t="s">
        <v>613</v>
      </c>
      <c r="B356" t="s">
        <v>614</v>
      </c>
      <c r="C356" t="s">
        <v>13</v>
      </c>
      <c r="D356" s="1">
        <v>43741</v>
      </c>
      <c r="E356">
        <v>166782</v>
      </c>
      <c r="F356">
        <v>746</v>
      </c>
      <c r="G356">
        <v>0</v>
      </c>
    </row>
    <row r="357" spans="1:8" x14ac:dyDescent="0.25">
      <c r="A357" t="s">
        <v>615</v>
      </c>
      <c r="B357" t="s">
        <v>616</v>
      </c>
      <c r="C357" t="s">
        <v>13</v>
      </c>
      <c r="D357" s="1">
        <v>45080</v>
      </c>
      <c r="E357">
        <v>123099</v>
      </c>
      <c r="F357">
        <v>405</v>
      </c>
      <c r="G357">
        <v>0</v>
      </c>
    </row>
    <row r="358" spans="1:8" x14ac:dyDescent="0.25">
      <c r="A358" t="s">
        <v>617</v>
      </c>
      <c r="B358" t="s">
        <v>156</v>
      </c>
      <c r="C358" t="s">
        <v>13</v>
      </c>
      <c r="D358" s="1">
        <v>44928</v>
      </c>
      <c r="E358">
        <v>34693</v>
      </c>
      <c r="F358">
        <v>700</v>
      </c>
      <c r="G358">
        <v>0</v>
      </c>
      <c r="H358" t="s">
        <v>59</v>
      </c>
    </row>
    <row r="359" spans="1:8" x14ac:dyDescent="0.25">
      <c r="A359" t="s">
        <v>618</v>
      </c>
      <c r="B359" t="s">
        <v>619</v>
      </c>
      <c r="C359" t="s">
        <v>13</v>
      </c>
      <c r="D359" s="1">
        <v>42725</v>
      </c>
      <c r="E359">
        <v>428956</v>
      </c>
      <c r="F359">
        <v>395</v>
      </c>
      <c r="G359">
        <v>0</v>
      </c>
    </row>
    <row r="360" spans="1:8" x14ac:dyDescent="0.25">
      <c r="A360" t="s">
        <v>620</v>
      </c>
      <c r="B360" t="s">
        <v>621</v>
      </c>
      <c r="C360" t="s">
        <v>10</v>
      </c>
      <c r="D360" s="1">
        <v>44388</v>
      </c>
      <c r="E360">
        <v>470457</v>
      </c>
      <c r="F360">
        <v>687</v>
      </c>
      <c r="G360">
        <v>0</v>
      </c>
    </row>
    <row r="361" spans="1:8" x14ac:dyDescent="0.25">
      <c r="A361" t="s">
        <v>622</v>
      </c>
      <c r="B361" t="s">
        <v>196</v>
      </c>
      <c r="C361" t="s">
        <v>13</v>
      </c>
      <c r="D361" s="1">
        <v>43497</v>
      </c>
      <c r="E361">
        <v>108944</v>
      </c>
      <c r="F361">
        <v>751</v>
      </c>
      <c r="G361">
        <v>63560</v>
      </c>
    </row>
    <row r="362" spans="1:8" x14ac:dyDescent="0.25">
      <c r="A362" t="s">
        <v>623</v>
      </c>
      <c r="B362" t="s">
        <v>624</v>
      </c>
      <c r="C362" t="s">
        <v>13</v>
      </c>
      <c r="D362" s="1">
        <v>44462</v>
      </c>
      <c r="E362">
        <v>224655</v>
      </c>
      <c r="F362">
        <v>715</v>
      </c>
      <c r="G362">
        <v>0</v>
      </c>
    </row>
    <row r="363" spans="1:8" x14ac:dyDescent="0.25">
      <c r="A363" t="s">
        <v>625</v>
      </c>
      <c r="B363" t="s">
        <v>24</v>
      </c>
      <c r="C363" t="s">
        <v>25</v>
      </c>
      <c r="D363" s="1">
        <v>43869</v>
      </c>
      <c r="E363">
        <v>207574</v>
      </c>
      <c r="F363">
        <v>803</v>
      </c>
      <c r="G363">
        <v>0</v>
      </c>
    </row>
    <row r="364" spans="1:8" x14ac:dyDescent="0.25">
      <c r="A364" t="s">
        <v>626</v>
      </c>
      <c r="B364" t="s">
        <v>619</v>
      </c>
      <c r="C364" t="s">
        <v>13</v>
      </c>
      <c r="D364" s="1">
        <v>42862</v>
      </c>
      <c r="E364">
        <v>279518</v>
      </c>
      <c r="F364">
        <v>753</v>
      </c>
      <c r="G364">
        <v>155953</v>
      </c>
      <c r="H364" t="s">
        <v>59</v>
      </c>
    </row>
    <row r="365" spans="1:8" x14ac:dyDescent="0.25">
      <c r="A365" t="s">
        <v>627</v>
      </c>
      <c r="B365" t="s">
        <v>285</v>
      </c>
      <c r="C365" t="s">
        <v>10</v>
      </c>
      <c r="D365" s="1">
        <v>42545</v>
      </c>
      <c r="E365">
        <v>469890</v>
      </c>
      <c r="F365">
        <v>590</v>
      </c>
      <c r="G365">
        <v>222364</v>
      </c>
    </row>
    <row r="366" spans="1:8" x14ac:dyDescent="0.25">
      <c r="A366" t="s">
        <v>628</v>
      </c>
      <c r="B366" t="s">
        <v>629</v>
      </c>
      <c r="C366" t="s">
        <v>10</v>
      </c>
      <c r="D366" s="1">
        <v>45831</v>
      </c>
      <c r="E366">
        <v>247572</v>
      </c>
      <c r="F366">
        <v>833</v>
      </c>
      <c r="G366">
        <v>0</v>
      </c>
    </row>
    <row r="367" spans="1:8" x14ac:dyDescent="0.25">
      <c r="A367" t="s">
        <v>630</v>
      </c>
      <c r="B367" t="s">
        <v>631</v>
      </c>
      <c r="C367" t="s">
        <v>10</v>
      </c>
      <c r="D367" s="1">
        <v>43612</v>
      </c>
      <c r="E367">
        <v>343615</v>
      </c>
      <c r="F367">
        <v>492</v>
      </c>
      <c r="G367">
        <v>231024</v>
      </c>
    </row>
    <row r="368" spans="1:8" x14ac:dyDescent="0.25">
      <c r="A368" t="s">
        <v>632</v>
      </c>
      <c r="B368" t="s">
        <v>633</v>
      </c>
      <c r="C368" t="s">
        <v>10</v>
      </c>
      <c r="D368" s="1">
        <v>44439</v>
      </c>
      <c r="E368">
        <v>45913</v>
      </c>
      <c r="F368">
        <v>449</v>
      </c>
      <c r="G368">
        <v>185775</v>
      </c>
    </row>
    <row r="369" spans="1:8" x14ac:dyDescent="0.25">
      <c r="A369" t="s">
        <v>634</v>
      </c>
      <c r="B369" t="s">
        <v>90</v>
      </c>
      <c r="C369" t="s">
        <v>10</v>
      </c>
      <c r="D369" s="1">
        <v>42538</v>
      </c>
      <c r="E369">
        <v>385827</v>
      </c>
      <c r="F369">
        <v>814</v>
      </c>
      <c r="G369">
        <v>0</v>
      </c>
      <c r="H369" t="s">
        <v>18</v>
      </c>
    </row>
    <row r="370" spans="1:8" x14ac:dyDescent="0.25">
      <c r="A370" t="s">
        <v>635</v>
      </c>
      <c r="B370" t="s">
        <v>636</v>
      </c>
      <c r="C370" t="s">
        <v>25</v>
      </c>
      <c r="D370" s="1">
        <v>42334</v>
      </c>
      <c r="E370">
        <v>197097</v>
      </c>
      <c r="F370">
        <v>692</v>
      </c>
      <c r="G370">
        <v>96288</v>
      </c>
    </row>
    <row r="371" spans="1:8" x14ac:dyDescent="0.25">
      <c r="A371" t="s">
        <v>637</v>
      </c>
      <c r="B371" t="s">
        <v>638</v>
      </c>
      <c r="C371" t="s">
        <v>10</v>
      </c>
      <c r="D371" s="1">
        <v>43430</v>
      </c>
      <c r="E371">
        <v>306660</v>
      </c>
      <c r="F371">
        <v>615</v>
      </c>
      <c r="G371">
        <v>0</v>
      </c>
      <c r="H371" t="s">
        <v>59</v>
      </c>
    </row>
    <row r="372" spans="1:8" x14ac:dyDescent="0.25">
      <c r="A372" t="s">
        <v>639</v>
      </c>
      <c r="B372" t="s">
        <v>640</v>
      </c>
      <c r="C372" t="s">
        <v>10</v>
      </c>
      <c r="D372" s="1">
        <v>43371</v>
      </c>
      <c r="E372">
        <v>87796</v>
      </c>
      <c r="F372">
        <v>375</v>
      </c>
      <c r="G372">
        <v>0</v>
      </c>
    </row>
    <row r="373" spans="1:8" x14ac:dyDescent="0.25">
      <c r="A373" t="s">
        <v>641</v>
      </c>
      <c r="B373" t="s">
        <v>443</v>
      </c>
      <c r="C373" t="s">
        <v>25</v>
      </c>
      <c r="D373" s="1">
        <v>45576</v>
      </c>
      <c r="E373">
        <v>288213</v>
      </c>
      <c r="F373">
        <v>569</v>
      </c>
      <c r="G373">
        <v>0</v>
      </c>
    </row>
    <row r="374" spans="1:8" x14ac:dyDescent="0.25">
      <c r="A374" t="s">
        <v>642</v>
      </c>
      <c r="B374" t="s">
        <v>643</v>
      </c>
      <c r="C374" t="s">
        <v>10</v>
      </c>
      <c r="D374" s="1">
        <v>43851</v>
      </c>
      <c r="E374">
        <v>380477</v>
      </c>
      <c r="F374">
        <v>524</v>
      </c>
      <c r="G374">
        <v>0</v>
      </c>
    </row>
    <row r="375" spans="1:8" x14ac:dyDescent="0.25">
      <c r="A375" t="s">
        <v>644</v>
      </c>
      <c r="B375" t="s">
        <v>645</v>
      </c>
      <c r="C375" t="s">
        <v>13</v>
      </c>
      <c r="D375" s="1">
        <v>44164</v>
      </c>
      <c r="E375">
        <v>449449</v>
      </c>
      <c r="F375">
        <v>829</v>
      </c>
      <c r="G375">
        <v>0</v>
      </c>
    </row>
    <row r="376" spans="1:8" x14ac:dyDescent="0.25">
      <c r="A376" t="s">
        <v>646</v>
      </c>
      <c r="B376" t="s">
        <v>581</v>
      </c>
      <c r="C376" t="s">
        <v>13</v>
      </c>
      <c r="D376" s="1">
        <v>45779</v>
      </c>
      <c r="E376">
        <v>84811</v>
      </c>
      <c r="F376">
        <v>412</v>
      </c>
      <c r="G376">
        <v>0</v>
      </c>
    </row>
    <row r="377" spans="1:8" x14ac:dyDescent="0.25">
      <c r="A377" t="s">
        <v>647</v>
      </c>
      <c r="B377" t="s">
        <v>118</v>
      </c>
      <c r="C377" t="s">
        <v>13</v>
      </c>
      <c r="D377" s="1">
        <v>44075</v>
      </c>
      <c r="E377">
        <v>190121</v>
      </c>
      <c r="F377">
        <v>550</v>
      </c>
      <c r="G377">
        <v>0</v>
      </c>
    </row>
    <row r="378" spans="1:8" x14ac:dyDescent="0.25">
      <c r="A378" t="s">
        <v>648</v>
      </c>
      <c r="B378" t="s">
        <v>649</v>
      </c>
      <c r="C378" t="s">
        <v>25</v>
      </c>
      <c r="D378" s="1">
        <v>43396</v>
      </c>
      <c r="E378">
        <v>232892</v>
      </c>
      <c r="F378">
        <v>532</v>
      </c>
      <c r="G378">
        <v>0</v>
      </c>
    </row>
    <row r="379" spans="1:8" x14ac:dyDescent="0.25">
      <c r="A379" t="s">
        <v>650</v>
      </c>
      <c r="B379" t="s">
        <v>336</v>
      </c>
      <c r="C379" t="s">
        <v>25</v>
      </c>
      <c r="D379" s="1">
        <v>45154</v>
      </c>
      <c r="E379">
        <v>380172</v>
      </c>
      <c r="F379">
        <v>382</v>
      </c>
      <c r="G379">
        <v>0</v>
      </c>
      <c r="H379" t="s">
        <v>39</v>
      </c>
    </row>
    <row r="380" spans="1:8" x14ac:dyDescent="0.25">
      <c r="A380" t="s">
        <v>651</v>
      </c>
      <c r="B380" t="s">
        <v>652</v>
      </c>
      <c r="C380" t="s">
        <v>32</v>
      </c>
      <c r="D380" s="1">
        <v>45188</v>
      </c>
      <c r="E380">
        <v>39178</v>
      </c>
      <c r="F380">
        <v>424</v>
      </c>
      <c r="G380">
        <v>0</v>
      </c>
    </row>
    <row r="381" spans="1:8" x14ac:dyDescent="0.25">
      <c r="A381" t="s">
        <v>653</v>
      </c>
      <c r="B381" t="s">
        <v>287</v>
      </c>
      <c r="C381" t="s">
        <v>10</v>
      </c>
      <c r="D381" s="1">
        <v>44080</v>
      </c>
      <c r="E381">
        <v>294965</v>
      </c>
      <c r="F381">
        <v>474</v>
      </c>
      <c r="G381">
        <v>0</v>
      </c>
    </row>
    <row r="382" spans="1:8" x14ac:dyDescent="0.25">
      <c r="A382" t="s">
        <v>654</v>
      </c>
      <c r="B382" t="s">
        <v>655</v>
      </c>
      <c r="C382" t="s">
        <v>10</v>
      </c>
      <c r="D382" s="1">
        <v>43144</v>
      </c>
      <c r="E382">
        <v>444943</v>
      </c>
      <c r="F382">
        <v>368</v>
      </c>
      <c r="G382">
        <v>493815</v>
      </c>
    </row>
    <row r="383" spans="1:8" x14ac:dyDescent="0.25">
      <c r="A383" t="s">
        <v>656</v>
      </c>
      <c r="B383" t="s">
        <v>657</v>
      </c>
      <c r="C383" t="s">
        <v>13</v>
      </c>
      <c r="D383" s="1">
        <v>43532</v>
      </c>
      <c r="E383">
        <v>454151</v>
      </c>
      <c r="F383">
        <v>346</v>
      </c>
      <c r="G383">
        <v>0</v>
      </c>
    </row>
    <row r="384" spans="1:8" x14ac:dyDescent="0.25">
      <c r="A384" t="s">
        <v>658</v>
      </c>
      <c r="B384" t="s">
        <v>659</v>
      </c>
      <c r="C384" t="s">
        <v>10</v>
      </c>
      <c r="D384" s="1">
        <v>45259</v>
      </c>
      <c r="E384">
        <v>16999</v>
      </c>
      <c r="F384">
        <v>555</v>
      </c>
      <c r="G384">
        <v>378957</v>
      </c>
    </row>
    <row r="385" spans="1:8" x14ac:dyDescent="0.25">
      <c r="A385" t="s">
        <v>660</v>
      </c>
      <c r="B385" t="s">
        <v>318</v>
      </c>
      <c r="C385" t="s">
        <v>10</v>
      </c>
      <c r="D385" s="1">
        <v>43283</v>
      </c>
      <c r="E385">
        <v>455738</v>
      </c>
      <c r="F385">
        <v>329</v>
      </c>
      <c r="G385">
        <v>0</v>
      </c>
    </row>
    <row r="386" spans="1:8" x14ac:dyDescent="0.25">
      <c r="A386" t="s">
        <v>661</v>
      </c>
      <c r="B386" t="s">
        <v>662</v>
      </c>
      <c r="C386" t="s">
        <v>32</v>
      </c>
      <c r="D386" s="1">
        <v>42983</v>
      </c>
      <c r="E386">
        <v>300856</v>
      </c>
      <c r="F386">
        <v>580</v>
      </c>
      <c r="G386">
        <v>0</v>
      </c>
    </row>
    <row r="387" spans="1:8" x14ac:dyDescent="0.25">
      <c r="A387" t="s">
        <v>663</v>
      </c>
      <c r="B387" t="s">
        <v>664</v>
      </c>
      <c r="C387" t="s">
        <v>13</v>
      </c>
      <c r="D387" s="1">
        <v>44121</v>
      </c>
      <c r="E387">
        <v>195623</v>
      </c>
      <c r="F387">
        <v>536</v>
      </c>
      <c r="G387">
        <v>0</v>
      </c>
    </row>
    <row r="388" spans="1:8" x14ac:dyDescent="0.25">
      <c r="A388" t="s">
        <v>665</v>
      </c>
      <c r="B388" t="s">
        <v>516</v>
      </c>
      <c r="C388" t="s">
        <v>10</v>
      </c>
      <c r="D388" s="1">
        <v>45864</v>
      </c>
      <c r="E388">
        <v>171244</v>
      </c>
      <c r="F388">
        <v>547</v>
      </c>
      <c r="G388">
        <v>0</v>
      </c>
    </row>
    <row r="389" spans="1:8" x14ac:dyDescent="0.25">
      <c r="A389" t="s">
        <v>666</v>
      </c>
      <c r="B389" t="s">
        <v>667</v>
      </c>
      <c r="C389" t="s">
        <v>10</v>
      </c>
      <c r="D389" s="1">
        <v>43486</v>
      </c>
      <c r="E389">
        <v>295866</v>
      </c>
      <c r="F389">
        <v>667</v>
      </c>
      <c r="G389">
        <v>0</v>
      </c>
    </row>
    <row r="390" spans="1:8" x14ac:dyDescent="0.25">
      <c r="A390" t="s">
        <v>668</v>
      </c>
      <c r="B390" t="s">
        <v>71</v>
      </c>
      <c r="C390" t="s">
        <v>10</v>
      </c>
      <c r="D390" s="1">
        <v>43062</v>
      </c>
      <c r="E390">
        <v>272769</v>
      </c>
      <c r="F390">
        <v>794</v>
      </c>
      <c r="G390">
        <v>0</v>
      </c>
    </row>
    <row r="391" spans="1:8" x14ac:dyDescent="0.25">
      <c r="A391" t="s">
        <v>669</v>
      </c>
      <c r="B391" t="s">
        <v>670</v>
      </c>
      <c r="C391" t="s">
        <v>10</v>
      </c>
      <c r="D391" s="1">
        <v>42373</v>
      </c>
      <c r="E391">
        <v>198237</v>
      </c>
      <c r="F391">
        <v>324</v>
      </c>
      <c r="G391">
        <v>349912</v>
      </c>
      <c r="H391" t="s">
        <v>39</v>
      </c>
    </row>
    <row r="392" spans="1:8" x14ac:dyDescent="0.25">
      <c r="A392" t="s">
        <v>671</v>
      </c>
      <c r="B392" t="s">
        <v>672</v>
      </c>
      <c r="C392" t="s">
        <v>25</v>
      </c>
      <c r="D392" s="1">
        <v>45397</v>
      </c>
      <c r="E392">
        <v>469725</v>
      </c>
      <c r="F392">
        <v>789</v>
      </c>
      <c r="G392">
        <v>0</v>
      </c>
    </row>
    <row r="393" spans="1:8" x14ac:dyDescent="0.25">
      <c r="A393" t="s">
        <v>673</v>
      </c>
      <c r="B393" t="s">
        <v>467</v>
      </c>
      <c r="C393" t="s">
        <v>13</v>
      </c>
      <c r="D393" s="1">
        <v>43996</v>
      </c>
      <c r="E393">
        <v>6859</v>
      </c>
      <c r="F393">
        <v>793</v>
      </c>
      <c r="G393">
        <v>0</v>
      </c>
    </row>
    <row r="394" spans="1:8" x14ac:dyDescent="0.25">
      <c r="A394" t="s">
        <v>674</v>
      </c>
      <c r="B394" t="s">
        <v>34</v>
      </c>
      <c r="C394" t="s">
        <v>25</v>
      </c>
      <c r="D394" s="1">
        <v>43220</v>
      </c>
      <c r="E394">
        <v>434825</v>
      </c>
      <c r="F394">
        <v>613</v>
      </c>
      <c r="G394">
        <v>0</v>
      </c>
    </row>
    <row r="395" spans="1:8" x14ac:dyDescent="0.25">
      <c r="A395" t="s">
        <v>675</v>
      </c>
      <c r="B395" t="s">
        <v>676</v>
      </c>
      <c r="C395" t="s">
        <v>10</v>
      </c>
      <c r="D395" s="1">
        <v>42510</v>
      </c>
      <c r="E395">
        <v>436523</v>
      </c>
      <c r="F395">
        <v>674</v>
      </c>
      <c r="G395">
        <v>0</v>
      </c>
    </row>
    <row r="396" spans="1:8" x14ac:dyDescent="0.25">
      <c r="A396" t="s">
        <v>677</v>
      </c>
      <c r="B396" t="s">
        <v>678</v>
      </c>
      <c r="C396" t="s">
        <v>25</v>
      </c>
      <c r="D396" s="1">
        <v>45296</v>
      </c>
      <c r="E396">
        <v>110986</v>
      </c>
      <c r="F396">
        <v>324</v>
      </c>
      <c r="G396">
        <v>79231</v>
      </c>
      <c r="H396" t="s">
        <v>18</v>
      </c>
    </row>
    <row r="397" spans="1:8" x14ac:dyDescent="0.25">
      <c r="A397" t="s">
        <v>679</v>
      </c>
      <c r="B397" t="s">
        <v>17</v>
      </c>
      <c r="C397" t="s">
        <v>25</v>
      </c>
      <c r="D397" s="1">
        <v>45320</v>
      </c>
      <c r="E397">
        <v>232654</v>
      </c>
      <c r="F397">
        <v>633</v>
      </c>
      <c r="G397">
        <v>0</v>
      </c>
    </row>
    <row r="398" spans="1:8" x14ac:dyDescent="0.25">
      <c r="A398" t="s">
        <v>680</v>
      </c>
      <c r="B398" t="s">
        <v>681</v>
      </c>
      <c r="C398" t="s">
        <v>13</v>
      </c>
      <c r="D398" s="1">
        <v>45508</v>
      </c>
      <c r="E398">
        <v>283983</v>
      </c>
      <c r="F398">
        <v>654</v>
      </c>
      <c r="G398">
        <v>0</v>
      </c>
    </row>
    <row r="399" spans="1:8" x14ac:dyDescent="0.25">
      <c r="A399" t="s">
        <v>682</v>
      </c>
      <c r="B399" t="s">
        <v>683</v>
      </c>
      <c r="C399" t="s">
        <v>13</v>
      </c>
      <c r="D399" s="1">
        <v>45732</v>
      </c>
      <c r="E399">
        <v>289360</v>
      </c>
      <c r="F399">
        <v>415</v>
      </c>
      <c r="G399">
        <v>0</v>
      </c>
      <c r="H399" t="s">
        <v>39</v>
      </c>
    </row>
    <row r="400" spans="1:8" x14ac:dyDescent="0.25">
      <c r="A400" t="s">
        <v>684</v>
      </c>
      <c r="B400" t="s">
        <v>685</v>
      </c>
      <c r="C400" t="s">
        <v>32</v>
      </c>
      <c r="D400" s="1">
        <v>45268</v>
      </c>
      <c r="E400">
        <v>315097</v>
      </c>
      <c r="F400">
        <v>347</v>
      </c>
      <c r="G400">
        <v>0</v>
      </c>
      <c r="H400" t="s">
        <v>39</v>
      </c>
    </row>
    <row r="401" spans="1:8" x14ac:dyDescent="0.25">
      <c r="A401" t="s">
        <v>686</v>
      </c>
      <c r="B401" t="s">
        <v>616</v>
      </c>
      <c r="C401" t="s">
        <v>10</v>
      </c>
      <c r="D401" s="1">
        <v>42266</v>
      </c>
      <c r="E401">
        <v>477697</v>
      </c>
      <c r="F401">
        <v>398</v>
      </c>
      <c r="G401">
        <v>0</v>
      </c>
    </row>
    <row r="402" spans="1:8" x14ac:dyDescent="0.25">
      <c r="A402" t="s">
        <v>687</v>
      </c>
      <c r="B402" t="s">
        <v>688</v>
      </c>
      <c r="C402" t="s">
        <v>32</v>
      </c>
      <c r="D402" s="1">
        <v>43009</v>
      </c>
      <c r="E402">
        <v>453809</v>
      </c>
      <c r="F402">
        <v>758</v>
      </c>
      <c r="G402">
        <v>0</v>
      </c>
    </row>
    <row r="403" spans="1:8" x14ac:dyDescent="0.25">
      <c r="A403" t="s">
        <v>689</v>
      </c>
      <c r="B403" t="s">
        <v>690</v>
      </c>
      <c r="C403" t="s">
        <v>13</v>
      </c>
      <c r="D403" s="1">
        <v>45340</v>
      </c>
      <c r="E403">
        <v>465291</v>
      </c>
      <c r="F403">
        <v>822</v>
      </c>
      <c r="G403">
        <v>0</v>
      </c>
      <c r="H403" t="s">
        <v>59</v>
      </c>
    </row>
    <row r="404" spans="1:8" x14ac:dyDescent="0.25">
      <c r="A404" t="s">
        <v>691</v>
      </c>
      <c r="B404" t="s">
        <v>213</v>
      </c>
      <c r="C404" t="s">
        <v>10</v>
      </c>
      <c r="D404" s="1">
        <v>44561</v>
      </c>
      <c r="E404">
        <v>49522</v>
      </c>
      <c r="F404">
        <v>704</v>
      </c>
      <c r="G404">
        <v>0</v>
      </c>
    </row>
    <row r="405" spans="1:8" x14ac:dyDescent="0.25">
      <c r="A405" t="s">
        <v>692</v>
      </c>
      <c r="B405" t="s">
        <v>213</v>
      </c>
      <c r="C405" t="s">
        <v>25</v>
      </c>
      <c r="D405" s="1">
        <v>44906</v>
      </c>
      <c r="E405">
        <v>230233</v>
      </c>
      <c r="F405">
        <v>513</v>
      </c>
      <c r="G405">
        <v>0</v>
      </c>
    </row>
    <row r="406" spans="1:8" x14ac:dyDescent="0.25">
      <c r="A406" t="s">
        <v>693</v>
      </c>
      <c r="B406" t="s">
        <v>694</v>
      </c>
      <c r="C406" t="s">
        <v>32</v>
      </c>
      <c r="D406" s="1">
        <v>45173</v>
      </c>
      <c r="E406">
        <v>398102</v>
      </c>
      <c r="F406">
        <v>802</v>
      </c>
      <c r="G406">
        <v>0</v>
      </c>
    </row>
    <row r="407" spans="1:8" x14ac:dyDescent="0.25">
      <c r="A407" t="s">
        <v>695</v>
      </c>
      <c r="B407" t="s">
        <v>228</v>
      </c>
      <c r="C407" t="s">
        <v>13</v>
      </c>
      <c r="D407" s="1">
        <v>42287</v>
      </c>
      <c r="E407">
        <v>373393</v>
      </c>
      <c r="F407">
        <v>747</v>
      </c>
      <c r="G407">
        <v>0</v>
      </c>
    </row>
    <row r="408" spans="1:8" x14ac:dyDescent="0.25">
      <c r="A408" t="s">
        <v>696</v>
      </c>
      <c r="B408" t="s">
        <v>697</v>
      </c>
      <c r="C408" t="s">
        <v>25</v>
      </c>
      <c r="D408" s="1">
        <v>45604</v>
      </c>
      <c r="E408">
        <v>7485</v>
      </c>
      <c r="F408">
        <v>557</v>
      </c>
      <c r="G408">
        <v>0</v>
      </c>
    </row>
    <row r="409" spans="1:8" x14ac:dyDescent="0.25">
      <c r="A409" t="s">
        <v>698</v>
      </c>
      <c r="B409" t="s">
        <v>699</v>
      </c>
      <c r="C409" t="s">
        <v>10</v>
      </c>
      <c r="D409" s="1">
        <v>44042</v>
      </c>
      <c r="E409">
        <v>424671</v>
      </c>
      <c r="F409">
        <v>420</v>
      </c>
      <c r="G409">
        <v>460229</v>
      </c>
    </row>
    <row r="410" spans="1:8" x14ac:dyDescent="0.25">
      <c r="A410" t="s">
        <v>700</v>
      </c>
      <c r="B410" t="s">
        <v>701</v>
      </c>
      <c r="C410" t="s">
        <v>13</v>
      </c>
      <c r="D410" s="1">
        <v>44178</v>
      </c>
      <c r="E410">
        <v>243056</v>
      </c>
      <c r="F410">
        <v>353</v>
      </c>
      <c r="G410">
        <v>0</v>
      </c>
    </row>
    <row r="411" spans="1:8" x14ac:dyDescent="0.25">
      <c r="A411" t="s">
        <v>702</v>
      </c>
      <c r="B411" t="s">
        <v>336</v>
      </c>
      <c r="C411" t="s">
        <v>10</v>
      </c>
      <c r="D411" s="1">
        <v>45051</v>
      </c>
      <c r="E411">
        <v>409983</v>
      </c>
      <c r="F411">
        <v>630</v>
      </c>
      <c r="G411">
        <v>0</v>
      </c>
    </row>
    <row r="412" spans="1:8" x14ac:dyDescent="0.25">
      <c r="A412" t="s">
        <v>703</v>
      </c>
      <c r="B412" t="s">
        <v>27</v>
      </c>
      <c r="C412" t="s">
        <v>10</v>
      </c>
      <c r="D412" s="1">
        <v>44267</v>
      </c>
      <c r="E412">
        <v>112701</v>
      </c>
      <c r="F412">
        <v>540</v>
      </c>
      <c r="G412">
        <v>0</v>
      </c>
    </row>
    <row r="413" spans="1:8" x14ac:dyDescent="0.25">
      <c r="A413" t="s">
        <v>704</v>
      </c>
      <c r="B413" t="s">
        <v>71</v>
      </c>
      <c r="C413" t="s">
        <v>32</v>
      </c>
      <c r="D413" s="1">
        <v>44487</v>
      </c>
      <c r="E413">
        <v>421669</v>
      </c>
      <c r="F413">
        <v>829</v>
      </c>
      <c r="G413">
        <v>0</v>
      </c>
    </row>
    <row r="414" spans="1:8" x14ac:dyDescent="0.25">
      <c r="A414" t="s">
        <v>705</v>
      </c>
      <c r="B414" t="s">
        <v>706</v>
      </c>
      <c r="C414" t="s">
        <v>10</v>
      </c>
      <c r="D414" s="1">
        <v>45531</v>
      </c>
      <c r="E414">
        <v>207352</v>
      </c>
      <c r="F414">
        <v>782</v>
      </c>
      <c r="G414">
        <v>0</v>
      </c>
    </row>
    <row r="415" spans="1:8" x14ac:dyDescent="0.25">
      <c r="A415" t="s">
        <v>707</v>
      </c>
      <c r="B415" t="s">
        <v>708</v>
      </c>
      <c r="C415" t="s">
        <v>13</v>
      </c>
      <c r="D415" s="1">
        <v>45135</v>
      </c>
      <c r="E415">
        <v>102638</v>
      </c>
      <c r="F415">
        <v>486</v>
      </c>
      <c r="G415">
        <v>485721</v>
      </c>
    </row>
    <row r="416" spans="1:8" x14ac:dyDescent="0.25">
      <c r="A416" t="s">
        <v>709</v>
      </c>
      <c r="B416" t="s">
        <v>710</v>
      </c>
      <c r="C416" t="s">
        <v>13</v>
      </c>
      <c r="D416" s="1">
        <v>44728</v>
      </c>
      <c r="E416">
        <v>184514</v>
      </c>
      <c r="F416">
        <v>561</v>
      </c>
      <c r="G416">
        <v>0</v>
      </c>
      <c r="H416" t="s">
        <v>18</v>
      </c>
    </row>
    <row r="417" spans="1:8" x14ac:dyDescent="0.25">
      <c r="A417" t="s">
        <v>711</v>
      </c>
      <c r="B417" t="s">
        <v>458</v>
      </c>
      <c r="C417" t="s">
        <v>10</v>
      </c>
      <c r="D417" s="1">
        <v>42894</v>
      </c>
      <c r="E417">
        <v>445093</v>
      </c>
      <c r="F417">
        <v>663</v>
      </c>
      <c r="G417">
        <v>0</v>
      </c>
    </row>
    <row r="418" spans="1:8" x14ac:dyDescent="0.25">
      <c r="A418" t="s">
        <v>712</v>
      </c>
      <c r="B418" t="s">
        <v>713</v>
      </c>
      <c r="C418" t="s">
        <v>13</v>
      </c>
      <c r="D418" s="1">
        <v>44091</v>
      </c>
      <c r="E418">
        <v>274370</v>
      </c>
      <c r="F418">
        <v>790</v>
      </c>
      <c r="G418">
        <v>0</v>
      </c>
    </row>
    <row r="419" spans="1:8" x14ac:dyDescent="0.25">
      <c r="A419" t="s">
        <v>714</v>
      </c>
      <c r="B419" t="s">
        <v>304</v>
      </c>
      <c r="C419" t="s">
        <v>25</v>
      </c>
      <c r="D419" s="1">
        <v>45573</v>
      </c>
      <c r="E419">
        <v>93405</v>
      </c>
      <c r="F419">
        <v>730</v>
      </c>
      <c r="G419">
        <v>0</v>
      </c>
    </row>
    <row r="420" spans="1:8" x14ac:dyDescent="0.25">
      <c r="A420" t="s">
        <v>715</v>
      </c>
      <c r="B420" t="s">
        <v>340</v>
      </c>
      <c r="C420" t="s">
        <v>13</v>
      </c>
      <c r="D420" s="1">
        <v>45645</v>
      </c>
      <c r="E420">
        <v>284732</v>
      </c>
      <c r="F420">
        <v>538</v>
      </c>
      <c r="G420">
        <v>207278</v>
      </c>
    </row>
    <row r="421" spans="1:8" x14ac:dyDescent="0.25">
      <c r="A421" t="s">
        <v>716</v>
      </c>
      <c r="B421" t="s">
        <v>717</v>
      </c>
      <c r="C421" t="s">
        <v>32</v>
      </c>
      <c r="D421" s="1">
        <v>42297</v>
      </c>
      <c r="E421">
        <v>210048</v>
      </c>
      <c r="F421">
        <v>603</v>
      </c>
      <c r="G421">
        <v>0</v>
      </c>
    </row>
    <row r="422" spans="1:8" x14ac:dyDescent="0.25">
      <c r="A422" t="s">
        <v>718</v>
      </c>
      <c r="B422" t="s">
        <v>291</v>
      </c>
      <c r="C422" t="s">
        <v>32</v>
      </c>
      <c r="D422" s="1">
        <v>45530</v>
      </c>
      <c r="E422">
        <v>162781</v>
      </c>
      <c r="F422">
        <v>597</v>
      </c>
      <c r="G422">
        <v>0</v>
      </c>
    </row>
    <row r="423" spans="1:8" x14ac:dyDescent="0.25">
      <c r="A423" t="s">
        <v>719</v>
      </c>
      <c r="B423" t="s">
        <v>720</v>
      </c>
      <c r="C423" t="s">
        <v>10</v>
      </c>
      <c r="D423" s="1">
        <v>44658</v>
      </c>
      <c r="E423">
        <v>441004</v>
      </c>
      <c r="F423">
        <v>375</v>
      </c>
      <c r="G423">
        <v>0</v>
      </c>
    </row>
    <row r="424" spans="1:8" x14ac:dyDescent="0.25">
      <c r="A424" t="s">
        <v>721</v>
      </c>
      <c r="B424" t="s">
        <v>244</v>
      </c>
      <c r="C424" t="s">
        <v>32</v>
      </c>
      <c r="D424" s="1">
        <v>43914</v>
      </c>
      <c r="E424">
        <v>481247</v>
      </c>
      <c r="F424">
        <v>632</v>
      </c>
      <c r="G424">
        <v>0</v>
      </c>
    </row>
    <row r="425" spans="1:8" x14ac:dyDescent="0.25">
      <c r="A425" t="s">
        <v>722</v>
      </c>
      <c r="B425" t="s">
        <v>723</v>
      </c>
      <c r="C425" t="s">
        <v>25</v>
      </c>
      <c r="D425" s="1">
        <v>45720</v>
      </c>
      <c r="E425">
        <v>37019</v>
      </c>
      <c r="F425">
        <v>773</v>
      </c>
      <c r="G425">
        <v>0</v>
      </c>
      <c r="H425" t="s">
        <v>18</v>
      </c>
    </row>
    <row r="426" spans="1:8" x14ac:dyDescent="0.25">
      <c r="A426" t="s">
        <v>724</v>
      </c>
      <c r="B426" t="s">
        <v>725</v>
      </c>
      <c r="C426" t="s">
        <v>10</v>
      </c>
      <c r="D426" s="1">
        <v>45521</v>
      </c>
      <c r="E426">
        <v>438164</v>
      </c>
      <c r="F426">
        <v>582</v>
      </c>
      <c r="G426">
        <v>0</v>
      </c>
      <c r="H426" t="s">
        <v>39</v>
      </c>
    </row>
    <row r="427" spans="1:8" x14ac:dyDescent="0.25">
      <c r="A427" t="s">
        <v>726</v>
      </c>
      <c r="B427" t="s">
        <v>727</v>
      </c>
      <c r="C427" t="s">
        <v>13</v>
      </c>
      <c r="D427" s="1">
        <v>44348</v>
      </c>
      <c r="E427">
        <v>261497</v>
      </c>
      <c r="F427">
        <v>371</v>
      </c>
      <c r="G427">
        <v>0</v>
      </c>
    </row>
    <row r="428" spans="1:8" x14ac:dyDescent="0.25">
      <c r="A428" t="s">
        <v>728</v>
      </c>
      <c r="B428" t="s">
        <v>535</v>
      </c>
      <c r="C428" t="s">
        <v>10</v>
      </c>
      <c r="D428" s="1">
        <v>42950</v>
      </c>
      <c r="E428">
        <v>65133</v>
      </c>
      <c r="F428">
        <v>562</v>
      </c>
      <c r="G428">
        <v>12837</v>
      </c>
    </row>
    <row r="429" spans="1:8" x14ac:dyDescent="0.25">
      <c r="A429" t="s">
        <v>729</v>
      </c>
      <c r="B429" t="s">
        <v>690</v>
      </c>
      <c r="C429" t="s">
        <v>10</v>
      </c>
      <c r="D429" s="1">
        <v>45798</v>
      </c>
      <c r="E429">
        <v>376588</v>
      </c>
      <c r="F429">
        <v>311</v>
      </c>
      <c r="G429">
        <v>0</v>
      </c>
    </row>
    <row r="430" spans="1:8" x14ac:dyDescent="0.25">
      <c r="A430" t="s">
        <v>730</v>
      </c>
      <c r="B430" t="s">
        <v>277</v>
      </c>
      <c r="C430" t="s">
        <v>25</v>
      </c>
      <c r="D430" s="1">
        <v>45563</v>
      </c>
      <c r="E430">
        <v>197530</v>
      </c>
      <c r="F430">
        <v>440</v>
      </c>
      <c r="G430">
        <v>183371</v>
      </c>
      <c r="H430" t="s">
        <v>39</v>
      </c>
    </row>
    <row r="431" spans="1:8" x14ac:dyDescent="0.25">
      <c r="A431" t="s">
        <v>731</v>
      </c>
      <c r="B431" t="s">
        <v>31</v>
      </c>
      <c r="C431" t="s">
        <v>10</v>
      </c>
      <c r="D431" s="1">
        <v>44014</v>
      </c>
      <c r="E431">
        <v>379747</v>
      </c>
      <c r="F431">
        <v>316</v>
      </c>
      <c r="G431">
        <v>0</v>
      </c>
    </row>
    <row r="432" spans="1:8" x14ac:dyDescent="0.25">
      <c r="A432" t="s">
        <v>732</v>
      </c>
      <c r="B432" t="s">
        <v>108</v>
      </c>
      <c r="C432" t="s">
        <v>25</v>
      </c>
      <c r="D432" s="1">
        <v>45166</v>
      </c>
      <c r="E432">
        <v>158598</v>
      </c>
      <c r="F432">
        <v>362</v>
      </c>
      <c r="G432">
        <v>0</v>
      </c>
      <c r="H432" t="s">
        <v>18</v>
      </c>
    </row>
    <row r="433" spans="1:8" x14ac:dyDescent="0.25">
      <c r="A433" t="s">
        <v>733</v>
      </c>
      <c r="B433" t="s">
        <v>283</v>
      </c>
      <c r="C433" t="s">
        <v>10</v>
      </c>
      <c r="D433" s="1">
        <v>44789</v>
      </c>
      <c r="E433">
        <v>466709</v>
      </c>
      <c r="F433">
        <v>552</v>
      </c>
      <c r="G433">
        <v>0</v>
      </c>
      <c r="H433" t="s">
        <v>18</v>
      </c>
    </row>
    <row r="434" spans="1:8" x14ac:dyDescent="0.25">
      <c r="A434" t="s">
        <v>734</v>
      </c>
      <c r="B434" t="s">
        <v>523</v>
      </c>
      <c r="C434" t="s">
        <v>13</v>
      </c>
      <c r="D434" s="1">
        <v>43710</v>
      </c>
      <c r="E434">
        <v>128585</v>
      </c>
      <c r="F434">
        <v>764</v>
      </c>
      <c r="G434">
        <v>0</v>
      </c>
      <c r="H434" t="s">
        <v>59</v>
      </c>
    </row>
    <row r="435" spans="1:8" x14ac:dyDescent="0.25">
      <c r="A435" t="s">
        <v>735</v>
      </c>
      <c r="B435" t="s">
        <v>599</v>
      </c>
      <c r="C435" t="s">
        <v>32</v>
      </c>
      <c r="D435" s="1">
        <v>45679</v>
      </c>
      <c r="E435">
        <v>445414</v>
      </c>
      <c r="F435">
        <v>675</v>
      </c>
      <c r="G435">
        <v>0</v>
      </c>
    </row>
    <row r="436" spans="1:8" x14ac:dyDescent="0.25">
      <c r="A436" t="s">
        <v>736</v>
      </c>
      <c r="B436" t="s">
        <v>324</v>
      </c>
      <c r="C436" t="s">
        <v>10</v>
      </c>
      <c r="D436" s="1">
        <v>45866</v>
      </c>
      <c r="E436">
        <v>245172</v>
      </c>
      <c r="F436">
        <v>819</v>
      </c>
      <c r="G436">
        <v>0</v>
      </c>
    </row>
    <row r="437" spans="1:8" x14ac:dyDescent="0.25">
      <c r="A437" t="s">
        <v>737</v>
      </c>
      <c r="B437" t="s">
        <v>738</v>
      </c>
      <c r="C437" t="s">
        <v>13</v>
      </c>
      <c r="D437" s="1">
        <v>43921</v>
      </c>
      <c r="E437">
        <v>492750</v>
      </c>
      <c r="F437">
        <v>389</v>
      </c>
      <c r="G437">
        <v>0</v>
      </c>
    </row>
    <row r="438" spans="1:8" x14ac:dyDescent="0.25">
      <c r="A438" t="s">
        <v>739</v>
      </c>
      <c r="B438" t="s">
        <v>740</v>
      </c>
      <c r="C438" t="s">
        <v>10</v>
      </c>
      <c r="D438" s="1">
        <v>43848</v>
      </c>
      <c r="E438">
        <v>305539</v>
      </c>
      <c r="F438">
        <v>474</v>
      </c>
      <c r="G438">
        <v>0</v>
      </c>
    </row>
    <row r="439" spans="1:8" x14ac:dyDescent="0.25">
      <c r="A439" t="s">
        <v>741</v>
      </c>
      <c r="B439" t="s">
        <v>118</v>
      </c>
      <c r="C439" t="s">
        <v>13</v>
      </c>
      <c r="D439" s="1">
        <v>45616</v>
      </c>
      <c r="E439">
        <v>417247</v>
      </c>
      <c r="F439">
        <v>375</v>
      </c>
      <c r="G439">
        <v>0</v>
      </c>
      <c r="H439" t="s">
        <v>59</v>
      </c>
    </row>
    <row r="440" spans="1:8" x14ac:dyDescent="0.25">
      <c r="A440" t="s">
        <v>742</v>
      </c>
      <c r="B440" t="s">
        <v>743</v>
      </c>
      <c r="C440" t="s">
        <v>10</v>
      </c>
      <c r="D440" s="1">
        <v>44441</v>
      </c>
      <c r="E440">
        <v>468758</v>
      </c>
      <c r="F440">
        <v>699</v>
      </c>
      <c r="G440">
        <v>0</v>
      </c>
    </row>
    <row r="441" spans="1:8" x14ac:dyDescent="0.25">
      <c r="A441" t="s">
        <v>744</v>
      </c>
      <c r="B441" t="s">
        <v>745</v>
      </c>
      <c r="C441" t="s">
        <v>10</v>
      </c>
      <c r="D441" s="1">
        <v>42791</v>
      </c>
      <c r="E441">
        <v>125814</v>
      </c>
      <c r="F441">
        <v>370</v>
      </c>
      <c r="G441">
        <v>0</v>
      </c>
    </row>
    <row r="442" spans="1:8" x14ac:dyDescent="0.25">
      <c r="A442" t="s">
        <v>746</v>
      </c>
      <c r="B442" t="s">
        <v>53</v>
      </c>
      <c r="C442" t="s">
        <v>10</v>
      </c>
      <c r="D442" s="1">
        <v>44015</v>
      </c>
      <c r="E442">
        <v>430917</v>
      </c>
      <c r="F442">
        <v>479</v>
      </c>
      <c r="G442">
        <v>0</v>
      </c>
    </row>
    <row r="443" spans="1:8" x14ac:dyDescent="0.25">
      <c r="A443" t="s">
        <v>747</v>
      </c>
      <c r="B443" t="s">
        <v>748</v>
      </c>
      <c r="C443" t="s">
        <v>32</v>
      </c>
      <c r="D443" s="1">
        <v>43451</v>
      </c>
      <c r="E443">
        <v>374743</v>
      </c>
      <c r="F443">
        <v>423</v>
      </c>
      <c r="G443">
        <v>0</v>
      </c>
      <c r="H443" t="s">
        <v>39</v>
      </c>
    </row>
    <row r="444" spans="1:8" x14ac:dyDescent="0.25">
      <c r="A444" t="s">
        <v>749</v>
      </c>
      <c r="B444" t="s">
        <v>750</v>
      </c>
      <c r="C444" t="s">
        <v>10</v>
      </c>
      <c r="D444" s="1">
        <v>45088</v>
      </c>
      <c r="E444">
        <v>25939</v>
      </c>
      <c r="F444">
        <v>680</v>
      </c>
      <c r="G444">
        <v>13720</v>
      </c>
    </row>
    <row r="445" spans="1:8" x14ac:dyDescent="0.25">
      <c r="A445" t="s">
        <v>751</v>
      </c>
      <c r="B445" t="s">
        <v>194</v>
      </c>
      <c r="C445" t="s">
        <v>13</v>
      </c>
      <c r="D445" s="1">
        <v>42720</v>
      </c>
      <c r="E445">
        <v>442361</v>
      </c>
      <c r="F445">
        <v>592</v>
      </c>
      <c r="G445">
        <v>173733</v>
      </c>
    </row>
    <row r="446" spans="1:8" x14ac:dyDescent="0.25">
      <c r="A446" t="s">
        <v>752</v>
      </c>
      <c r="B446" t="s">
        <v>371</v>
      </c>
      <c r="C446" t="s">
        <v>10</v>
      </c>
      <c r="D446" s="1">
        <v>42704</v>
      </c>
      <c r="E446">
        <v>413540</v>
      </c>
      <c r="F446">
        <v>494</v>
      </c>
      <c r="G446">
        <v>0</v>
      </c>
    </row>
    <row r="447" spans="1:8" x14ac:dyDescent="0.25">
      <c r="A447" t="s">
        <v>753</v>
      </c>
      <c r="B447" t="s">
        <v>754</v>
      </c>
      <c r="C447" t="s">
        <v>32</v>
      </c>
      <c r="D447" s="1">
        <v>42778</v>
      </c>
      <c r="E447">
        <v>153939</v>
      </c>
      <c r="F447">
        <v>527</v>
      </c>
      <c r="G447">
        <v>229970</v>
      </c>
    </row>
    <row r="448" spans="1:8" x14ac:dyDescent="0.25">
      <c r="A448" t="s">
        <v>755</v>
      </c>
      <c r="B448" t="s">
        <v>485</v>
      </c>
      <c r="C448" t="s">
        <v>13</v>
      </c>
      <c r="D448" s="1">
        <v>43456</v>
      </c>
      <c r="E448">
        <v>262347</v>
      </c>
      <c r="F448">
        <v>730</v>
      </c>
      <c r="G448">
        <v>0</v>
      </c>
      <c r="H448" t="s">
        <v>18</v>
      </c>
    </row>
    <row r="449" spans="1:8" x14ac:dyDescent="0.25">
      <c r="A449" t="s">
        <v>756</v>
      </c>
      <c r="B449" t="s">
        <v>757</v>
      </c>
      <c r="C449" t="s">
        <v>13</v>
      </c>
      <c r="D449" s="1">
        <v>43828</v>
      </c>
      <c r="E449">
        <v>409760</v>
      </c>
      <c r="F449">
        <v>735</v>
      </c>
      <c r="G449">
        <v>0</v>
      </c>
    </row>
    <row r="450" spans="1:8" x14ac:dyDescent="0.25">
      <c r="A450" t="s">
        <v>758</v>
      </c>
      <c r="B450" t="s">
        <v>659</v>
      </c>
      <c r="C450" t="s">
        <v>13</v>
      </c>
      <c r="D450" s="1">
        <v>43877</v>
      </c>
      <c r="E450">
        <v>409115</v>
      </c>
      <c r="F450">
        <v>760</v>
      </c>
      <c r="G450">
        <v>419336</v>
      </c>
      <c r="H450" t="s">
        <v>59</v>
      </c>
    </row>
    <row r="451" spans="1:8" x14ac:dyDescent="0.25">
      <c r="A451" t="s">
        <v>759</v>
      </c>
      <c r="B451" t="s">
        <v>417</v>
      </c>
      <c r="C451" t="s">
        <v>13</v>
      </c>
      <c r="D451" s="1">
        <v>43400</v>
      </c>
      <c r="E451">
        <v>291207</v>
      </c>
      <c r="F451">
        <v>320</v>
      </c>
      <c r="G451">
        <v>0</v>
      </c>
    </row>
    <row r="452" spans="1:8" x14ac:dyDescent="0.25">
      <c r="A452" t="s">
        <v>760</v>
      </c>
      <c r="B452" t="s">
        <v>761</v>
      </c>
      <c r="C452" t="s">
        <v>25</v>
      </c>
      <c r="D452" s="1">
        <v>45318</v>
      </c>
      <c r="E452">
        <v>90880</v>
      </c>
      <c r="F452">
        <v>363</v>
      </c>
      <c r="G452">
        <v>63655</v>
      </c>
    </row>
    <row r="453" spans="1:8" x14ac:dyDescent="0.25">
      <c r="A453" t="s">
        <v>762</v>
      </c>
      <c r="B453" t="s">
        <v>437</v>
      </c>
      <c r="C453" t="s">
        <v>25</v>
      </c>
      <c r="D453" s="1">
        <v>44316</v>
      </c>
      <c r="E453">
        <v>3748</v>
      </c>
      <c r="F453">
        <v>464</v>
      </c>
      <c r="G453">
        <v>0</v>
      </c>
      <c r="H453" t="s">
        <v>18</v>
      </c>
    </row>
    <row r="454" spans="1:8" x14ac:dyDescent="0.25">
      <c r="A454" t="s">
        <v>763</v>
      </c>
      <c r="B454" t="s">
        <v>304</v>
      </c>
      <c r="C454" t="s">
        <v>13</v>
      </c>
      <c r="D454" s="1">
        <v>43213</v>
      </c>
      <c r="E454">
        <v>236094</v>
      </c>
      <c r="F454">
        <v>326</v>
      </c>
      <c r="G454">
        <v>98448</v>
      </c>
    </row>
    <row r="455" spans="1:8" x14ac:dyDescent="0.25">
      <c r="A455" t="s">
        <v>764</v>
      </c>
      <c r="B455" t="s">
        <v>713</v>
      </c>
      <c r="C455" t="s">
        <v>10</v>
      </c>
      <c r="D455" s="1">
        <v>42314</v>
      </c>
      <c r="E455">
        <v>379413</v>
      </c>
      <c r="F455">
        <v>610</v>
      </c>
      <c r="G455">
        <v>0</v>
      </c>
    </row>
    <row r="456" spans="1:8" x14ac:dyDescent="0.25">
      <c r="A456" t="s">
        <v>765</v>
      </c>
      <c r="B456" t="s">
        <v>96</v>
      </c>
      <c r="C456" t="s">
        <v>13</v>
      </c>
      <c r="D456" s="1">
        <v>42841</v>
      </c>
      <c r="E456">
        <v>459845</v>
      </c>
      <c r="F456">
        <v>584</v>
      </c>
      <c r="G456">
        <v>0</v>
      </c>
      <c r="H456" t="s">
        <v>18</v>
      </c>
    </row>
    <row r="457" spans="1:8" x14ac:dyDescent="0.25">
      <c r="A457" t="s">
        <v>766</v>
      </c>
      <c r="B457" t="s">
        <v>388</v>
      </c>
      <c r="C457" t="s">
        <v>32</v>
      </c>
      <c r="D457" s="1">
        <v>44430</v>
      </c>
      <c r="E457">
        <v>342908</v>
      </c>
      <c r="F457">
        <v>580</v>
      </c>
      <c r="G457">
        <v>0</v>
      </c>
    </row>
    <row r="458" spans="1:8" x14ac:dyDescent="0.25">
      <c r="A458" t="s">
        <v>767</v>
      </c>
      <c r="B458" t="s">
        <v>397</v>
      </c>
      <c r="C458" t="s">
        <v>32</v>
      </c>
      <c r="D458" s="1">
        <v>42297</v>
      </c>
      <c r="E458">
        <v>151956</v>
      </c>
      <c r="F458">
        <v>463</v>
      </c>
      <c r="G458">
        <v>0</v>
      </c>
    </row>
    <row r="459" spans="1:8" x14ac:dyDescent="0.25">
      <c r="A459" t="s">
        <v>768</v>
      </c>
      <c r="B459" t="s">
        <v>769</v>
      </c>
      <c r="C459" t="s">
        <v>13</v>
      </c>
      <c r="D459" s="1">
        <v>44081</v>
      </c>
      <c r="E459">
        <v>156255</v>
      </c>
      <c r="F459">
        <v>523</v>
      </c>
      <c r="G459">
        <v>0</v>
      </c>
    </row>
    <row r="460" spans="1:8" x14ac:dyDescent="0.25">
      <c r="A460" t="s">
        <v>770</v>
      </c>
      <c r="B460" t="s">
        <v>92</v>
      </c>
      <c r="C460" t="s">
        <v>25</v>
      </c>
      <c r="D460" s="1">
        <v>44948</v>
      </c>
      <c r="E460">
        <v>474786</v>
      </c>
      <c r="F460">
        <v>445</v>
      </c>
      <c r="G460">
        <v>0</v>
      </c>
    </row>
    <row r="461" spans="1:8" x14ac:dyDescent="0.25">
      <c r="A461" t="s">
        <v>771</v>
      </c>
      <c r="B461" t="s">
        <v>106</v>
      </c>
      <c r="C461" t="s">
        <v>25</v>
      </c>
      <c r="D461" s="1">
        <v>45766</v>
      </c>
      <c r="E461">
        <v>464462</v>
      </c>
      <c r="F461">
        <v>329</v>
      </c>
      <c r="G461">
        <v>0</v>
      </c>
    </row>
    <row r="462" spans="1:8" x14ac:dyDescent="0.25">
      <c r="A462" t="s">
        <v>772</v>
      </c>
      <c r="B462" t="s">
        <v>773</v>
      </c>
      <c r="C462" t="s">
        <v>13</v>
      </c>
      <c r="D462" s="1">
        <v>45360</v>
      </c>
      <c r="E462">
        <v>370180</v>
      </c>
      <c r="F462">
        <v>344</v>
      </c>
      <c r="G462">
        <v>0</v>
      </c>
    </row>
    <row r="463" spans="1:8" x14ac:dyDescent="0.25">
      <c r="A463" t="s">
        <v>774</v>
      </c>
      <c r="B463" t="s">
        <v>508</v>
      </c>
      <c r="C463" t="s">
        <v>13</v>
      </c>
      <c r="D463" s="1">
        <v>44958</v>
      </c>
      <c r="E463">
        <v>150331</v>
      </c>
      <c r="F463">
        <v>770</v>
      </c>
      <c r="G463">
        <v>0</v>
      </c>
    </row>
    <row r="464" spans="1:8" x14ac:dyDescent="0.25">
      <c r="A464" t="s">
        <v>775</v>
      </c>
      <c r="B464" t="s">
        <v>643</v>
      </c>
      <c r="C464" t="s">
        <v>10</v>
      </c>
      <c r="D464" s="1">
        <v>44612</v>
      </c>
      <c r="E464">
        <v>167031</v>
      </c>
      <c r="F464">
        <v>333</v>
      </c>
      <c r="G464">
        <v>0</v>
      </c>
    </row>
    <row r="465" spans="1:8" x14ac:dyDescent="0.25">
      <c r="A465" t="s">
        <v>776</v>
      </c>
      <c r="B465" t="s">
        <v>777</v>
      </c>
      <c r="C465" t="s">
        <v>25</v>
      </c>
      <c r="D465" s="1">
        <v>42705</v>
      </c>
      <c r="E465">
        <v>378669</v>
      </c>
      <c r="F465">
        <v>726</v>
      </c>
      <c r="G465">
        <v>0</v>
      </c>
      <c r="H465" t="s">
        <v>39</v>
      </c>
    </row>
    <row r="466" spans="1:8" x14ac:dyDescent="0.25">
      <c r="A466" t="s">
        <v>778</v>
      </c>
      <c r="B466" t="s">
        <v>645</v>
      </c>
      <c r="C466" t="s">
        <v>32</v>
      </c>
      <c r="D466" s="1">
        <v>44272</v>
      </c>
      <c r="E466">
        <v>426673</v>
      </c>
      <c r="F466">
        <v>520</v>
      </c>
      <c r="G466">
        <v>0</v>
      </c>
    </row>
    <row r="467" spans="1:8" x14ac:dyDescent="0.25">
      <c r="A467" t="s">
        <v>779</v>
      </c>
      <c r="B467" t="s">
        <v>780</v>
      </c>
      <c r="C467" t="s">
        <v>25</v>
      </c>
      <c r="D467" s="1">
        <v>42275</v>
      </c>
      <c r="E467">
        <v>347823</v>
      </c>
      <c r="F467">
        <v>833</v>
      </c>
      <c r="G467">
        <v>0</v>
      </c>
    </row>
    <row r="468" spans="1:8" x14ac:dyDescent="0.25">
      <c r="A468" t="s">
        <v>781</v>
      </c>
      <c r="B468" t="s">
        <v>782</v>
      </c>
      <c r="C468" t="s">
        <v>25</v>
      </c>
      <c r="D468" s="1">
        <v>42732</v>
      </c>
      <c r="E468">
        <v>125829</v>
      </c>
      <c r="F468">
        <v>666</v>
      </c>
      <c r="G468">
        <v>0</v>
      </c>
      <c r="H468" t="s">
        <v>59</v>
      </c>
    </row>
    <row r="469" spans="1:8" x14ac:dyDescent="0.25">
      <c r="A469" t="s">
        <v>783</v>
      </c>
      <c r="B469" t="s">
        <v>784</v>
      </c>
      <c r="C469" t="s">
        <v>10</v>
      </c>
      <c r="D469" s="1">
        <v>42867</v>
      </c>
      <c r="E469">
        <v>128216</v>
      </c>
      <c r="F469">
        <v>849</v>
      </c>
      <c r="G469">
        <v>0</v>
      </c>
    </row>
    <row r="470" spans="1:8" x14ac:dyDescent="0.25">
      <c r="A470" t="s">
        <v>785</v>
      </c>
      <c r="B470" t="s">
        <v>382</v>
      </c>
      <c r="C470" t="s">
        <v>25</v>
      </c>
      <c r="D470" s="1">
        <v>44462</v>
      </c>
      <c r="E470">
        <v>395319</v>
      </c>
      <c r="F470">
        <v>415</v>
      </c>
      <c r="G470">
        <v>0</v>
      </c>
    </row>
    <row r="471" spans="1:8" x14ac:dyDescent="0.25">
      <c r="A471" t="s">
        <v>786</v>
      </c>
      <c r="B471" t="s">
        <v>502</v>
      </c>
      <c r="C471" t="s">
        <v>25</v>
      </c>
      <c r="D471" s="1">
        <v>44646</v>
      </c>
      <c r="E471">
        <v>65901</v>
      </c>
      <c r="F471">
        <v>538</v>
      </c>
      <c r="G471">
        <v>0</v>
      </c>
    </row>
    <row r="472" spans="1:8" x14ac:dyDescent="0.25">
      <c r="A472" t="s">
        <v>787</v>
      </c>
      <c r="B472" t="s">
        <v>74</v>
      </c>
      <c r="C472" t="s">
        <v>13</v>
      </c>
      <c r="D472" s="1">
        <v>43318</v>
      </c>
      <c r="E472">
        <v>243386</v>
      </c>
      <c r="F472">
        <v>634</v>
      </c>
      <c r="G472">
        <v>0</v>
      </c>
      <c r="H472" t="s">
        <v>59</v>
      </c>
    </row>
    <row r="473" spans="1:8" x14ac:dyDescent="0.25">
      <c r="A473" t="s">
        <v>788</v>
      </c>
      <c r="B473" t="s">
        <v>439</v>
      </c>
      <c r="C473" t="s">
        <v>10</v>
      </c>
      <c r="D473" s="1">
        <v>45637</v>
      </c>
      <c r="E473">
        <v>175607</v>
      </c>
      <c r="F473">
        <v>740</v>
      </c>
      <c r="G473">
        <v>464822</v>
      </c>
      <c r="H473" t="s">
        <v>39</v>
      </c>
    </row>
    <row r="474" spans="1:8" x14ac:dyDescent="0.25">
      <c r="A474" t="s">
        <v>789</v>
      </c>
      <c r="B474" t="s">
        <v>311</v>
      </c>
      <c r="C474" t="s">
        <v>25</v>
      </c>
      <c r="D474" s="1">
        <v>44620</v>
      </c>
      <c r="E474">
        <v>409319</v>
      </c>
      <c r="F474">
        <v>447</v>
      </c>
      <c r="G474">
        <v>0</v>
      </c>
    </row>
    <row r="475" spans="1:8" x14ac:dyDescent="0.25">
      <c r="A475" t="s">
        <v>790</v>
      </c>
      <c r="B475" t="s">
        <v>780</v>
      </c>
      <c r="C475" t="s">
        <v>13</v>
      </c>
      <c r="D475" s="1">
        <v>44246</v>
      </c>
      <c r="E475">
        <v>98046</v>
      </c>
      <c r="F475">
        <v>308</v>
      </c>
      <c r="G475">
        <v>236226</v>
      </c>
    </row>
    <row r="476" spans="1:8" x14ac:dyDescent="0.25">
      <c r="A476" t="s">
        <v>791</v>
      </c>
      <c r="B476" t="s">
        <v>285</v>
      </c>
      <c r="C476" t="s">
        <v>25</v>
      </c>
      <c r="D476" s="1">
        <v>43880</v>
      </c>
      <c r="E476">
        <v>352156</v>
      </c>
      <c r="F476">
        <v>587</v>
      </c>
      <c r="G476">
        <v>0</v>
      </c>
      <c r="H476" t="s">
        <v>18</v>
      </c>
    </row>
    <row r="477" spans="1:8" x14ac:dyDescent="0.25">
      <c r="A477" t="s">
        <v>792</v>
      </c>
      <c r="B477" t="s">
        <v>516</v>
      </c>
      <c r="C477" t="s">
        <v>13</v>
      </c>
      <c r="D477" s="1">
        <v>44039</v>
      </c>
      <c r="E477">
        <v>78278</v>
      </c>
      <c r="F477">
        <v>687</v>
      </c>
      <c r="G477">
        <v>452421</v>
      </c>
    </row>
    <row r="478" spans="1:8" x14ac:dyDescent="0.25">
      <c r="A478" t="s">
        <v>793</v>
      </c>
      <c r="B478" t="s">
        <v>78</v>
      </c>
      <c r="C478" t="s">
        <v>10</v>
      </c>
      <c r="D478" s="1">
        <v>43856</v>
      </c>
      <c r="E478">
        <v>274535</v>
      </c>
      <c r="F478">
        <v>349</v>
      </c>
      <c r="G478">
        <v>246766</v>
      </c>
      <c r="H478" t="s">
        <v>18</v>
      </c>
    </row>
    <row r="479" spans="1:8" x14ac:dyDescent="0.25">
      <c r="A479" t="s">
        <v>794</v>
      </c>
      <c r="B479" t="s">
        <v>36</v>
      </c>
      <c r="C479" t="s">
        <v>25</v>
      </c>
      <c r="D479" s="1">
        <v>42968</v>
      </c>
      <c r="E479">
        <v>102476</v>
      </c>
      <c r="F479">
        <v>816</v>
      </c>
      <c r="G479">
        <v>0</v>
      </c>
    </row>
    <row r="480" spans="1:8" x14ac:dyDescent="0.25">
      <c r="A480" t="s">
        <v>795</v>
      </c>
      <c r="B480" t="s">
        <v>796</v>
      </c>
      <c r="C480" t="s">
        <v>13</v>
      </c>
      <c r="D480" s="1">
        <v>45303</v>
      </c>
      <c r="E480">
        <v>422117</v>
      </c>
      <c r="F480">
        <v>577</v>
      </c>
      <c r="G480">
        <v>0</v>
      </c>
    </row>
    <row r="481" spans="1:8" x14ac:dyDescent="0.25">
      <c r="A481" t="s">
        <v>797</v>
      </c>
      <c r="B481" t="s">
        <v>156</v>
      </c>
      <c r="C481" t="s">
        <v>13</v>
      </c>
      <c r="D481" s="1">
        <v>44920</v>
      </c>
      <c r="E481">
        <v>382865</v>
      </c>
      <c r="F481">
        <v>599</v>
      </c>
      <c r="G481">
        <v>362521</v>
      </c>
    </row>
    <row r="482" spans="1:8" x14ac:dyDescent="0.25">
      <c r="A482" t="s">
        <v>798</v>
      </c>
      <c r="B482" t="s">
        <v>120</v>
      </c>
      <c r="C482" t="s">
        <v>10</v>
      </c>
      <c r="D482" s="1">
        <v>43453</v>
      </c>
      <c r="E482">
        <v>97537</v>
      </c>
      <c r="F482">
        <v>434</v>
      </c>
      <c r="G482">
        <v>0</v>
      </c>
    </row>
    <row r="483" spans="1:8" x14ac:dyDescent="0.25">
      <c r="A483" t="s">
        <v>799</v>
      </c>
      <c r="B483" t="s">
        <v>326</v>
      </c>
      <c r="C483" t="s">
        <v>25</v>
      </c>
      <c r="D483" s="1">
        <v>42488</v>
      </c>
      <c r="E483">
        <v>343303</v>
      </c>
      <c r="F483">
        <v>446</v>
      </c>
      <c r="G483">
        <v>0</v>
      </c>
    </row>
    <row r="484" spans="1:8" x14ac:dyDescent="0.25">
      <c r="A484" t="s">
        <v>800</v>
      </c>
      <c r="B484" t="s">
        <v>801</v>
      </c>
      <c r="C484" t="s">
        <v>13</v>
      </c>
      <c r="D484" s="1">
        <v>45807</v>
      </c>
      <c r="E484">
        <v>461130</v>
      </c>
      <c r="F484">
        <v>789</v>
      </c>
      <c r="G484">
        <v>0</v>
      </c>
    </row>
    <row r="485" spans="1:8" x14ac:dyDescent="0.25">
      <c r="A485" t="s">
        <v>802</v>
      </c>
      <c r="B485" t="s">
        <v>803</v>
      </c>
      <c r="C485" t="s">
        <v>32</v>
      </c>
      <c r="D485" s="1">
        <v>45316</v>
      </c>
      <c r="E485">
        <v>393184</v>
      </c>
      <c r="F485">
        <v>777</v>
      </c>
      <c r="G485">
        <v>143266</v>
      </c>
    </row>
    <row r="486" spans="1:8" x14ac:dyDescent="0.25">
      <c r="A486" t="s">
        <v>804</v>
      </c>
      <c r="B486" t="s">
        <v>86</v>
      </c>
      <c r="C486" t="s">
        <v>13</v>
      </c>
      <c r="D486" s="1">
        <v>44719</v>
      </c>
      <c r="E486">
        <v>181429</v>
      </c>
      <c r="F486">
        <v>458</v>
      </c>
      <c r="G486">
        <v>0</v>
      </c>
    </row>
    <row r="487" spans="1:8" x14ac:dyDescent="0.25">
      <c r="A487" t="s">
        <v>805</v>
      </c>
      <c r="B487" t="s">
        <v>806</v>
      </c>
      <c r="C487" t="s">
        <v>32</v>
      </c>
      <c r="D487" s="1">
        <v>44899</v>
      </c>
      <c r="E487">
        <v>217980</v>
      </c>
      <c r="F487">
        <v>683</v>
      </c>
      <c r="G487">
        <v>0</v>
      </c>
      <c r="H487" t="s">
        <v>39</v>
      </c>
    </row>
    <row r="488" spans="1:8" x14ac:dyDescent="0.25">
      <c r="A488" t="s">
        <v>807</v>
      </c>
      <c r="B488" t="s">
        <v>557</v>
      </c>
      <c r="C488" t="s">
        <v>32</v>
      </c>
      <c r="D488" s="1">
        <v>43580</v>
      </c>
      <c r="E488">
        <v>431653</v>
      </c>
      <c r="F488">
        <v>462</v>
      </c>
      <c r="G488">
        <v>217986</v>
      </c>
    </row>
    <row r="489" spans="1:8" x14ac:dyDescent="0.25">
      <c r="A489" t="s">
        <v>808</v>
      </c>
      <c r="B489" t="s">
        <v>809</v>
      </c>
      <c r="C489" t="s">
        <v>10</v>
      </c>
      <c r="D489" s="1">
        <v>43023</v>
      </c>
      <c r="E489">
        <v>297647</v>
      </c>
      <c r="F489">
        <v>740</v>
      </c>
      <c r="G489">
        <v>0</v>
      </c>
    </row>
    <row r="490" spans="1:8" x14ac:dyDescent="0.25">
      <c r="A490" t="s">
        <v>810</v>
      </c>
      <c r="B490" t="s">
        <v>811</v>
      </c>
      <c r="C490" t="s">
        <v>10</v>
      </c>
      <c r="D490" s="1">
        <v>43590</v>
      </c>
      <c r="E490">
        <v>489498</v>
      </c>
      <c r="F490">
        <v>488</v>
      </c>
      <c r="G490">
        <v>0</v>
      </c>
      <c r="H490" t="s">
        <v>18</v>
      </c>
    </row>
    <row r="491" spans="1:8" x14ac:dyDescent="0.25">
      <c r="A491" t="s">
        <v>812</v>
      </c>
      <c r="B491" t="s">
        <v>813</v>
      </c>
      <c r="C491" t="s">
        <v>10</v>
      </c>
      <c r="D491" s="1">
        <v>42833</v>
      </c>
      <c r="E491">
        <v>486675</v>
      </c>
      <c r="F491">
        <v>714</v>
      </c>
      <c r="G491">
        <v>0</v>
      </c>
    </row>
    <row r="492" spans="1:8" x14ac:dyDescent="0.25">
      <c r="A492" t="s">
        <v>814</v>
      </c>
      <c r="B492" t="s">
        <v>815</v>
      </c>
      <c r="C492" t="s">
        <v>10</v>
      </c>
      <c r="D492" s="1">
        <v>44392</v>
      </c>
      <c r="E492">
        <v>75403</v>
      </c>
      <c r="F492">
        <v>638</v>
      </c>
      <c r="G492">
        <v>0</v>
      </c>
      <c r="H492" t="s">
        <v>18</v>
      </c>
    </row>
    <row r="493" spans="1:8" x14ac:dyDescent="0.25">
      <c r="A493" t="s">
        <v>816</v>
      </c>
      <c r="B493" t="s">
        <v>566</v>
      </c>
      <c r="C493" t="s">
        <v>13</v>
      </c>
      <c r="D493" s="1">
        <v>45883</v>
      </c>
      <c r="E493">
        <v>434474</v>
      </c>
      <c r="F493">
        <v>480</v>
      </c>
      <c r="G493">
        <v>0</v>
      </c>
    </row>
    <row r="494" spans="1:8" x14ac:dyDescent="0.25">
      <c r="A494" t="s">
        <v>817</v>
      </c>
      <c r="B494" t="s">
        <v>818</v>
      </c>
      <c r="C494" t="s">
        <v>13</v>
      </c>
      <c r="D494" s="1">
        <v>42379</v>
      </c>
      <c r="E494">
        <v>426940</v>
      </c>
      <c r="F494">
        <v>587</v>
      </c>
      <c r="G494">
        <v>0</v>
      </c>
    </row>
    <row r="495" spans="1:8" x14ac:dyDescent="0.25">
      <c r="A495" t="s">
        <v>819</v>
      </c>
      <c r="B495" t="s">
        <v>820</v>
      </c>
      <c r="C495" t="s">
        <v>13</v>
      </c>
      <c r="D495" s="1">
        <v>43979</v>
      </c>
      <c r="E495">
        <v>64286</v>
      </c>
      <c r="F495">
        <v>486</v>
      </c>
      <c r="G495">
        <v>0</v>
      </c>
      <c r="H495" t="s">
        <v>59</v>
      </c>
    </row>
    <row r="496" spans="1:8" x14ac:dyDescent="0.25">
      <c r="A496" t="s">
        <v>821</v>
      </c>
      <c r="B496" t="s">
        <v>678</v>
      </c>
      <c r="C496" t="s">
        <v>10</v>
      </c>
      <c r="D496" s="1">
        <v>43784</v>
      </c>
      <c r="E496">
        <v>336986</v>
      </c>
      <c r="F496">
        <v>437</v>
      </c>
      <c r="G496">
        <v>0</v>
      </c>
    </row>
    <row r="497" spans="1:7" x14ac:dyDescent="0.25">
      <c r="A497" t="s">
        <v>822</v>
      </c>
      <c r="B497" t="s">
        <v>69</v>
      </c>
      <c r="C497" t="s">
        <v>13</v>
      </c>
      <c r="D497" s="1">
        <v>43590</v>
      </c>
      <c r="E497">
        <v>104927</v>
      </c>
      <c r="F497">
        <v>429</v>
      </c>
      <c r="G497">
        <v>0</v>
      </c>
    </row>
    <row r="498" spans="1:7" x14ac:dyDescent="0.25">
      <c r="A498" t="s">
        <v>823</v>
      </c>
      <c r="B498" t="s">
        <v>824</v>
      </c>
      <c r="C498" t="s">
        <v>10</v>
      </c>
      <c r="D498" s="1">
        <v>45883</v>
      </c>
      <c r="E498">
        <v>277052</v>
      </c>
      <c r="F498">
        <v>493</v>
      </c>
      <c r="G498">
        <v>0</v>
      </c>
    </row>
    <row r="499" spans="1:7" x14ac:dyDescent="0.25">
      <c r="A499" t="s">
        <v>825</v>
      </c>
      <c r="B499" t="s">
        <v>826</v>
      </c>
      <c r="C499" t="s">
        <v>32</v>
      </c>
      <c r="D499" s="1">
        <v>44423</v>
      </c>
      <c r="E499">
        <v>485833</v>
      </c>
      <c r="F499">
        <v>615</v>
      </c>
      <c r="G499">
        <v>419627</v>
      </c>
    </row>
    <row r="500" spans="1:7" x14ac:dyDescent="0.25">
      <c r="A500" t="s">
        <v>827</v>
      </c>
      <c r="B500" t="s">
        <v>828</v>
      </c>
      <c r="C500" t="s">
        <v>13</v>
      </c>
      <c r="D500" s="1">
        <v>43993</v>
      </c>
      <c r="E500">
        <v>443842</v>
      </c>
      <c r="F500">
        <v>443</v>
      </c>
      <c r="G500">
        <v>0</v>
      </c>
    </row>
    <row r="501" spans="1:7" x14ac:dyDescent="0.25">
      <c r="A501" t="s">
        <v>829</v>
      </c>
      <c r="B501" t="s">
        <v>830</v>
      </c>
      <c r="C501" t="s">
        <v>10</v>
      </c>
      <c r="D501" s="1">
        <v>42796</v>
      </c>
      <c r="E501">
        <v>299372</v>
      </c>
      <c r="F501">
        <v>315</v>
      </c>
      <c r="G501">
        <v>0</v>
      </c>
    </row>
    <row r="502" spans="1:7" x14ac:dyDescent="0.25">
      <c r="A502" t="s">
        <v>831</v>
      </c>
      <c r="B502" t="s">
        <v>378</v>
      </c>
      <c r="C502" t="s">
        <v>10</v>
      </c>
      <c r="D502" s="1">
        <v>45482</v>
      </c>
      <c r="E502">
        <v>23386</v>
      </c>
      <c r="F502">
        <v>601</v>
      </c>
      <c r="G502">
        <v>0</v>
      </c>
    </row>
    <row r="503" spans="1:7" x14ac:dyDescent="0.25">
      <c r="A503" t="s">
        <v>832</v>
      </c>
      <c r="B503" t="s">
        <v>322</v>
      </c>
      <c r="C503" t="s">
        <v>25</v>
      </c>
      <c r="D503" s="1">
        <v>44818</v>
      </c>
      <c r="E503">
        <v>177826</v>
      </c>
      <c r="F503">
        <v>722</v>
      </c>
      <c r="G503">
        <v>0</v>
      </c>
    </row>
    <row r="504" spans="1:7" x14ac:dyDescent="0.25">
      <c r="A504" t="s">
        <v>833</v>
      </c>
      <c r="B504" t="s">
        <v>834</v>
      </c>
      <c r="C504" t="s">
        <v>32</v>
      </c>
      <c r="D504" s="1">
        <v>45335</v>
      </c>
      <c r="E504">
        <v>290446</v>
      </c>
      <c r="F504">
        <v>544</v>
      </c>
      <c r="G504">
        <v>0</v>
      </c>
    </row>
    <row r="505" spans="1:7" x14ac:dyDescent="0.25">
      <c r="A505" t="s">
        <v>835</v>
      </c>
      <c r="B505" t="s">
        <v>836</v>
      </c>
      <c r="C505" t="s">
        <v>25</v>
      </c>
      <c r="D505" s="1">
        <v>43824</v>
      </c>
      <c r="E505">
        <v>322959</v>
      </c>
      <c r="F505">
        <v>406</v>
      </c>
      <c r="G505">
        <v>171280</v>
      </c>
    </row>
    <row r="506" spans="1:7" x14ac:dyDescent="0.25">
      <c r="A506" t="s">
        <v>837</v>
      </c>
      <c r="B506" t="s">
        <v>326</v>
      </c>
      <c r="C506" t="s">
        <v>32</v>
      </c>
      <c r="D506" s="1">
        <v>44393</v>
      </c>
      <c r="E506">
        <v>252156</v>
      </c>
      <c r="F506">
        <v>387</v>
      </c>
      <c r="G506">
        <v>0</v>
      </c>
    </row>
    <row r="507" spans="1:7" x14ac:dyDescent="0.25">
      <c r="A507" t="s">
        <v>838</v>
      </c>
      <c r="B507" t="s">
        <v>201</v>
      </c>
      <c r="C507" t="s">
        <v>13</v>
      </c>
      <c r="D507" s="1">
        <v>44200</v>
      </c>
      <c r="E507">
        <v>477964</v>
      </c>
      <c r="F507">
        <v>428</v>
      </c>
      <c r="G507">
        <v>0</v>
      </c>
    </row>
    <row r="508" spans="1:7" x14ac:dyDescent="0.25">
      <c r="A508" t="s">
        <v>839</v>
      </c>
      <c r="B508" t="s">
        <v>840</v>
      </c>
      <c r="C508" t="s">
        <v>25</v>
      </c>
      <c r="D508" s="1">
        <v>45083</v>
      </c>
      <c r="E508">
        <v>325488</v>
      </c>
      <c r="F508">
        <v>640</v>
      </c>
      <c r="G508">
        <v>0</v>
      </c>
    </row>
    <row r="509" spans="1:7" x14ac:dyDescent="0.25">
      <c r="A509" t="s">
        <v>841</v>
      </c>
      <c r="B509" t="s">
        <v>717</v>
      </c>
      <c r="C509" t="s">
        <v>25</v>
      </c>
      <c r="D509" s="1">
        <v>45841</v>
      </c>
      <c r="E509">
        <v>428834</v>
      </c>
      <c r="F509">
        <v>303</v>
      </c>
      <c r="G509">
        <v>260230</v>
      </c>
    </row>
    <row r="510" spans="1:7" x14ac:dyDescent="0.25">
      <c r="A510" t="s">
        <v>842</v>
      </c>
      <c r="B510" t="s">
        <v>154</v>
      </c>
      <c r="C510" t="s">
        <v>13</v>
      </c>
      <c r="D510" s="1">
        <v>45133</v>
      </c>
      <c r="E510">
        <v>373747</v>
      </c>
      <c r="F510">
        <v>626</v>
      </c>
      <c r="G510">
        <v>0</v>
      </c>
    </row>
    <row r="511" spans="1:7" x14ac:dyDescent="0.25">
      <c r="A511" t="s">
        <v>843</v>
      </c>
      <c r="B511" t="s">
        <v>844</v>
      </c>
      <c r="C511" t="s">
        <v>32</v>
      </c>
      <c r="D511" s="1">
        <v>43266</v>
      </c>
      <c r="E511">
        <v>469450</v>
      </c>
      <c r="F511">
        <v>709</v>
      </c>
      <c r="G511">
        <v>0</v>
      </c>
    </row>
    <row r="512" spans="1:7" x14ac:dyDescent="0.25">
      <c r="A512" t="s">
        <v>845</v>
      </c>
      <c r="B512" t="s">
        <v>29</v>
      </c>
      <c r="C512" t="s">
        <v>13</v>
      </c>
      <c r="D512" s="1">
        <v>42377</v>
      </c>
      <c r="E512">
        <v>323258</v>
      </c>
      <c r="F512">
        <v>605</v>
      </c>
      <c r="G512">
        <v>0</v>
      </c>
    </row>
    <row r="513" spans="1:8" x14ac:dyDescent="0.25">
      <c r="A513" t="s">
        <v>846</v>
      </c>
      <c r="B513" t="s">
        <v>847</v>
      </c>
      <c r="C513" t="s">
        <v>10</v>
      </c>
      <c r="D513" s="1">
        <v>43792</v>
      </c>
      <c r="E513">
        <v>248724</v>
      </c>
      <c r="F513">
        <v>524</v>
      </c>
      <c r="G513">
        <v>0</v>
      </c>
    </row>
    <row r="514" spans="1:8" x14ac:dyDescent="0.25">
      <c r="A514" t="s">
        <v>848</v>
      </c>
      <c r="B514" t="s">
        <v>221</v>
      </c>
      <c r="C514" t="s">
        <v>13</v>
      </c>
      <c r="D514" s="1">
        <v>45597</v>
      </c>
      <c r="E514">
        <v>201202</v>
      </c>
      <c r="F514">
        <v>647</v>
      </c>
      <c r="G514">
        <v>0</v>
      </c>
    </row>
    <row r="515" spans="1:8" x14ac:dyDescent="0.25">
      <c r="A515" t="s">
        <v>849</v>
      </c>
      <c r="B515" t="s">
        <v>497</v>
      </c>
      <c r="C515" t="s">
        <v>10</v>
      </c>
      <c r="D515" s="1">
        <v>45621</v>
      </c>
      <c r="E515">
        <v>25525</v>
      </c>
      <c r="F515">
        <v>620</v>
      </c>
      <c r="G515">
        <v>0</v>
      </c>
    </row>
    <row r="516" spans="1:8" x14ac:dyDescent="0.25">
      <c r="A516" t="s">
        <v>850</v>
      </c>
      <c r="B516" t="s">
        <v>655</v>
      </c>
      <c r="C516" t="s">
        <v>25</v>
      </c>
      <c r="D516" s="1">
        <v>45803</v>
      </c>
      <c r="E516">
        <v>79818</v>
      </c>
      <c r="F516">
        <v>480</v>
      </c>
      <c r="G516">
        <v>0</v>
      </c>
    </row>
    <row r="517" spans="1:8" x14ac:dyDescent="0.25">
      <c r="A517" t="s">
        <v>851</v>
      </c>
      <c r="B517" t="s">
        <v>437</v>
      </c>
      <c r="C517" t="s">
        <v>10</v>
      </c>
      <c r="D517" s="1">
        <v>43514</v>
      </c>
      <c r="E517">
        <v>114589</v>
      </c>
      <c r="F517">
        <v>685</v>
      </c>
      <c r="G517">
        <v>210827</v>
      </c>
      <c r="H517" t="s">
        <v>18</v>
      </c>
    </row>
    <row r="518" spans="1:8" x14ac:dyDescent="0.25">
      <c r="A518" t="s">
        <v>852</v>
      </c>
      <c r="B518" t="s">
        <v>433</v>
      </c>
      <c r="C518" t="s">
        <v>10</v>
      </c>
      <c r="D518" s="1">
        <v>43481</v>
      </c>
      <c r="E518">
        <v>145406</v>
      </c>
      <c r="F518">
        <v>407</v>
      </c>
      <c r="G518">
        <v>0</v>
      </c>
    </row>
    <row r="519" spans="1:8" x14ac:dyDescent="0.25">
      <c r="A519" t="s">
        <v>853</v>
      </c>
      <c r="B519" t="s">
        <v>249</v>
      </c>
      <c r="C519" t="s">
        <v>13</v>
      </c>
      <c r="D519" s="1">
        <v>42986</v>
      </c>
      <c r="E519">
        <v>94715</v>
      </c>
      <c r="F519">
        <v>830</v>
      </c>
      <c r="G519">
        <v>0</v>
      </c>
    </row>
    <row r="520" spans="1:8" x14ac:dyDescent="0.25">
      <c r="A520" t="s">
        <v>854</v>
      </c>
      <c r="B520" t="s">
        <v>318</v>
      </c>
      <c r="C520" t="s">
        <v>25</v>
      </c>
      <c r="D520" s="1">
        <v>42510</v>
      </c>
      <c r="E520">
        <v>193839</v>
      </c>
      <c r="F520">
        <v>709</v>
      </c>
      <c r="G520">
        <v>0</v>
      </c>
    </row>
    <row r="521" spans="1:8" x14ac:dyDescent="0.25">
      <c r="A521" t="s">
        <v>855</v>
      </c>
      <c r="B521" t="s">
        <v>638</v>
      </c>
      <c r="C521" t="s">
        <v>13</v>
      </c>
      <c r="D521" s="1">
        <v>43263</v>
      </c>
      <c r="E521">
        <v>268788</v>
      </c>
      <c r="F521">
        <v>595</v>
      </c>
      <c r="G521">
        <v>0</v>
      </c>
      <c r="H521" t="s">
        <v>18</v>
      </c>
    </row>
    <row r="522" spans="1:8" x14ac:dyDescent="0.25">
      <c r="A522" t="s">
        <v>856</v>
      </c>
      <c r="B522" t="s">
        <v>857</v>
      </c>
      <c r="C522" t="s">
        <v>10</v>
      </c>
      <c r="D522" s="1">
        <v>44417</v>
      </c>
      <c r="E522">
        <v>363298</v>
      </c>
      <c r="F522">
        <v>470</v>
      </c>
      <c r="G522">
        <v>0</v>
      </c>
    </row>
    <row r="523" spans="1:8" x14ac:dyDescent="0.25">
      <c r="A523" t="s">
        <v>858</v>
      </c>
      <c r="B523" t="s">
        <v>738</v>
      </c>
      <c r="C523" t="s">
        <v>32</v>
      </c>
      <c r="D523" s="1">
        <v>45035</v>
      </c>
      <c r="E523">
        <v>426149</v>
      </c>
      <c r="F523">
        <v>630</v>
      </c>
      <c r="G523">
        <v>0</v>
      </c>
    </row>
    <row r="524" spans="1:8" x14ac:dyDescent="0.25">
      <c r="A524" t="s">
        <v>859</v>
      </c>
      <c r="B524" t="s">
        <v>47</v>
      </c>
      <c r="C524" t="s">
        <v>25</v>
      </c>
      <c r="D524" s="1">
        <v>44572</v>
      </c>
      <c r="E524">
        <v>257438</v>
      </c>
      <c r="F524">
        <v>792</v>
      </c>
      <c r="G524">
        <v>0</v>
      </c>
      <c r="H524" t="s">
        <v>39</v>
      </c>
    </row>
    <row r="525" spans="1:8" x14ac:dyDescent="0.25">
      <c r="A525" t="s">
        <v>860</v>
      </c>
      <c r="B525" t="s">
        <v>861</v>
      </c>
      <c r="C525" t="s">
        <v>10</v>
      </c>
      <c r="D525" s="1">
        <v>45062</v>
      </c>
      <c r="E525">
        <v>305613</v>
      </c>
      <c r="F525">
        <v>494</v>
      </c>
      <c r="G525">
        <v>0</v>
      </c>
    </row>
    <row r="526" spans="1:8" x14ac:dyDescent="0.25">
      <c r="A526" t="s">
        <v>862</v>
      </c>
      <c r="B526" t="s">
        <v>863</v>
      </c>
      <c r="C526" t="s">
        <v>25</v>
      </c>
      <c r="D526" s="1">
        <v>42325</v>
      </c>
      <c r="E526">
        <v>426903</v>
      </c>
      <c r="F526">
        <v>311</v>
      </c>
      <c r="G526">
        <v>0</v>
      </c>
    </row>
    <row r="527" spans="1:8" x14ac:dyDescent="0.25">
      <c r="A527" t="s">
        <v>864</v>
      </c>
      <c r="B527" t="s">
        <v>425</v>
      </c>
      <c r="C527" t="s">
        <v>25</v>
      </c>
      <c r="D527" s="1">
        <v>43329</v>
      </c>
      <c r="E527">
        <v>368753</v>
      </c>
      <c r="F527">
        <v>494</v>
      </c>
      <c r="G527">
        <v>0</v>
      </c>
    </row>
    <row r="528" spans="1:8" x14ac:dyDescent="0.25">
      <c r="A528" t="s">
        <v>865</v>
      </c>
      <c r="B528" t="s">
        <v>506</v>
      </c>
      <c r="C528" t="s">
        <v>25</v>
      </c>
      <c r="D528" s="1">
        <v>42839</v>
      </c>
      <c r="E528">
        <v>445872</v>
      </c>
      <c r="F528">
        <v>789</v>
      </c>
      <c r="G528">
        <v>0</v>
      </c>
    </row>
    <row r="529" spans="1:8" x14ac:dyDescent="0.25">
      <c r="A529" t="s">
        <v>866</v>
      </c>
      <c r="B529" t="s">
        <v>152</v>
      </c>
      <c r="C529" t="s">
        <v>10</v>
      </c>
      <c r="D529" s="1">
        <v>43168</v>
      </c>
      <c r="E529">
        <v>410591</v>
      </c>
      <c r="F529">
        <v>481</v>
      </c>
      <c r="G529">
        <v>0</v>
      </c>
    </row>
    <row r="530" spans="1:8" x14ac:dyDescent="0.25">
      <c r="A530" t="s">
        <v>867</v>
      </c>
      <c r="B530" t="s">
        <v>610</v>
      </c>
      <c r="C530" t="s">
        <v>13</v>
      </c>
      <c r="D530" s="1">
        <v>45860</v>
      </c>
      <c r="E530">
        <v>327350</v>
      </c>
      <c r="F530">
        <v>615</v>
      </c>
      <c r="G530">
        <v>0</v>
      </c>
    </row>
    <row r="531" spans="1:8" x14ac:dyDescent="0.25">
      <c r="A531" t="s">
        <v>868</v>
      </c>
      <c r="B531" t="s">
        <v>769</v>
      </c>
      <c r="C531" t="s">
        <v>13</v>
      </c>
      <c r="D531" s="1">
        <v>42689</v>
      </c>
      <c r="E531">
        <v>358606</v>
      </c>
      <c r="F531">
        <v>329</v>
      </c>
      <c r="G531">
        <v>0</v>
      </c>
    </row>
    <row r="532" spans="1:8" x14ac:dyDescent="0.25">
      <c r="A532" t="s">
        <v>869</v>
      </c>
      <c r="B532" t="s">
        <v>493</v>
      </c>
      <c r="C532" t="s">
        <v>13</v>
      </c>
      <c r="D532" s="1">
        <v>44599</v>
      </c>
      <c r="E532">
        <v>167679</v>
      </c>
      <c r="F532">
        <v>395</v>
      </c>
      <c r="G532">
        <v>0</v>
      </c>
    </row>
    <row r="533" spans="1:8" x14ac:dyDescent="0.25">
      <c r="A533" t="s">
        <v>870</v>
      </c>
      <c r="B533" t="s">
        <v>170</v>
      </c>
      <c r="C533" t="s">
        <v>10</v>
      </c>
      <c r="D533" s="1">
        <v>43698</v>
      </c>
      <c r="E533">
        <v>83178</v>
      </c>
      <c r="F533">
        <v>680</v>
      </c>
      <c r="G533">
        <v>0</v>
      </c>
    </row>
    <row r="534" spans="1:8" x14ac:dyDescent="0.25">
      <c r="A534" t="s">
        <v>871</v>
      </c>
      <c r="B534" t="s">
        <v>49</v>
      </c>
      <c r="C534" t="s">
        <v>13</v>
      </c>
      <c r="D534" s="1">
        <v>43058</v>
      </c>
      <c r="E534">
        <v>417209</v>
      </c>
      <c r="F534">
        <v>743</v>
      </c>
      <c r="G534">
        <v>0</v>
      </c>
    </row>
    <row r="535" spans="1:8" x14ac:dyDescent="0.25">
      <c r="A535" t="s">
        <v>872</v>
      </c>
      <c r="B535" t="s">
        <v>367</v>
      </c>
      <c r="C535" t="s">
        <v>10</v>
      </c>
      <c r="D535" s="1">
        <v>43353</v>
      </c>
      <c r="E535">
        <v>175458</v>
      </c>
      <c r="F535">
        <v>597</v>
      </c>
      <c r="G535">
        <v>0</v>
      </c>
    </row>
    <row r="536" spans="1:8" x14ac:dyDescent="0.25">
      <c r="A536" t="s">
        <v>873</v>
      </c>
      <c r="B536" t="s">
        <v>874</v>
      </c>
      <c r="C536" t="s">
        <v>13</v>
      </c>
      <c r="D536" s="1">
        <v>42428</v>
      </c>
      <c r="E536">
        <v>254466</v>
      </c>
      <c r="F536">
        <v>660</v>
      </c>
      <c r="G536">
        <v>0</v>
      </c>
    </row>
    <row r="537" spans="1:8" x14ac:dyDescent="0.25">
      <c r="A537" t="s">
        <v>875</v>
      </c>
      <c r="B537" t="s">
        <v>624</v>
      </c>
      <c r="C537" t="s">
        <v>13</v>
      </c>
      <c r="D537" s="1">
        <v>42353</v>
      </c>
      <c r="E537">
        <v>439503</v>
      </c>
      <c r="F537">
        <v>673</v>
      </c>
      <c r="G537">
        <v>0</v>
      </c>
    </row>
    <row r="538" spans="1:8" x14ac:dyDescent="0.25">
      <c r="A538" t="s">
        <v>876</v>
      </c>
      <c r="B538" t="s">
        <v>877</v>
      </c>
      <c r="C538" t="s">
        <v>25</v>
      </c>
      <c r="D538" s="1">
        <v>44198</v>
      </c>
      <c r="E538">
        <v>86724</v>
      </c>
      <c r="F538">
        <v>602</v>
      </c>
      <c r="G538">
        <v>0</v>
      </c>
      <c r="H538" t="s">
        <v>39</v>
      </c>
    </row>
    <row r="539" spans="1:8" x14ac:dyDescent="0.25">
      <c r="A539" t="s">
        <v>878</v>
      </c>
      <c r="B539" t="s">
        <v>69</v>
      </c>
      <c r="C539" t="s">
        <v>10</v>
      </c>
      <c r="D539" s="1">
        <v>45888</v>
      </c>
      <c r="E539">
        <v>229204</v>
      </c>
      <c r="F539">
        <v>720</v>
      </c>
      <c r="G539">
        <v>0</v>
      </c>
    </row>
    <row r="540" spans="1:8" x14ac:dyDescent="0.25">
      <c r="A540" t="s">
        <v>879</v>
      </c>
      <c r="B540" t="s">
        <v>106</v>
      </c>
      <c r="C540" t="s">
        <v>13</v>
      </c>
      <c r="D540" s="1">
        <v>42409</v>
      </c>
      <c r="E540">
        <v>486524</v>
      </c>
      <c r="F540">
        <v>545</v>
      </c>
      <c r="G540">
        <v>0</v>
      </c>
    </row>
    <row r="541" spans="1:8" x14ac:dyDescent="0.25">
      <c r="A541" t="s">
        <v>880</v>
      </c>
      <c r="B541" t="s">
        <v>619</v>
      </c>
      <c r="C541" t="s">
        <v>25</v>
      </c>
      <c r="D541" s="1">
        <v>43728</v>
      </c>
      <c r="E541">
        <v>96393</v>
      </c>
      <c r="F541">
        <v>536</v>
      </c>
      <c r="G541">
        <v>0</v>
      </c>
    </row>
    <row r="542" spans="1:8" x14ac:dyDescent="0.25">
      <c r="A542" t="s">
        <v>881</v>
      </c>
      <c r="B542" t="s">
        <v>882</v>
      </c>
      <c r="C542" t="s">
        <v>13</v>
      </c>
      <c r="D542" s="1">
        <v>42837</v>
      </c>
      <c r="E542">
        <v>389458</v>
      </c>
      <c r="F542">
        <v>833</v>
      </c>
      <c r="G542">
        <v>0</v>
      </c>
    </row>
    <row r="543" spans="1:8" x14ac:dyDescent="0.25">
      <c r="A543" t="s">
        <v>883</v>
      </c>
      <c r="B543" t="s">
        <v>610</v>
      </c>
      <c r="C543" t="s">
        <v>25</v>
      </c>
      <c r="D543" s="1">
        <v>42445</v>
      </c>
      <c r="E543">
        <v>76312</v>
      </c>
      <c r="F543">
        <v>484</v>
      </c>
      <c r="G543">
        <v>0</v>
      </c>
    </row>
    <row r="544" spans="1:8" x14ac:dyDescent="0.25">
      <c r="A544" t="s">
        <v>884</v>
      </c>
      <c r="B544" t="s">
        <v>690</v>
      </c>
      <c r="C544" t="s">
        <v>25</v>
      </c>
      <c r="D544" s="1">
        <v>45644</v>
      </c>
      <c r="E544">
        <v>491587</v>
      </c>
      <c r="F544">
        <v>767</v>
      </c>
      <c r="G544">
        <v>0</v>
      </c>
    </row>
    <row r="545" spans="1:8" x14ac:dyDescent="0.25">
      <c r="A545" t="s">
        <v>885</v>
      </c>
      <c r="B545" t="s">
        <v>120</v>
      </c>
      <c r="C545" t="s">
        <v>13</v>
      </c>
      <c r="D545" s="1">
        <v>44346</v>
      </c>
      <c r="E545">
        <v>337468</v>
      </c>
      <c r="F545">
        <v>662</v>
      </c>
      <c r="G545">
        <v>0</v>
      </c>
      <c r="H545" t="s">
        <v>59</v>
      </c>
    </row>
    <row r="546" spans="1:8" x14ac:dyDescent="0.25">
      <c r="A546" t="s">
        <v>886</v>
      </c>
      <c r="B546" t="s">
        <v>887</v>
      </c>
      <c r="C546" t="s">
        <v>25</v>
      </c>
      <c r="D546" s="1">
        <v>43893</v>
      </c>
      <c r="E546">
        <v>71196</v>
      </c>
      <c r="F546">
        <v>582</v>
      </c>
      <c r="G546">
        <v>0</v>
      </c>
    </row>
    <row r="547" spans="1:8" x14ac:dyDescent="0.25">
      <c r="A547" t="s">
        <v>888</v>
      </c>
      <c r="B547" t="s">
        <v>251</v>
      </c>
      <c r="C547" t="s">
        <v>10</v>
      </c>
      <c r="D547" s="1">
        <v>45656</v>
      </c>
      <c r="E547">
        <v>70014</v>
      </c>
      <c r="F547">
        <v>635</v>
      </c>
      <c r="G547">
        <v>0</v>
      </c>
      <c r="H547" t="s">
        <v>18</v>
      </c>
    </row>
    <row r="548" spans="1:8" x14ac:dyDescent="0.25">
      <c r="A548" t="s">
        <v>889</v>
      </c>
      <c r="B548" t="s">
        <v>890</v>
      </c>
      <c r="C548" t="s">
        <v>10</v>
      </c>
      <c r="D548" s="1">
        <v>42982</v>
      </c>
      <c r="E548">
        <v>401426</v>
      </c>
      <c r="F548">
        <v>461</v>
      </c>
      <c r="G548">
        <v>0</v>
      </c>
    </row>
    <row r="549" spans="1:8" x14ac:dyDescent="0.25">
      <c r="A549" t="s">
        <v>891</v>
      </c>
      <c r="B549" t="s">
        <v>796</v>
      </c>
      <c r="C549" t="s">
        <v>13</v>
      </c>
      <c r="D549" s="1">
        <v>44218</v>
      </c>
      <c r="E549">
        <v>141994</v>
      </c>
      <c r="F549">
        <v>459</v>
      </c>
      <c r="G549">
        <v>0</v>
      </c>
    </row>
    <row r="550" spans="1:8" x14ac:dyDescent="0.25">
      <c r="A550" t="s">
        <v>892</v>
      </c>
      <c r="B550" t="s">
        <v>893</v>
      </c>
      <c r="C550" t="s">
        <v>13</v>
      </c>
      <c r="D550" s="1">
        <v>45320</v>
      </c>
      <c r="E550">
        <v>429505</v>
      </c>
      <c r="F550">
        <v>773</v>
      </c>
      <c r="G550">
        <v>0</v>
      </c>
    </row>
    <row r="551" spans="1:8" x14ac:dyDescent="0.25">
      <c r="A551" t="s">
        <v>894</v>
      </c>
      <c r="B551" t="s">
        <v>547</v>
      </c>
      <c r="C551" t="s">
        <v>32</v>
      </c>
      <c r="D551" s="1">
        <v>44228</v>
      </c>
      <c r="E551">
        <v>33340</v>
      </c>
      <c r="F551">
        <v>621</v>
      </c>
      <c r="G551">
        <v>0</v>
      </c>
    </row>
    <row r="552" spans="1:8" x14ac:dyDescent="0.25">
      <c r="A552" t="s">
        <v>895</v>
      </c>
      <c r="B552" t="s">
        <v>437</v>
      </c>
      <c r="C552" t="s">
        <v>13</v>
      </c>
      <c r="D552" s="1">
        <v>44768</v>
      </c>
      <c r="E552">
        <v>301994</v>
      </c>
      <c r="F552">
        <v>311</v>
      </c>
      <c r="G552">
        <v>445977</v>
      </c>
    </row>
    <row r="553" spans="1:8" x14ac:dyDescent="0.25">
      <c r="A553" t="s">
        <v>896</v>
      </c>
      <c r="B553" t="s">
        <v>897</v>
      </c>
      <c r="C553" t="s">
        <v>10</v>
      </c>
      <c r="D553" s="1">
        <v>45761</v>
      </c>
      <c r="E553">
        <v>450200</v>
      </c>
      <c r="F553">
        <v>723</v>
      </c>
      <c r="G553">
        <v>0</v>
      </c>
      <c r="H553" t="s">
        <v>39</v>
      </c>
    </row>
    <row r="554" spans="1:8" x14ac:dyDescent="0.25">
      <c r="A554" t="s">
        <v>898</v>
      </c>
      <c r="B554" t="s">
        <v>706</v>
      </c>
      <c r="C554" t="s">
        <v>10</v>
      </c>
      <c r="D554" s="1">
        <v>45828</v>
      </c>
      <c r="E554">
        <v>496915</v>
      </c>
      <c r="F554">
        <v>372</v>
      </c>
      <c r="G554">
        <v>0</v>
      </c>
      <c r="H554" t="s">
        <v>59</v>
      </c>
    </row>
    <row r="555" spans="1:8" x14ac:dyDescent="0.25">
      <c r="A555" t="s">
        <v>899</v>
      </c>
      <c r="B555" t="s">
        <v>672</v>
      </c>
      <c r="C555" t="s">
        <v>10</v>
      </c>
      <c r="D555" s="1">
        <v>44193</v>
      </c>
      <c r="E555">
        <v>113711</v>
      </c>
      <c r="F555">
        <v>500</v>
      </c>
      <c r="G555">
        <v>0</v>
      </c>
    </row>
    <row r="556" spans="1:8" x14ac:dyDescent="0.25">
      <c r="A556" t="s">
        <v>900</v>
      </c>
      <c r="B556" t="s">
        <v>166</v>
      </c>
      <c r="C556" t="s">
        <v>13</v>
      </c>
      <c r="D556" s="1">
        <v>43528</v>
      </c>
      <c r="E556">
        <v>215250</v>
      </c>
      <c r="F556">
        <v>821</v>
      </c>
      <c r="G556">
        <v>0</v>
      </c>
      <c r="H556" t="s">
        <v>59</v>
      </c>
    </row>
    <row r="557" spans="1:8" x14ac:dyDescent="0.25">
      <c r="A557" t="s">
        <v>901</v>
      </c>
      <c r="B557" t="s">
        <v>84</v>
      </c>
      <c r="C557" t="s">
        <v>13</v>
      </c>
      <c r="D557" s="1">
        <v>42366</v>
      </c>
      <c r="E557">
        <v>11094</v>
      </c>
      <c r="F557">
        <v>804</v>
      </c>
      <c r="G557">
        <v>0</v>
      </c>
      <c r="H557" t="s">
        <v>59</v>
      </c>
    </row>
    <row r="558" spans="1:8" x14ac:dyDescent="0.25">
      <c r="A558" t="s">
        <v>902</v>
      </c>
      <c r="B558" t="s">
        <v>322</v>
      </c>
      <c r="C558" t="s">
        <v>25</v>
      </c>
      <c r="D558" s="1">
        <v>44517</v>
      </c>
      <c r="E558">
        <v>350103</v>
      </c>
      <c r="F558">
        <v>338</v>
      </c>
      <c r="G558">
        <v>281601</v>
      </c>
    </row>
    <row r="559" spans="1:8" x14ac:dyDescent="0.25">
      <c r="A559" t="s">
        <v>903</v>
      </c>
      <c r="B559" t="s">
        <v>904</v>
      </c>
      <c r="C559" t="s">
        <v>13</v>
      </c>
      <c r="D559" s="1">
        <v>44132</v>
      </c>
      <c r="E559">
        <v>426634</v>
      </c>
      <c r="F559">
        <v>359</v>
      </c>
      <c r="G559">
        <v>0</v>
      </c>
    </row>
    <row r="560" spans="1:8" x14ac:dyDescent="0.25">
      <c r="A560" t="s">
        <v>905</v>
      </c>
      <c r="B560" t="s">
        <v>525</v>
      </c>
      <c r="C560" t="s">
        <v>13</v>
      </c>
      <c r="D560" s="1">
        <v>42926</v>
      </c>
      <c r="E560">
        <v>267885</v>
      </c>
      <c r="F560">
        <v>620</v>
      </c>
      <c r="G560">
        <v>108619</v>
      </c>
    </row>
    <row r="561" spans="1:8" x14ac:dyDescent="0.25">
      <c r="A561" t="s">
        <v>906</v>
      </c>
      <c r="B561" t="s">
        <v>326</v>
      </c>
      <c r="C561" t="s">
        <v>13</v>
      </c>
      <c r="D561" s="1">
        <v>45370</v>
      </c>
      <c r="E561">
        <v>111585</v>
      </c>
      <c r="F561">
        <v>734</v>
      </c>
      <c r="G561">
        <v>0</v>
      </c>
    </row>
    <row r="562" spans="1:8" x14ac:dyDescent="0.25">
      <c r="A562" t="s">
        <v>907</v>
      </c>
      <c r="B562" t="s">
        <v>306</v>
      </c>
      <c r="C562" t="s">
        <v>10</v>
      </c>
      <c r="D562" s="1">
        <v>43431</v>
      </c>
      <c r="E562">
        <v>465590</v>
      </c>
      <c r="F562">
        <v>707</v>
      </c>
      <c r="G562">
        <v>0</v>
      </c>
    </row>
    <row r="563" spans="1:8" x14ac:dyDescent="0.25">
      <c r="A563" t="s">
        <v>908</v>
      </c>
      <c r="B563" t="s">
        <v>909</v>
      </c>
      <c r="C563" t="s">
        <v>25</v>
      </c>
      <c r="D563" s="1">
        <v>45681</v>
      </c>
      <c r="E563">
        <v>384708</v>
      </c>
      <c r="F563">
        <v>685</v>
      </c>
      <c r="G563">
        <v>0</v>
      </c>
    </row>
    <row r="564" spans="1:8" x14ac:dyDescent="0.25">
      <c r="A564" t="s">
        <v>910</v>
      </c>
      <c r="B564" t="s">
        <v>516</v>
      </c>
      <c r="C564" t="s">
        <v>13</v>
      </c>
      <c r="D564" s="1">
        <v>44192</v>
      </c>
      <c r="E564">
        <v>68798</v>
      </c>
      <c r="F564">
        <v>377</v>
      </c>
      <c r="G564">
        <v>0</v>
      </c>
    </row>
    <row r="565" spans="1:8" x14ac:dyDescent="0.25">
      <c r="A565" t="s">
        <v>911</v>
      </c>
      <c r="B565" t="s">
        <v>487</v>
      </c>
      <c r="C565" t="s">
        <v>13</v>
      </c>
      <c r="D565" s="1">
        <v>43116</v>
      </c>
      <c r="E565">
        <v>378170</v>
      </c>
      <c r="F565">
        <v>493</v>
      </c>
      <c r="G565">
        <v>404346</v>
      </c>
    </row>
    <row r="566" spans="1:8" x14ac:dyDescent="0.25">
      <c r="A566" t="s">
        <v>912</v>
      </c>
      <c r="B566" t="s">
        <v>828</v>
      </c>
      <c r="C566" t="s">
        <v>13</v>
      </c>
      <c r="D566" s="1">
        <v>43174</v>
      </c>
      <c r="E566">
        <v>201604</v>
      </c>
      <c r="F566">
        <v>584</v>
      </c>
      <c r="G566">
        <v>0</v>
      </c>
    </row>
    <row r="567" spans="1:8" x14ac:dyDescent="0.25">
      <c r="A567" t="s">
        <v>913</v>
      </c>
      <c r="B567" t="s">
        <v>847</v>
      </c>
      <c r="C567" t="s">
        <v>25</v>
      </c>
      <c r="D567" s="1">
        <v>44298</v>
      </c>
      <c r="E567">
        <v>110130</v>
      </c>
      <c r="F567">
        <v>826</v>
      </c>
      <c r="G567">
        <v>0</v>
      </c>
    </row>
    <row r="568" spans="1:8" x14ac:dyDescent="0.25">
      <c r="A568" t="s">
        <v>914</v>
      </c>
      <c r="B568" t="s">
        <v>915</v>
      </c>
      <c r="C568" t="s">
        <v>10</v>
      </c>
      <c r="D568" s="1">
        <v>43130</v>
      </c>
      <c r="E568">
        <v>284308</v>
      </c>
      <c r="F568">
        <v>823</v>
      </c>
      <c r="G568">
        <v>0</v>
      </c>
    </row>
    <row r="569" spans="1:8" x14ac:dyDescent="0.25">
      <c r="A569" t="s">
        <v>916</v>
      </c>
      <c r="B569" t="s">
        <v>727</v>
      </c>
      <c r="C569" t="s">
        <v>10</v>
      </c>
      <c r="D569" s="1">
        <v>42498</v>
      </c>
      <c r="E569">
        <v>166667</v>
      </c>
      <c r="F569">
        <v>455</v>
      </c>
      <c r="G569">
        <v>0</v>
      </c>
      <c r="H569" t="s">
        <v>18</v>
      </c>
    </row>
    <row r="570" spans="1:8" x14ac:dyDescent="0.25">
      <c r="A570" t="s">
        <v>917</v>
      </c>
      <c r="B570" t="s">
        <v>287</v>
      </c>
      <c r="C570" t="s">
        <v>25</v>
      </c>
      <c r="D570" s="1">
        <v>43073</v>
      </c>
      <c r="E570">
        <v>30257</v>
      </c>
      <c r="F570">
        <v>639</v>
      </c>
      <c r="G570">
        <v>0</v>
      </c>
      <c r="H570" t="s">
        <v>59</v>
      </c>
    </row>
    <row r="571" spans="1:8" x14ac:dyDescent="0.25">
      <c r="A571" t="s">
        <v>918</v>
      </c>
      <c r="B571" t="s">
        <v>464</v>
      </c>
      <c r="C571" t="s">
        <v>10</v>
      </c>
      <c r="D571" s="1">
        <v>45781</v>
      </c>
      <c r="E571">
        <v>407427</v>
      </c>
      <c r="F571">
        <v>424</v>
      </c>
      <c r="G571">
        <v>0</v>
      </c>
      <c r="H571" t="s">
        <v>18</v>
      </c>
    </row>
    <row r="572" spans="1:8" x14ac:dyDescent="0.25">
      <c r="A572" t="s">
        <v>919</v>
      </c>
      <c r="B572" t="s">
        <v>71</v>
      </c>
      <c r="C572" t="s">
        <v>25</v>
      </c>
      <c r="D572" s="1">
        <v>42491</v>
      </c>
      <c r="E572">
        <v>358133</v>
      </c>
      <c r="F572">
        <v>579</v>
      </c>
      <c r="G572">
        <v>0</v>
      </c>
    </row>
    <row r="573" spans="1:8" x14ac:dyDescent="0.25">
      <c r="A573" t="s">
        <v>920</v>
      </c>
      <c r="B573" t="s">
        <v>921</v>
      </c>
      <c r="C573" t="s">
        <v>25</v>
      </c>
      <c r="D573" s="1">
        <v>43733</v>
      </c>
      <c r="E573">
        <v>398448</v>
      </c>
      <c r="F573">
        <v>427</v>
      </c>
      <c r="G573">
        <v>0</v>
      </c>
    </row>
    <row r="574" spans="1:8" x14ac:dyDescent="0.25">
      <c r="A574" t="s">
        <v>922</v>
      </c>
      <c r="B574" t="s">
        <v>410</v>
      </c>
      <c r="C574" t="s">
        <v>13</v>
      </c>
      <c r="D574" s="1">
        <v>45164</v>
      </c>
      <c r="E574">
        <v>460969</v>
      </c>
      <c r="F574">
        <v>613</v>
      </c>
      <c r="G574">
        <v>0</v>
      </c>
    </row>
    <row r="575" spans="1:8" x14ac:dyDescent="0.25">
      <c r="A575" t="s">
        <v>923</v>
      </c>
      <c r="B575" t="s">
        <v>924</v>
      </c>
      <c r="C575" t="s">
        <v>13</v>
      </c>
      <c r="D575" s="1">
        <v>43082</v>
      </c>
      <c r="E575">
        <v>52691</v>
      </c>
      <c r="F575">
        <v>631</v>
      </c>
      <c r="G575">
        <v>0</v>
      </c>
    </row>
    <row r="576" spans="1:8" x14ac:dyDescent="0.25">
      <c r="A576" t="s">
        <v>925</v>
      </c>
      <c r="B576" t="s">
        <v>427</v>
      </c>
      <c r="C576" t="s">
        <v>13</v>
      </c>
      <c r="D576" s="1">
        <v>43462</v>
      </c>
      <c r="E576">
        <v>482981</v>
      </c>
      <c r="F576">
        <v>449</v>
      </c>
      <c r="G576">
        <v>345281</v>
      </c>
    </row>
    <row r="577" spans="1:8" x14ac:dyDescent="0.25">
      <c r="A577" t="s">
        <v>926</v>
      </c>
      <c r="B577" t="s">
        <v>863</v>
      </c>
      <c r="C577" t="s">
        <v>13</v>
      </c>
      <c r="D577" s="1">
        <v>43189</v>
      </c>
      <c r="E577">
        <v>79768</v>
      </c>
      <c r="F577">
        <v>753</v>
      </c>
      <c r="G577">
        <v>0</v>
      </c>
      <c r="H577" t="s">
        <v>39</v>
      </c>
    </row>
    <row r="578" spans="1:8" x14ac:dyDescent="0.25">
      <c r="A578" t="s">
        <v>927</v>
      </c>
      <c r="B578" t="s">
        <v>369</v>
      </c>
      <c r="C578" t="s">
        <v>32</v>
      </c>
      <c r="D578" s="1">
        <v>42386</v>
      </c>
      <c r="E578">
        <v>418829</v>
      </c>
      <c r="F578">
        <v>335</v>
      </c>
      <c r="G578">
        <v>0</v>
      </c>
    </row>
    <row r="579" spans="1:8" x14ac:dyDescent="0.25">
      <c r="A579" t="s">
        <v>928</v>
      </c>
      <c r="B579" t="s">
        <v>357</v>
      </c>
      <c r="C579" t="s">
        <v>10</v>
      </c>
      <c r="D579" s="1">
        <v>45188</v>
      </c>
      <c r="E579">
        <v>14026</v>
      </c>
      <c r="F579">
        <v>719</v>
      </c>
      <c r="G579">
        <v>0</v>
      </c>
    </row>
    <row r="580" spans="1:8" x14ac:dyDescent="0.25">
      <c r="A580" t="s">
        <v>929</v>
      </c>
      <c r="B580" t="s">
        <v>251</v>
      </c>
      <c r="C580" t="s">
        <v>13</v>
      </c>
      <c r="D580" s="1">
        <v>45089</v>
      </c>
      <c r="E580">
        <v>446751</v>
      </c>
      <c r="F580">
        <v>321</v>
      </c>
      <c r="G580">
        <v>0</v>
      </c>
    </row>
    <row r="581" spans="1:8" x14ac:dyDescent="0.25">
      <c r="A581" t="s">
        <v>930</v>
      </c>
      <c r="B581" t="s">
        <v>297</v>
      </c>
      <c r="C581" t="s">
        <v>25</v>
      </c>
      <c r="D581" s="1">
        <v>45335</v>
      </c>
      <c r="E581">
        <v>225162</v>
      </c>
      <c r="F581">
        <v>505</v>
      </c>
      <c r="G581">
        <v>0</v>
      </c>
    </row>
    <row r="582" spans="1:8" x14ac:dyDescent="0.25">
      <c r="A582" t="s">
        <v>931</v>
      </c>
      <c r="B582" t="s">
        <v>932</v>
      </c>
      <c r="C582" t="s">
        <v>10</v>
      </c>
      <c r="D582" s="1">
        <v>45364</v>
      </c>
      <c r="E582">
        <v>293052</v>
      </c>
      <c r="F582">
        <v>655</v>
      </c>
      <c r="G582">
        <v>0</v>
      </c>
      <c r="H582" t="s">
        <v>18</v>
      </c>
    </row>
    <row r="583" spans="1:8" x14ac:dyDescent="0.25">
      <c r="A583" t="s">
        <v>933</v>
      </c>
      <c r="B583" t="s">
        <v>55</v>
      </c>
      <c r="C583" t="s">
        <v>13</v>
      </c>
      <c r="D583" s="1">
        <v>43379</v>
      </c>
      <c r="E583">
        <v>445329</v>
      </c>
      <c r="F583">
        <v>739</v>
      </c>
      <c r="G583">
        <v>419021</v>
      </c>
      <c r="H583" t="s">
        <v>39</v>
      </c>
    </row>
    <row r="584" spans="1:8" x14ac:dyDescent="0.25">
      <c r="A584" t="s">
        <v>934</v>
      </c>
      <c r="B584" t="s">
        <v>621</v>
      </c>
      <c r="C584" t="s">
        <v>13</v>
      </c>
      <c r="D584" s="1">
        <v>44650</v>
      </c>
      <c r="E584">
        <v>19610</v>
      </c>
      <c r="F584">
        <v>395</v>
      </c>
      <c r="G584">
        <v>0</v>
      </c>
      <c r="H584" t="s">
        <v>18</v>
      </c>
    </row>
    <row r="585" spans="1:8" x14ac:dyDescent="0.25">
      <c r="A585" t="s">
        <v>935</v>
      </c>
      <c r="B585" t="s">
        <v>670</v>
      </c>
      <c r="C585" t="s">
        <v>10</v>
      </c>
      <c r="D585" s="1">
        <v>45193</v>
      </c>
      <c r="E585">
        <v>177718</v>
      </c>
      <c r="F585">
        <v>463</v>
      </c>
      <c r="G585">
        <v>0</v>
      </c>
    </row>
    <row r="586" spans="1:8" x14ac:dyDescent="0.25">
      <c r="A586" t="s">
        <v>936</v>
      </c>
      <c r="B586" t="s">
        <v>937</v>
      </c>
      <c r="C586" t="s">
        <v>25</v>
      </c>
      <c r="D586" s="1">
        <v>43362</v>
      </c>
      <c r="E586">
        <v>498357</v>
      </c>
      <c r="F586">
        <v>447</v>
      </c>
      <c r="G586">
        <v>0</v>
      </c>
    </row>
    <row r="587" spans="1:8" x14ac:dyDescent="0.25">
      <c r="A587" t="s">
        <v>938</v>
      </c>
      <c r="B587" t="s">
        <v>497</v>
      </c>
      <c r="C587" t="s">
        <v>13</v>
      </c>
      <c r="D587" s="1">
        <v>44293</v>
      </c>
      <c r="E587">
        <v>325329</v>
      </c>
      <c r="F587">
        <v>829</v>
      </c>
      <c r="G587">
        <v>0</v>
      </c>
    </row>
    <row r="588" spans="1:8" x14ac:dyDescent="0.25">
      <c r="A588" t="s">
        <v>939</v>
      </c>
      <c r="B588" t="s">
        <v>47</v>
      </c>
      <c r="C588" t="s">
        <v>13</v>
      </c>
      <c r="D588" s="1">
        <v>45182</v>
      </c>
      <c r="E588">
        <v>334711</v>
      </c>
      <c r="F588">
        <v>593</v>
      </c>
      <c r="G588">
        <v>0</v>
      </c>
    </row>
    <row r="589" spans="1:8" x14ac:dyDescent="0.25">
      <c r="A589" t="s">
        <v>940</v>
      </c>
      <c r="B589" t="s">
        <v>629</v>
      </c>
      <c r="C589" t="s">
        <v>10</v>
      </c>
      <c r="D589" s="1">
        <v>43813</v>
      </c>
      <c r="E589">
        <v>178646</v>
      </c>
      <c r="F589">
        <v>494</v>
      </c>
      <c r="G589">
        <v>0</v>
      </c>
    </row>
    <row r="590" spans="1:8" x14ac:dyDescent="0.25">
      <c r="A590" t="s">
        <v>941</v>
      </c>
      <c r="B590" t="s">
        <v>539</v>
      </c>
      <c r="C590" t="s">
        <v>13</v>
      </c>
      <c r="D590" s="1">
        <v>43297</v>
      </c>
      <c r="E590">
        <v>222123</v>
      </c>
      <c r="F590">
        <v>779</v>
      </c>
      <c r="G590">
        <v>482397</v>
      </c>
    </row>
    <row r="591" spans="1:8" x14ac:dyDescent="0.25">
      <c r="A591" t="s">
        <v>942</v>
      </c>
      <c r="B591" t="s">
        <v>154</v>
      </c>
      <c r="C591" t="s">
        <v>10</v>
      </c>
      <c r="D591" s="1">
        <v>45826</v>
      </c>
      <c r="E591">
        <v>495236</v>
      </c>
      <c r="F591">
        <v>422</v>
      </c>
      <c r="G591">
        <v>94941</v>
      </c>
      <c r="H591" t="s">
        <v>18</v>
      </c>
    </row>
    <row r="592" spans="1:8" x14ac:dyDescent="0.25">
      <c r="A592" t="s">
        <v>943</v>
      </c>
      <c r="B592" t="s">
        <v>537</v>
      </c>
      <c r="C592" t="s">
        <v>10</v>
      </c>
      <c r="D592" s="1">
        <v>45890</v>
      </c>
      <c r="E592">
        <v>298326</v>
      </c>
      <c r="F592">
        <v>699</v>
      </c>
      <c r="G592">
        <v>0</v>
      </c>
    </row>
    <row r="593" spans="1:8" x14ac:dyDescent="0.25">
      <c r="A593" t="s">
        <v>944</v>
      </c>
      <c r="B593" t="s">
        <v>945</v>
      </c>
      <c r="C593" t="s">
        <v>13</v>
      </c>
      <c r="D593" s="1">
        <v>45025</v>
      </c>
      <c r="E593">
        <v>378280</v>
      </c>
      <c r="F593">
        <v>751</v>
      </c>
      <c r="G593">
        <v>0</v>
      </c>
    </row>
    <row r="594" spans="1:8" x14ac:dyDescent="0.25">
      <c r="A594" t="s">
        <v>946</v>
      </c>
      <c r="B594" t="s">
        <v>399</v>
      </c>
      <c r="C594" t="s">
        <v>32</v>
      </c>
      <c r="D594" s="1">
        <v>45819</v>
      </c>
      <c r="E594">
        <v>393786</v>
      </c>
      <c r="F594">
        <v>403</v>
      </c>
      <c r="G594">
        <v>0</v>
      </c>
      <c r="H594" t="s">
        <v>39</v>
      </c>
    </row>
    <row r="595" spans="1:8" x14ac:dyDescent="0.25">
      <c r="A595" t="s">
        <v>947</v>
      </c>
      <c r="B595" t="s">
        <v>126</v>
      </c>
      <c r="C595" t="s">
        <v>10</v>
      </c>
      <c r="D595" s="1">
        <v>42287</v>
      </c>
      <c r="E595">
        <v>491006</v>
      </c>
      <c r="F595">
        <v>761</v>
      </c>
      <c r="G595">
        <v>349572</v>
      </c>
    </row>
    <row r="596" spans="1:8" x14ac:dyDescent="0.25">
      <c r="A596" t="s">
        <v>948</v>
      </c>
      <c r="B596" t="s">
        <v>720</v>
      </c>
      <c r="C596" t="s">
        <v>13</v>
      </c>
      <c r="D596" s="1">
        <v>43882</v>
      </c>
      <c r="E596">
        <v>19288</v>
      </c>
      <c r="F596">
        <v>695</v>
      </c>
      <c r="G596">
        <v>0</v>
      </c>
    </row>
    <row r="597" spans="1:8" x14ac:dyDescent="0.25">
      <c r="A597" t="s">
        <v>949</v>
      </c>
      <c r="B597" t="s">
        <v>932</v>
      </c>
      <c r="C597" t="s">
        <v>10</v>
      </c>
      <c r="D597" s="1">
        <v>43738</v>
      </c>
      <c r="E597">
        <v>340968</v>
      </c>
      <c r="F597">
        <v>636</v>
      </c>
      <c r="G597">
        <v>0</v>
      </c>
    </row>
    <row r="598" spans="1:8" x14ac:dyDescent="0.25">
      <c r="A598" t="s">
        <v>950</v>
      </c>
      <c r="B598" t="s">
        <v>951</v>
      </c>
      <c r="C598" t="s">
        <v>25</v>
      </c>
      <c r="D598" s="1">
        <v>44714</v>
      </c>
      <c r="E598">
        <v>423093</v>
      </c>
      <c r="F598">
        <v>441</v>
      </c>
      <c r="G598">
        <v>0</v>
      </c>
    </row>
    <row r="599" spans="1:8" x14ac:dyDescent="0.25">
      <c r="A599" t="s">
        <v>952</v>
      </c>
      <c r="B599" t="s">
        <v>118</v>
      </c>
      <c r="C599" t="s">
        <v>25</v>
      </c>
      <c r="D599" s="1">
        <v>42632</v>
      </c>
      <c r="E599">
        <v>84425</v>
      </c>
      <c r="F599">
        <v>616</v>
      </c>
      <c r="G599">
        <v>0</v>
      </c>
    </row>
    <row r="600" spans="1:8" x14ac:dyDescent="0.25">
      <c r="A600" t="s">
        <v>953</v>
      </c>
      <c r="B600" t="s">
        <v>954</v>
      </c>
      <c r="C600" t="s">
        <v>13</v>
      </c>
      <c r="D600" s="1">
        <v>44983</v>
      </c>
      <c r="E600">
        <v>917</v>
      </c>
      <c r="F600">
        <v>826</v>
      </c>
      <c r="G600">
        <v>33481</v>
      </c>
    </row>
    <row r="601" spans="1:8" x14ac:dyDescent="0.25">
      <c r="A601" t="s">
        <v>955</v>
      </c>
      <c r="B601" t="s">
        <v>956</v>
      </c>
      <c r="C601" t="s">
        <v>32</v>
      </c>
      <c r="D601" s="1">
        <v>42304</v>
      </c>
      <c r="E601">
        <v>337746</v>
      </c>
      <c r="F601">
        <v>700</v>
      </c>
      <c r="G601">
        <v>0</v>
      </c>
      <c r="H601" t="s">
        <v>39</v>
      </c>
    </row>
    <row r="602" spans="1:8" x14ac:dyDescent="0.25">
      <c r="A602" t="s">
        <v>957</v>
      </c>
      <c r="B602" t="s">
        <v>958</v>
      </c>
      <c r="C602" t="s">
        <v>10</v>
      </c>
      <c r="D602" s="1">
        <v>42632</v>
      </c>
      <c r="E602">
        <v>488256</v>
      </c>
      <c r="F602">
        <v>609</v>
      </c>
      <c r="G602">
        <v>0</v>
      </c>
      <c r="H602" t="s">
        <v>18</v>
      </c>
    </row>
    <row r="603" spans="1:8" x14ac:dyDescent="0.25">
      <c r="A603" t="s">
        <v>959</v>
      </c>
      <c r="B603" t="s">
        <v>960</v>
      </c>
      <c r="C603" t="s">
        <v>13</v>
      </c>
      <c r="D603" s="1">
        <v>44254</v>
      </c>
      <c r="E603">
        <v>326719</v>
      </c>
      <c r="F603">
        <v>794</v>
      </c>
      <c r="G603">
        <v>0</v>
      </c>
      <c r="H603" t="s">
        <v>18</v>
      </c>
    </row>
    <row r="604" spans="1:8" x14ac:dyDescent="0.25">
      <c r="A604" t="s">
        <v>961</v>
      </c>
      <c r="B604" t="s">
        <v>962</v>
      </c>
      <c r="C604" t="s">
        <v>13</v>
      </c>
      <c r="D604" s="1">
        <v>45244</v>
      </c>
      <c r="E604">
        <v>334662</v>
      </c>
      <c r="F604">
        <v>408</v>
      </c>
      <c r="G604">
        <v>0</v>
      </c>
      <c r="H604" t="s">
        <v>39</v>
      </c>
    </row>
    <row r="605" spans="1:8" x14ac:dyDescent="0.25">
      <c r="A605" t="s">
        <v>963</v>
      </c>
      <c r="B605" t="s">
        <v>291</v>
      </c>
      <c r="C605" t="s">
        <v>13</v>
      </c>
      <c r="D605" s="1">
        <v>42644</v>
      </c>
      <c r="E605">
        <v>253187</v>
      </c>
      <c r="F605">
        <v>671</v>
      </c>
      <c r="G605">
        <v>0</v>
      </c>
    </row>
    <row r="606" spans="1:8" x14ac:dyDescent="0.25">
      <c r="A606" t="s">
        <v>964</v>
      </c>
      <c r="B606" t="s">
        <v>769</v>
      </c>
      <c r="C606" t="s">
        <v>25</v>
      </c>
      <c r="D606" s="1">
        <v>43673</v>
      </c>
      <c r="E606">
        <v>39104</v>
      </c>
      <c r="F606">
        <v>505</v>
      </c>
      <c r="G606">
        <v>108475</v>
      </c>
    </row>
    <row r="607" spans="1:8" x14ac:dyDescent="0.25">
      <c r="A607" t="s">
        <v>965</v>
      </c>
      <c r="B607" t="s">
        <v>355</v>
      </c>
      <c r="C607" t="s">
        <v>13</v>
      </c>
      <c r="D607" s="1">
        <v>45818</v>
      </c>
      <c r="E607">
        <v>149134</v>
      </c>
      <c r="F607">
        <v>342</v>
      </c>
      <c r="G607">
        <v>0</v>
      </c>
      <c r="H607" t="s">
        <v>59</v>
      </c>
    </row>
    <row r="608" spans="1:8" x14ac:dyDescent="0.25">
      <c r="A608" t="s">
        <v>966</v>
      </c>
      <c r="B608" t="s">
        <v>557</v>
      </c>
      <c r="C608" t="s">
        <v>13</v>
      </c>
      <c r="D608" s="1">
        <v>43551</v>
      </c>
      <c r="E608">
        <v>279143</v>
      </c>
      <c r="F608">
        <v>544</v>
      </c>
      <c r="G608">
        <v>0</v>
      </c>
    </row>
    <row r="609" spans="1:8" x14ac:dyDescent="0.25">
      <c r="A609" t="s">
        <v>967</v>
      </c>
      <c r="B609" t="s">
        <v>968</v>
      </c>
      <c r="C609" t="s">
        <v>25</v>
      </c>
      <c r="D609" s="1">
        <v>44169</v>
      </c>
      <c r="E609">
        <v>262091</v>
      </c>
      <c r="F609">
        <v>586</v>
      </c>
      <c r="G609">
        <v>0</v>
      </c>
      <c r="H609" t="s">
        <v>59</v>
      </c>
    </row>
    <row r="610" spans="1:8" x14ac:dyDescent="0.25">
      <c r="A610" t="s">
        <v>969</v>
      </c>
      <c r="B610" t="s">
        <v>154</v>
      </c>
      <c r="C610" t="s">
        <v>13</v>
      </c>
      <c r="D610" s="1">
        <v>43586</v>
      </c>
      <c r="E610">
        <v>455061</v>
      </c>
      <c r="F610">
        <v>654</v>
      </c>
      <c r="G610">
        <v>0</v>
      </c>
    </row>
    <row r="611" spans="1:8" x14ac:dyDescent="0.25">
      <c r="A611" t="s">
        <v>970</v>
      </c>
      <c r="B611" t="s">
        <v>897</v>
      </c>
      <c r="C611" t="s">
        <v>13</v>
      </c>
      <c r="D611" s="1">
        <v>45637</v>
      </c>
      <c r="E611">
        <v>403157</v>
      </c>
      <c r="F611">
        <v>775</v>
      </c>
      <c r="G611">
        <v>0</v>
      </c>
    </row>
    <row r="612" spans="1:8" x14ac:dyDescent="0.25">
      <c r="A612" t="s">
        <v>971</v>
      </c>
      <c r="B612" t="s">
        <v>972</v>
      </c>
      <c r="C612" t="s">
        <v>13</v>
      </c>
      <c r="D612" s="1">
        <v>44803</v>
      </c>
      <c r="E612">
        <v>61169</v>
      </c>
      <c r="F612">
        <v>382</v>
      </c>
      <c r="G612">
        <v>0</v>
      </c>
    </row>
    <row r="613" spans="1:8" x14ac:dyDescent="0.25">
      <c r="A613" t="s">
        <v>973</v>
      </c>
      <c r="B613" t="s">
        <v>697</v>
      </c>
      <c r="C613" t="s">
        <v>13</v>
      </c>
      <c r="D613" s="1">
        <v>42796</v>
      </c>
      <c r="E613">
        <v>154542</v>
      </c>
      <c r="F613">
        <v>409</v>
      </c>
      <c r="G613">
        <v>0</v>
      </c>
    </row>
    <row r="614" spans="1:8" x14ac:dyDescent="0.25">
      <c r="A614" t="s">
        <v>974</v>
      </c>
      <c r="B614" t="s">
        <v>975</v>
      </c>
      <c r="C614" t="s">
        <v>13</v>
      </c>
      <c r="D614" s="1">
        <v>45843</v>
      </c>
      <c r="E614">
        <v>129744</v>
      </c>
      <c r="F614">
        <v>489</v>
      </c>
      <c r="G614">
        <v>0</v>
      </c>
    </row>
    <row r="615" spans="1:8" x14ac:dyDescent="0.25">
      <c r="A615" t="s">
        <v>976</v>
      </c>
      <c r="B615" t="s">
        <v>403</v>
      </c>
      <c r="C615" t="s">
        <v>10</v>
      </c>
      <c r="D615" s="1">
        <v>42346</v>
      </c>
      <c r="E615">
        <v>372828</v>
      </c>
      <c r="F615">
        <v>550</v>
      </c>
      <c r="G615">
        <v>0</v>
      </c>
    </row>
    <row r="616" spans="1:8" x14ac:dyDescent="0.25">
      <c r="A616" t="s">
        <v>977</v>
      </c>
      <c r="B616" t="s">
        <v>542</v>
      </c>
      <c r="C616" t="s">
        <v>13</v>
      </c>
      <c r="D616" s="1">
        <v>43059</v>
      </c>
      <c r="E616">
        <v>59821</v>
      </c>
      <c r="F616">
        <v>590</v>
      </c>
      <c r="G616">
        <v>0</v>
      </c>
    </row>
    <row r="617" spans="1:8" x14ac:dyDescent="0.25">
      <c r="A617" t="s">
        <v>978</v>
      </c>
      <c r="B617" t="s">
        <v>82</v>
      </c>
      <c r="C617" t="s">
        <v>13</v>
      </c>
      <c r="D617" s="1">
        <v>45591</v>
      </c>
      <c r="E617">
        <v>217741</v>
      </c>
      <c r="F617">
        <v>500</v>
      </c>
      <c r="G617">
        <v>0</v>
      </c>
      <c r="H617" t="s">
        <v>39</v>
      </c>
    </row>
    <row r="618" spans="1:8" x14ac:dyDescent="0.25">
      <c r="A618" t="s">
        <v>979</v>
      </c>
      <c r="B618" t="s">
        <v>777</v>
      </c>
      <c r="C618" t="s">
        <v>25</v>
      </c>
      <c r="D618" s="1">
        <v>45012</v>
      </c>
      <c r="E618">
        <v>249265</v>
      </c>
      <c r="F618">
        <v>625</v>
      </c>
      <c r="G618">
        <v>0</v>
      </c>
      <c r="H618" t="s">
        <v>39</v>
      </c>
    </row>
    <row r="619" spans="1:8" x14ac:dyDescent="0.25">
      <c r="A619" t="s">
        <v>980</v>
      </c>
      <c r="B619" t="s">
        <v>690</v>
      </c>
      <c r="C619" t="s">
        <v>10</v>
      </c>
      <c r="D619" s="1">
        <v>44089</v>
      </c>
      <c r="E619">
        <v>437651</v>
      </c>
      <c r="F619">
        <v>810</v>
      </c>
      <c r="G619">
        <v>0</v>
      </c>
      <c r="H619" t="s">
        <v>59</v>
      </c>
    </row>
    <row r="620" spans="1:8" x14ac:dyDescent="0.25">
      <c r="A620" t="s">
        <v>981</v>
      </c>
      <c r="B620" t="s">
        <v>437</v>
      </c>
      <c r="C620" t="s">
        <v>10</v>
      </c>
      <c r="D620" s="1">
        <v>45046</v>
      </c>
      <c r="E620">
        <v>397745</v>
      </c>
      <c r="F620">
        <v>708</v>
      </c>
      <c r="G620">
        <v>333634</v>
      </c>
    </row>
    <row r="621" spans="1:8" x14ac:dyDescent="0.25">
      <c r="A621" t="s">
        <v>982</v>
      </c>
      <c r="B621" t="s">
        <v>983</v>
      </c>
      <c r="C621" t="s">
        <v>10</v>
      </c>
      <c r="D621" s="1">
        <v>45034</v>
      </c>
      <c r="E621">
        <v>214127</v>
      </c>
      <c r="F621">
        <v>807</v>
      </c>
      <c r="G621">
        <v>0</v>
      </c>
      <c r="H621" t="s">
        <v>39</v>
      </c>
    </row>
    <row r="622" spans="1:8" x14ac:dyDescent="0.25">
      <c r="A622" t="s">
        <v>984</v>
      </c>
      <c r="B622" t="s">
        <v>985</v>
      </c>
      <c r="C622" t="s">
        <v>13</v>
      </c>
      <c r="D622" s="1">
        <v>42416</v>
      </c>
      <c r="E622">
        <v>274336</v>
      </c>
      <c r="F622">
        <v>371</v>
      </c>
      <c r="G622">
        <v>0</v>
      </c>
    </row>
    <row r="623" spans="1:8" x14ac:dyDescent="0.25">
      <c r="A623" t="s">
        <v>986</v>
      </c>
      <c r="B623" t="s">
        <v>27</v>
      </c>
      <c r="C623" t="s">
        <v>10</v>
      </c>
      <c r="D623" s="1">
        <v>43639</v>
      </c>
      <c r="E623">
        <v>336246</v>
      </c>
      <c r="F623">
        <v>546</v>
      </c>
      <c r="G623">
        <v>261323</v>
      </c>
    </row>
    <row r="624" spans="1:8" x14ac:dyDescent="0.25">
      <c r="A624" t="s">
        <v>987</v>
      </c>
      <c r="B624" t="s">
        <v>209</v>
      </c>
      <c r="C624" t="s">
        <v>10</v>
      </c>
      <c r="D624" s="1">
        <v>43698</v>
      </c>
      <c r="E624">
        <v>203834</v>
      </c>
      <c r="F624">
        <v>643</v>
      </c>
      <c r="G624">
        <v>356224</v>
      </c>
    </row>
    <row r="625" spans="1:8" x14ac:dyDescent="0.25">
      <c r="A625" t="s">
        <v>988</v>
      </c>
      <c r="B625" t="s">
        <v>96</v>
      </c>
      <c r="C625" t="s">
        <v>13</v>
      </c>
      <c r="D625" s="1">
        <v>45379</v>
      </c>
      <c r="E625">
        <v>234538</v>
      </c>
      <c r="F625">
        <v>353</v>
      </c>
      <c r="G625">
        <v>0</v>
      </c>
    </row>
    <row r="626" spans="1:8" x14ac:dyDescent="0.25">
      <c r="A626" t="s">
        <v>989</v>
      </c>
      <c r="B626" t="s">
        <v>990</v>
      </c>
      <c r="C626" t="s">
        <v>32</v>
      </c>
      <c r="D626" s="1">
        <v>45570</v>
      </c>
      <c r="E626">
        <v>377038</v>
      </c>
      <c r="F626">
        <v>827</v>
      </c>
      <c r="G626">
        <v>0</v>
      </c>
      <c r="H626" t="s">
        <v>39</v>
      </c>
    </row>
    <row r="627" spans="1:8" x14ac:dyDescent="0.25">
      <c r="A627" t="s">
        <v>991</v>
      </c>
      <c r="B627" t="s">
        <v>924</v>
      </c>
      <c r="C627" t="s">
        <v>13</v>
      </c>
      <c r="D627" s="1">
        <v>45296</v>
      </c>
      <c r="E627">
        <v>86795</v>
      </c>
      <c r="F627">
        <v>831</v>
      </c>
      <c r="G627">
        <v>0</v>
      </c>
      <c r="H627" t="s">
        <v>18</v>
      </c>
    </row>
    <row r="628" spans="1:8" x14ac:dyDescent="0.25">
      <c r="A628" t="s">
        <v>992</v>
      </c>
      <c r="B628" t="s">
        <v>844</v>
      </c>
      <c r="C628" t="s">
        <v>25</v>
      </c>
      <c r="D628" s="1">
        <v>44190</v>
      </c>
      <c r="E628">
        <v>165159</v>
      </c>
      <c r="F628">
        <v>492</v>
      </c>
      <c r="G628">
        <v>0</v>
      </c>
    </row>
    <row r="629" spans="1:8" x14ac:dyDescent="0.25">
      <c r="A629" t="s">
        <v>993</v>
      </c>
      <c r="B629" t="s">
        <v>495</v>
      </c>
      <c r="C629" t="s">
        <v>13</v>
      </c>
      <c r="D629" s="1">
        <v>42317</v>
      </c>
      <c r="E629">
        <v>328821</v>
      </c>
      <c r="F629">
        <v>357</v>
      </c>
      <c r="G629">
        <v>0</v>
      </c>
    </row>
    <row r="630" spans="1:8" x14ac:dyDescent="0.25">
      <c r="A630" t="s">
        <v>994</v>
      </c>
      <c r="B630" t="s">
        <v>904</v>
      </c>
      <c r="C630" t="s">
        <v>25</v>
      </c>
      <c r="D630" s="1">
        <v>43072</v>
      </c>
      <c r="E630">
        <v>135699</v>
      </c>
      <c r="F630">
        <v>736</v>
      </c>
      <c r="G630">
        <v>0</v>
      </c>
    </row>
    <row r="631" spans="1:8" x14ac:dyDescent="0.25">
      <c r="A631" t="s">
        <v>995</v>
      </c>
      <c r="B631" t="s">
        <v>996</v>
      </c>
      <c r="C631" t="s">
        <v>10</v>
      </c>
      <c r="D631" s="1">
        <v>43246</v>
      </c>
      <c r="E631">
        <v>449757</v>
      </c>
      <c r="F631">
        <v>410</v>
      </c>
      <c r="G631">
        <v>0</v>
      </c>
      <c r="H631" t="s">
        <v>18</v>
      </c>
    </row>
    <row r="632" spans="1:8" x14ac:dyDescent="0.25">
      <c r="A632" t="s">
        <v>997</v>
      </c>
      <c r="B632" t="s">
        <v>20</v>
      </c>
      <c r="C632" t="s">
        <v>25</v>
      </c>
      <c r="D632" s="1">
        <v>45208</v>
      </c>
      <c r="E632">
        <v>243877</v>
      </c>
      <c r="F632">
        <v>428</v>
      </c>
      <c r="G632">
        <v>290291</v>
      </c>
    </row>
    <row r="633" spans="1:8" x14ac:dyDescent="0.25">
      <c r="A633" t="s">
        <v>998</v>
      </c>
      <c r="B633" t="s">
        <v>473</v>
      </c>
      <c r="C633" t="s">
        <v>13</v>
      </c>
      <c r="D633" s="1">
        <v>42823</v>
      </c>
      <c r="E633">
        <v>199298</v>
      </c>
      <c r="F633">
        <v>625</v>
      </c>
      <c r="G633">
        <v>0</v>
      </c>
      <c r="H633" t="s">
        <v>18</v>
      </c>
    </row>
    <row r="634" spans="1:8" x14ac:dyDescent="0.25">
      <c r="A634" t="s">
        <v>999</v>
      </c>
      <c r="B634" t="s">
        <v>285</v>
      </c>
      <c r="C634" t="s">
        <v>10</v>
      </c>
      <c r="D634" s="1">
        <v>43712</v>
      </c>
      <c r="E634">
        <v>498843</v>
      </c>
      <c r="F634">
        <v>307</v>
      </c>
      <c r="G634">
        <v>0</v>
      </c>
    </row>
    <row r="635" spans="1:8" x14ac:dyDescent="0.25">
      <c r="A635" t="s">
        <v>1000</v>
      </c>
      <c r="B635" t="s">
        <v>535</v>
      </c>
      <c r="C635" t="s">
        <v>10</v>
      </c>
      <c r="D635" s="1">
        <v>42718</v>
      </c>
      <c r="E635">
        <v>396471</v>
      </c>
      <c r="F635">
        <v>328</v>
      </c>
      <c r="G635">
        <v>249172</v>
      </c>
    </row>
    <row r="636" spans="1:8" x14ac:dyDescent="0.25">
      <c r="A636" t="s">
        <v>1001</v>
      </c>
      <c r="B636" t="s">
        <v>836</v>
      </c>
      <c r="C636" t="s">
        <v>25</v>
      </c>
      <c r="D636" s="1">
        <v>43705</v>
      </c>
      <c r="E636">
        <v>188505</v>
      </c>
      <c r="F636">
        <v>411</v>
      </c>
      <c r="G636">
        <v>0</v>
      </c>
    </row>
    <row r="637" spans="1:8" x14ac:dyDescent="0.25">
      <c r="A637" t="s">
        <v>1002</v>
      </c>
      <c r="B637" t="s">
        <v>956</v>
      </c>
      <c r="C637" t="s">
        <v>10</v>
      </c>
      <c r="D637" s="1">
        <v>45744</v>
      </c>
      <c r="E637">
        <v>136285</v>
      </c>
      <c r="F637">
        <v>430</v>
      </c>
      <c r="G637">
        <v>95925</v>
      </c>
      <c r="H637" t="s">
        <v>18</v>
      </c>
    </row>
    <row r="638" spans="1:8" x14ac:dyDescent="0.25">
      <c r="A638" t="s">
        <v>1003</v>
      </c>
      <c r="B638" t="s">
        <v>1004</v>
      </c>
      <c r="C638" t="s">
        <v>10</v>
      </c>
      <c r="D638" s="1">
        <v>45586</v>
      </c>
      <c r="E638">
        <v>102412</v>
      </c>
      <c r="F638">
        <v>487</v>
      </c>
      <c r="G638">
        <v>0</v>
      </c>
      <c r="H638" t="s">
        <v>39</v>
      </c>
    </row>
    <row r="639" spans="1:8" x14ac:dyDescent="0.25">
      <c r="A639" t="s">
        <v>1005</v>
      </c>
      <c r="B639" t="s">
        <v>1006</v>
      </c>
      <c r="C639" t="s">
        <v>10</v>
      </c>
      <c r="D639" s="1">
        <v>43177</v>
      </c>
      <c r="E639">
        <v>19404</v>
      </c>
      <c r="F639">
        <v>774</v>
      </c>
      <c r="G639">
        <v>0</v>
      </c>
    </row>
    <row r="640" spans="1:8" x14ac:dyDescent="0.25">
      <c r="A640" t="s">
        <v>1007</v>
      </c>
      <c r="B640" t="s">
        <v>1008</v>
      </c>
      <c r="C640" t="s">
        <v>13</v>
      </c>
      <c r="D640" s="1">
        <v>42423</v>
      </c>
      <c r="E640">
        <v>116545</v>
      </c>
      <c r="F640">
        <v>663</v>
      </c>
      <c r="G640">
        <v>0</v>
      </c>
    </row>
    <row r="641" spans="1:8" x14ac:dyDescent="0.25">
      <c r="A641" t="s">
        <v>1009</v>
      </c>
      <c r="B641" t="s">
        <v>1010</v>
      </c>
      <c r="C641" t="s">
        <v>10</v>
      </c>
      <c r="D641" s="1">
        <v>42607</v>
      </c>
      <c r="E641">
        <v>418596</v>
      </c>
      <c r="F641">
        <v>503</v>
      </c>
      <c r="G641">
        <v>0</v>
      </c>
    </row>
    <row r="642" spans="1:8" x14ac:dyDescent="0.25">
      <c r="A642" t="s">
        <v>1011</v>
      </c>
      <c r="B642" t="s">
        <v>1012</v>
      </c>
      <c r="C642" t="s">
        <v>13</v>
      </c>
      <c r="D642" s="1">
        <v>43635</v>
      </c>
      <c r="E642">
        <v>222128</v>
      </c>
      <c r="F642">
        <v>511</v>
      </c>
      <c r="G642">
        <v>0</v>
      </c>
    </row>
    <row r="643" spans="1:8" x14ac:dyDescent="0.25">
      <c r="A643" t="s">
        <v>1013</v>
      </c>
      <c r="B643" t="s">
        <v>1014</v>
      </c>
      <c r="C643" t="s">
        <v>32</v>
      </c>
      <c r="D643" s="1">
        <v>45766</v>
      </c>
      <c r="E643">
        <v>150245</v>
      </c>
      <c r="F643">
        <v>575</v>
      </c>
      <c r="G643">
        <v>0</v>
      </c>
    </row>
    <row r="644" spans="1:8" x14ac:dyDescent="0.25">
      <c r="A644" t="s">
        <v>1015</v>
      </c>
      <c r="B644" t="s">
        <v>380</v>
      </c>
      <c r="C644" t="s">
        <v>25</v>
      </c>
      <c r="D644" s="1">
        <v>45731</v>
      </c>
      <c r="E644">
        <v>184099</v>
      </c>
      <c r="F644">
        <v>372</v>
      </c>
      <c r="G644">
        <v>0</v>
      </c>
      <c r="H644" t="s">
        <v>59</v>
      </c>
    </row>
    <row r="645" spans="1:8" x14ac:dyDescent="0.25">
      <c r="A645" t="s">
        <v>1016</v>
      </c>
      <c r="B645" t="s">
        <v>90</v>
      </c>
      <c r="C645" t="s">
        <v>32</v>
      </c>
      <c r="D645" s="1">
        <v>44356</v>
      </c>
      <c r="E645">
        <v>286133</v>
      </c>
      <c r="F645">
        <v>542</v>
      </c>
      <c r="G645">
        <v>0</v>
      </c>
    </row>
    <row r="646" spans="1:8" x14ac:dyDescent="0.25">
      <c r="A646" t="s">
        <v>1017</v>
      </c>
      <c r="B646" t="s">
        <v>20</v>
      </c>
      <c r="C646" t="s">
        <v>13</v>
      </c>
      <c r="D646" s="1">
        <v>43109</v>
      </c>
      <c r="E646">
        <v>261657</v>
      </c>
      <c r="F646">
        <v>401</v>
      </c>
      <c r="G646">
        <v>0</v>
      </c>
    </row>
    <row r="647" spans="1:8" x14ac:dyDescent="0.25">
      <c r="A647" t="s">
        <v>1018</v>
      </c>
      <c r="B647" t="s">
        <v>27</v>
      </c>
      <c r="C647" t="s">
        <v>25</v>
      </c>
      <c r="D647" s="1">
        <v>45406</v>
      </c>
      <c r="E647">
        <v>370250</v>
      </c>
      <c r="F647">
        <v>470</v>
      </c>
      <c r="G647">
        <v>0</v>
      </c>
    </row>
    <row r="648" spans="1:8" x14ac:dyDescent="0.25">
      <c r="A648" t="s">
        <v>1019</v>
      </c>
      <c r="B648" t="s">
        <v>1020</v>
      </c>
      <c r="C648" t="s">
        <v>25</v>
      </c>
      <c r="D648" s="1">
        <v>44592</v>
      </c>
      <c r="E648">
        <v>286663</v>
      </c>
      <c r="F648">
        <v>487</v>
      </c>
      <c r="G648">
        <v>0</v>
      </c>
      <c r="H648" t="s">
        <v>39</v>
      </c>
    </row>
    <row r="649" spans="1:8" x14ac:dyDescent="0.25">
      <c r="A649" t="s">
        <v>1021</v>
      </c>
      <c r="B649" t="s">
        <v>782</v>
      </c>
      <c r="C649" t="s">
        <v>10</v>
      </c>
      <c r="D649" s="1">
        <v>45189</v>
      </c>
      <c r="E649">
        <v>256875</v>
      </c>
      <c r="F649">
        <v>740</v>
      </c>
      <c r="G649">
        <v>0</v>
      </c>
    </row>
    <row r="650" spans="1:8" x14ac:dyDescent="0.25">
      <c r="A650" t="s">
        <v>1022</v>
      </c>
      <c r="B650" t="s">
        <v>238</v>
      </c>
      <c r="C650" t="s">
        <v>10</v>
      </c>
      <c r="D650" s="1">
        <v>44044</v>
      </c>
      <c r="E650">
        <v>284583</v>
      </c>
      <c r="F650">
        <v>385</v>
      </c>
      <c r="G650">
        <v>270976</v>
      </c>
    </row>
    <row r="651" spans="1:8" x14ac:dyDescent="0.25">
      <c r="A651" t="s">
        <v>1023</v>
      </c>
      <c r="B651" t="s">
        <v>320</v>
      </c>
      <c r="C651" t="s">
        <v>13</v>
      </c>
      <c r="D651" s="1">
        <v>43478</v>
      </c>
      <c r="E651">
        <v>380714</v>
      </c>
      <c r="F651">
        <v>775</v>
      </c>
      <c r="G651">
        <v>37332</v>
      </c>
    </row>
    <row r="652" spans="1:8" x14ac:dyDescent="0.25">
      <c r="A652" t="s">
        <v>1024</v>
      </c>
      <c r="B652" t="s">
        <v>1025</v>
      </c>
      <c r="C652" t="s">
        <v>25</v>
      </c>
      <c r="D652" s="1">
        <v>45718</v>
      </c>
      <c r="E652">
        <v>470165</v>
      </c>
      <c r="F652">
        <v>351</v>
      </c>
      <c r="G652">
        <v>0</v>
      </c>
    </row>
    <row r="653" spans="1:8" x14ac:dyDescent="0.25">
      <c r="A653" t="s">
        <v>1026</v>
      </c>
      <c r="B653" t="s">
        <v>309</v>
      </c>
      <c r="C653" t="s">
        <v>10</v>
      </c>
      <c r="D653" s="1">
        <v>43545</v>
      </c>
      <c r="E653">
        <v>14995</v>
      </c>
      <c r="F653">
        <v>410</v>
      </c>
      <c r="G653">
        <v>0</v>
      </c>
      <c r="H653" t="s">
        <v>59</v>
      </c>
    </row>
    <row r="654" spans="1:8" x14ac:dyDescent="0.25">
      <c r="A654" t="s">
        <v>1027</v>
      </c>
      <c r="B654" t="s">
        <v>633</v>
      </c>
      <c r="C654" t="s">
        <v>13</v>
      </c>
      <c r="D654" s="1">
        <v>45195</v>
      </c>
      <c r="E654">
        <v>23559</v>
      </c>
      <c r="F654">
        <v>342</v>
      </c>
      <c r="G654">
        <v>0</v>
      </c>
    </row>
    <row r="655" spans="1:8" x14ac:dyDescent="0.25">
      <c r="A655" t="s">
        <v>1028</v>
      </c>
      <c r="B655" t="s">
        <v>750</v>
      </c>
      <c r="C655" t="s">
        <v>13</v>
      </c>
      <c r="D655" s="1">
        <v>43071</v>
      </c>
      <c r="E655">
        <v>351193</v>
      </c>
      <c r="F655">
        <v>510</v>
      </c>
      <c r="G655">
        <v>82994</v>
      </c>
    </row>
    <row r="656" spans="1:8" x14ac:dyDescent="0.25">
      <c r="A656" t="s">
        <v>1029</v>
      </c>
      <c r="B656" t="s">
        <v>246</v>
      </c>
      <c r="C656" t="s">
        <v>32</v>
      </c>
      <c r="D656" s="1">
        <v>45469</v>
      </c>
      <c r="E656">
        <v>398237</v>
      </c>
      <c r="F656">
        <v>499</v>
      </c>
      <c r="G656">
        <v>0</v>
      </c>
    </row>
    <row r="657" spans="1:8" x14ac:dyDescent="0.25">
      <c r="A657" t="s">
        <v>1030</v>
      </c>
      <c r="B657" t="s">
        <v>924</v>
      </c>
      <c r="C657" t="s">
        <v>25</v>
      </c>
      <c r="D657" s="1">
        <v>44580</v>
      </c>
      <c r="E657">
        <v>98000</v>
      </c>
      <c r="F657">
        <v>325</v>
      </c>
      <c r="G657">
        <v>0</v>
      </c>
    </row>
    <row r="658" spans="1:8" x14ac:dyDescent="0.25">
      <c r="A658" t="s">
        <v>1031</v>
      </c>
      <c r="B658" t="s">
        <v>1032</v>
      </c>
      <c r="C658" t="s">
        <v>32</v>
      </c>
      <c r="D658" s="1">
        <v>45508</v>
      </c>
      <c r="E658">
        <v>152191</v>
      </c>
      <c r="F658">
        <v>598</v>
      </c>
      <c r="G658">
        <v>0</v>
      </c>
      <c r="H658" t="s">
        <v>18</v>
      </c>
    </row>
    <row r="659" spans="1:8" x14ac:dyDescent="0.25">
      <c r="A659" t="s">
        <v>1033</v>
      </c>
      <c r="B659" t="s">
        <v>553</v>
      </c>
      <c r="C659" t="s">
        <v>10</v>
      </c>
      <c r="D659" s="1">
        <v>45593</v>
      </c>
      <c r="E659">
        <v>444755</v>
      </c>
      <c r="F659">
        <v>376</v>
      </c>
      <c r="G659">
        <v>0</v>
      </c>
    </row>
    <row r="660" spans="1:8" x14ac:dyDescent="0.25">
      <c r="A660" t="s">
        <v>1034</v>
      </c>
      <c r="B660" t="s">
        <v>338</v>
      </c>
      <c r="C660" t="s">
        <v>13</v>
      </c>
      <c r="D660" s="1">
        <v>45204</v>
      </c>
      <c r="E660">
        <v>488051</v>
      </c>
      <c r="F660">
        <v>436</v>
      </c>
      <c r="G660">
        <v>0</v>
      </c>
      <c r="H660" t="s">
        <v>39</v>
      </c>
    </row>
    <row r="661" spans="1:8" x14ac:dyDescent="0.25">
      <c r="A661" t="s">
        <v>1035</v>
      </c>
      <c r="B661" t="s">
        <v>890</v>
      </c>
      <c r="C661" t="s">
        <v>13</v>
      </c>
      <c r="D661" s="1">
        <v>45779</v>
      </c>
      <c r="E661">
        <v>301494</v>
      </c>
      <c r="F661">
        <v>319</v>
      </c>
      <c r="G661">
        <v>0</v>
      </c>
    </row>
    <row r="662" spans="1:8" x14ac:dyDescent="0.25">
      <c r="A662" t="s">
        <v>1036</v>
      </c>
      <c r="B662" t="s">
        <v>518</v>
      </c>
      <c r="C662" t="s">
        <v>13</v>
      </c>
      <c r="D662" s="1">
        <v>42465</v>
      </c>
      <c r="E662">
        <v>439439</v>
      </c>
      <c r="F662">
        <v>739</v>
      </c>
      <c r="G662">
        <v>0</v>
      </c>
    </row>
    <row r="663" spans="1:8" x14ac:dyDescent="0.25">
      <c r="A663" t="s">
        <v>1037</v>
      </c>
      <c r="B663" t="s">
        <v>469</v>
      </c>
      <c r="C663" t="s">
        <v>13</v>
      </c>
      <c r="D663" s="1">
        <v>42728</v>
      </c>
      <c r="E663">
        <v>25517</v>
      </c>
      <c r="F663">
        <v>510</v>
      </c>
      <c r="G663">
        <v>0</v>
      </c>
    </row>
    <row r="664" spans="1:8" x14ac:dyDescent="0.25">
      <c r="A664" t="s">
        <v>1038</v>
      </c>
      <c r="B664" t="s">
        <v>1039</v>
      </c>
      <c r="C664" t="s">
        <v>13</v>
      </c>
      <c r="D664" s="1">
        <v>44572</v>
      </c>
      <c r="E664">
        <v>471869</v>
      </c>
      <c r="F664">
        <v>734</v>
      </c>
      <c r="G664">
        <v>0</v>
      </c>
    </row>
    <row r="665" spans="1:8" x14ac:dyDescent="0.25">
      <c r="A665" t="s">
        <v>1040</v>
      </c>
      <c r="B665" t="s">
        <v>566</v>
      </c>
      <c r="C665" t="s">
        <v>13</v>
      </c>
      <c r="D665" s="1">
        <v>43273</v>
      </c>
      <c r="E665">
        <v>415466</v>
      </c>
      <c r="F665">
        <v>506</v>
      </c>
      <c r="G665">
        <v>0</v>
      </c>
      <c r="H665" t="s">
        <v>39</v>
      </c>
    </row>
    <row r="666" spans="1:8" x14ac:dyDescent="0.25">
      <c r="A666" t="s">
        <v>1041</v>
      </c>
      <c r="B666" t="s">
        <v>86</v>
      </c>
      <c r="C666" t="s">
        <v>10</v>
      </c>
      <c r="D666" s="1">
        <v>45417</v>
      </c>
      <c r="E666">
        <v>215558</v>
      </c>
      <c r="F666">
        <v>738</v>
      </c>
      <c r="G666">
        <v>0</v>
      </c>
    </row>
    <row r="667" spans="1:8" x14ac:dyDescent="0.25">
      <c r="A667" t="s">
        <v>1042</v>
      </c>
      <c r="B667" t="s">
        <v>122</v>
      </c>
      <c r="C667" t="s">
        <v>32</v>
      </c>
      <c r="D667" s="1">
        <v>44049</v>
      </c>
      <c r="E667">
        <v>476111</v>
      </c>
      <c r="F667">
        <v>341</v>
      </c>
      <c r="G667">
        <v>390751</v>
      </c>
    </row>
    <row r="668" spans="1:8" x14ac:dyDescent="0.25">
      <c r="A668" t="s">
        <v>1043</v>
      </c>
      <c r="B668" t="s">
        <v>539</v>
      </c>
      <c r="C668" t="s">
        <v>10</v>
      </c>
      <c r="D668" s="1">
        <v>45400</v>
      </c>
      <c r="E668">
        <v>351276</v>
      </c>
      <c r="F668">
        <v>710</v>
      </c>
      <c r="G668">
        <v>330188</v>
      </c>
      <c r="H668" t="s">
        <v>39</v>
      </c>
    </row>
    <row r="669" spans="1:8" x14ac:dyDescent="0.25">
      <c r="A669" t="s">
        <v>1044</v>
      </c>
      <c r="B669" t="s">
        <v>518</v>
      </c>
      <c r="C669" t="s">
        <v>25</v>
      </c>
      <c r="D669" s="1">
        <v>43772</v>
      </c>
      <c r="E669">
        <v>484282</v>
      </c>
      <c r="F669">
        <v>822</v>
      </c>
      <c r="G669">
        <v>0</v>
      </c>
    </row>
    <row r="670" spans="1:8" x14ac:dyDescent="0.25">
      <c r="A670" t="s">
        <v>1045</v>
      </c>
      <c r="B670" t="s">
        <v>340</v>
      </c>
      <c r="C670" t="s">
        <v>10</v>
      </c>
      <c r="D670" s="1">
        <v>42751</v>
      </c>
      <c r="E670">
        <v>460014</v>
      </c>
      <c r="F670">
        <v>726</v>
      </c>
      <c r="G670">
        <v>0</v>
      </c>
    </row>
    <row r="671" spans="1:8" x14ac:dyDescent="0.25">
      <c r="A671" t="s">
        <v>1046</v>
      </c>
      <c r="B671" t="s">
        <v>581</v>
      </c>
      <c r="C671" t="s">
        <v>13</v>
      </c>
      <c r="D671" s="1">
        <v>42769</v>
      </c>
      <c r="E671">
        <v>447415</v>
      </c>
      <c r="F671">
        <v>574</v>
      </c>
      <c r="G671">
        <v>0</v>
      </c>
      <c r="H671" t="s">
        <v>39</v>
      </c>
    </row>
    <row r="672" spans="1:8" x14ac:dyDescent="0.25">
      <c r="A672" t="s">
        <v>1047</v>
      </c>
      <c r="B672" t="s">
        <v>1048</v>
      </c>
      <c r="C672" t="s">
        <v>13</v>
      </c>
      <c r="D672" s="1">
        <v>42914</v>
      </c>
      <c r="E672">
        <v>321690</v>
      </c>
      <c r="F672">
        <v>747</v>
      </c>
      <c r="G672">
        <v>366484</v>
      </c>
    </row>
    <row r="673" spans="1:8" x14ac:dyDescent="0.25">
      <c r="A673" t="s">
        <v>1049</v>
      </c>
      <c r="B673" t="s">
        <v>1050</v>
      </c>
      <c r="C673" t="s">
        <v>13</v>
      </c>
      <c r="D673" s="1">
        <v>45148</v>
      </c>
      <c r="E673">
        <v>105686</v>
      </c>
      <c r="F673">
        <v>668</v>
      </c>
      <c r="G673">
        <v>0</v>
      </c>
      <c r="H673" t="s">
        <v>39</v>
      </c>
    </row>
    <row r="674" spans="1:8" x14ac:dyDescent="0.25">
      <c r="A674" t="s">
        <v>1051</v>
      </c>
      <c r="B674" t="s">
        <v>597</v>
      </c>
      <c r="C674" t="s">
        <v>13</v>
      </c>
      <c r="D674" s="1">
        <v>44563</v>
      </c>
      <c r="E674">
        <v>88151</v>
      </c>
      <c r="F674">
        <v>519</v>
      </c>
      <c r="G674">
        <v>0</v>
      </c>
    </row>
    <row r="675" spans="1:8" x14ac:dyDescent="0.25">
      <c r="A675" t="s">
        <v>1052</v>
      </c>
      <c r="B675" t="s">
        <v>1053</v>
      </c>
      <c r="C675" t="s">
        <v>10</v>
      </c>
      <c r="D675" s="1">
        <v>44010</v>
      </c>
      <c r="E675">
        <v>265471</v>
      </c>
      <c r="F675">
        <v>531</v>
      </c>
      <c r="G675">
        <v>0</v>
      </c>
      <c r="H675" t="s">
        <v>18</v>
      </c>
    </row>
    <row r="676" spans="1:8" x14ac:dyDescent="0.25">
      <c r="A676" t="s">
        <v>1054</v>
      </c>
      <c r="B676" t="s">
        <v>1055</v>
      </c>
      <c r="C676" t="s">
        <v>13</v>
      </c>
      <c r="D676" s="1">
        <v>42365</v>
      </c>
      <c r="E676">
        <v>120318</v>
      </c>
      <c r="F676">
        <v>627</v>
      </c>
      <c r="G676">
        <v>0</v>
      </c>
    </row>
    <row r="677" spans="1:8" x14ac:dyDescent="0.25">
      <c r="A677" t="s">
        <v>1056</v>
      </c>
      <c r="B677" t="s">
        <v>283</v>
      </c>
      <c r="C677" t="s">
        <v>13</v>
      </c>
      <c r="D677" s="1">
        <v>43092</v>
      </c>
      <c r="E677">
        <v>422984</v>
      </c>
      <c r="F677">
        <v>742</v>
      </c>
      <c r="G677">
        <v>274579</v>
      </c>
    </row>
    <row r="678" spans="1:8" x14ac:dyDescent="0.25">
      <c r="A678" t="s">
        <v>1057</v>
      </c>
      <c r="B678" t="s">
        <v>996</v>
      </c>
      <c r="C678" t="s">
        <v>13</v>
      </c>
      <c r="D678" s="1">
        <v>43088</v>
      </c>
      <c r="E678">
        <v>195490</v>
      </c>
      <c r="F678">
        <v>351</v>
      </c>
      <c r="G678">
        <v>0</v>
      </c>
    </row>
    <row r="679" spans="1:8" x14ac:dyDescent="0.25">
      <c r="A679" t="s">
        <v>1058</v>
      </c>
      <c r="B679" t="s">
        <v>24</v>
      </c>
      <c r="C679" t="s">
        <v>32</v>
      </c>
      <c r="D679" s="1">
        <v>43608</v>
      </c>
      <c r="E679">
        <v>487602</v>
      </c>
      <c r="F679">
        <v>675</v>
      </c>
      <c r="G679">
        <v>0</v>
      </c>
    </row>
    <row r="680" spans="1:8" x14ac:dyDescent="0.25">
      <c r="A680" t="s">
        <v>1059</v>
      </c>
      <c r="B680" t="s">
        <v>1060</v>
      </c>
      <c r="C680" t="s">
        <v>25</v>
      </c>
      <c r="D680" s="1">
        <v>42570</v>
      </c>
      <c r="E680">
        <v>173860</v>
      </c>
      <c r="F680">
        <v>562</v>
      </c>
      <c r="G680">
        <v>0</v>
      </c>
    </row>
    <row r="681" spans="1:8" x14ac:dyDescent="0.25">
      <c r="A681" t="s">
        <v>1061</v>
      </c>
      <c r="B681" t="s">
        <v>809</v>
      </c>
      <c r="C681" t="s">
        <v>25</v>
      </c>
      <c r="D681" s="1">
        <v>45392</v>
      </c>
      <c r="E681">
        <v>115945</v>
      </c>
      <c r="F681">
        <v>566</v>
      </c>
      <c r="G681">
        <v>0</v>
      </c>
    </row>
    <row r="682" spans="1:8" x14ac:dyDescent="0.25">
      <c r="A682" t="s">
        <v>1062</v>
      </c>
      <c r="B682" t="s">
        <v>437</v>
      </c>
      <c r="C682" t="s">
        <v>13</v>
      </c>
      <c r="D682" s="1">
        <v>42460</v>
      </c>
      <c r="E682">
        <v>213456</v>
      </c>
      <c r="F682">
        <v>658</v>
      </c>
      <c r="G682">
        <v>0</v>
      </c>
      <c r="H682" t="s">
        <v>59</v>
      </c>
    </row>
    <row r="683" spans="1:8" x14ac:dyDescent="0.25">
      <c r="A683" t="s">
        <v>1063</v>
      </c>
      <c r="B683" t="s">
        <v>326</v>
      </c>
      <c r="C683" t="s">
        <v>25</v>
      </c>
      <c r="D683" s="1">
        <v>44580</v>
      </c>
      <c r="E683">
        <v>308974</v>
      </c>
      <c r="F683">
        <v>616</v>
      </c>
      <c r="G683">
        <v>0</v>
      </c>
    </row>
    <row r="684" spans="1:8" x14ac:dyDescent="0.25">
      <c r="A684" t="s">
        <v>1064</v>
      </c>
      <c r="B684" t="s">
        <v>1065</v>
      </c>
      <c r="C684" t="s">
        <v>25</v>
      </c>
      <c r="D684" s="1">
        <v>45118</v>
      </c>
      <c r="E684">
        <v>52446</v>
      </c>
      <c r="F684">
        <v>623</v>
      </c>
      <c r="G684">
        <v>254717</v>
      </c>
    </row>
    <row r="685" spans="1:8" x14ac:dyDescent="0.25">
      <c r="A685" t="s">
        <v>1066</v>
      </c>
      <c r="B685" t="s">
        <v>47</v>
      </c>
      <c r="C685" t="s">
        <v>10</v>
      </c>
      <c r="D685" s="1">
        <v>45431</v>
      </c>
      <c r="E685">
        <v>498294</v>
      </c>
      <c r="F685">
        <v>720</v>
      </c>
      <c r="G685">
        <v>139479</v>
      </c>
    </row>
    <row r="686" spans="1:8" x14ac:dyDescent="0.25">
      <c r="A686" t="s">
        <v>1067</v>
      </c>
      <c r="B686" t="s">
        <v>1068</v>
      </c>
      <c r="C686" t="s">
        <v>32</v>
      </c>
      <c r="D686" s="1">
        <v>44721</v>
      </c>
      <c r="E686">
        <v>408376</v>
      </c>
      <c r="F686">
        <v>345</v>
      </c>
      <c r="G686">
        <v>0</v>
      </c>
    </row>
    <row r="687" spans="1:8" x14ac:dyDescent="0.25">
      <c r="A687" t="s">
        <v>1069</v>
      </c>
      <c r="B687" t="s">
        <v>1070</v>
      </c>
      <c r="C687" t="s">
        <v>13</v>
      </c>
      <c r="D687" s="1">
        <v>44117</v>
      </c>
      <c r="E687">
        <v>187655</v>
      </c>
      <c r="F687">
        <v>568</v>
      </c>
      <c r="G687">
        <v>0</v>
      </c>
    </row>
    <row r="688" spans="1:8" x14ac:dyDescent="0.25">
      <c r="A688" t="s">
        <v>1071</v>
      </c>
      <c r="B688" t="s">
        <v>1072</v>
      </c>
      <c r="C688" t="s">
        <v>32</v>
      </c>
      <c r="D688" s="1">
        <v>45191</v>
      </c>
      <c r="E688">
        <v>427214</v>
      </c>
      <c r="F688">
        <v>680</v>
      </c>
      <c r="G688">
        <v>0</v>
      </c>
    </row>
    <row r="689" spans="1:8" x14ac:dyDescent="0.25">
      <c r="A689" t="s">
        <v>1073</v>
      </c>
      <c r="B689" t="s">
        <v>391</v>
      </c>
      <c r="C689" t="s">
        <v>32</v>
      </c>
      <c r="D689" s="1">
        <v>42251</v>
      </c>
      <c r="E689">
        <v>420446</v>
      </c>
      <c r="F689">
        <v>417</v>
      </c>
      <c r="G689">
        <v>0</v>
      </c>
    </row>
    <row r="690" spans="1:8" x14ac:dyDescent="0.25">
      <c r="A690" t="s">
        <v>1074</v>
      </c>
      <c r="B690" t="s">
        <v>1075</v>
      </c>
      <c r="C690" t="s">
        <v>13</v>
      </c>
      <c r="D690" s="1">
        <v>45305</v>
      </c>
      <c r="E690">
        <v>140148</v>
      </c>
      <c r="F690">
        <v>415</v>
      </c>
      <c r="G690">
        <v>0</v>
      </c>
      <c r="H690" t="s">
        <v>59</v>
      </c>
    </row>
    <row r="691" spans="1:8" x14ac:dyDescent="0.25">
      <c r="A691" t="s">
        <v>1076</v>
      </c>
      <c r="B691" t="s">
        <v>667</v>
      </c>
      <c r="C691" t="s">
        <v>10</v>
      </c>
      <c r="D691" s="1">
        <v>45418</v>
      </c>
      <c r="E691">
        <v>69341</v>
      </c>
      <c r="F691">
        <v>559</v>
      </c>
      <c r="G691">
        <v>0</v>
      </c>
    </row>
    <row r="692" spans="1:8" x14ac:dyDescent="0.25">
      <c r="A692" t="s">
        <v>1077</v>
      </c>
      <c r="B692" t="s">
        <v>34</v>
      </c>
      <c r="C692" t="s">
        <v>32</v>
      </c>
      <c r="D692" s="1">
        <v>44766</v>
      </c>
      <c r="E692">
        <v>31085</v>
      </c>
      <c r="F692">
        <v>374</v>
      </c>
      <c r="G692">
        <v>0</v>
      </c>
    </row>
    <row r="693" spans="1:8" x14ac:dyDescent="0.25">
      <c r="A693" t="s">
        <v>1078</v>
      </c>
      <c r="B693" t="s">
        <v>172</v>
      </c>
      <c r="C693" t="s">
        <v>13</v>
      </c>
      <c r="D693" s="1">
        <v>44838</v>
      </c>
      <c r="E693">
        <v>317715</v>
      </c>
      <c r="F693">
        <v>779</v>
      </c>
      <c r="G693">
        <v>0</v>
      </c>
    </row>
    <row r="694" spans="1:8" x14ac:dyDescent="0.25">
      <c r="A694" t="s">
        <v>1079</v>
      </c>
      <c r="B694" t="s">
        <v>156</v>
      </c>
      <c r="C694" t="s">
        <v>10</v>
      </c>
      <c r="D694" s="1">
        <v>45292</v>
      </c>
      <c r="E694">
        <v>407931</v>
      </c>
      <c r="F694">
        <v>604</v>
      </c>
      <c r="G694">
        <v>0</v>
      </c>
    </row>
    <row r="695" spans="1:8" x14ac:dyDescent="0.25">
      <c r="A695" t="s">
        <v>1080</v>
      </c>
      <c r="B695" t="s">
        <v>497</v>
      </c>
      <c r="C695" t="s">
        <v>32</v>
      </c>
      <c r="D695" s="1">
        <v>45202</v>
      </c>
      <c r="E695">
        <v>390452</v>
      </c>
      <c r="F695">
        <v>306</v>
      </c>
      <c r="G695">
        <v>0</v>
      </c>
      <c r="H695" t="s">
        <v>59</v>
      </c>
    </row>
    <row r="696" spans="1:8" x14ac:dyDescent="0.25">
      <c r="A696" t="s">
        <v>1081</v>
      </c>
      <c r="B696" t="s">
        <v>717</v>
      </c>
      <c r="C696" t="s">
        <v>10</v>
      </c>
      <c r="D696" s="1">
        <v>43570</v>
      </c>
      <c r="E696">
        <v>5750</v>
      </c>
      <c r="F696">
        <v>665</v>
      </c>
      <c r="G696">
        <v>367612</v>
      </c>
    </row>
    <row r="697" spans="1:8" x14ac:dyDescent="0.25">
      <c r="A697" t="s">
        <v>1082</v>
      </c>
      <c r="B697" t="s">
        <v>1048</v>
      </c>
      <c r="C697" t="s">
        <v>13</v>
      </c>
      <c r="D697" s="1">
        <v>45254</v>
      </c>
      <c r="E697">
        <v>376075</v>
      </c>
      <c r="F697">
        <v>822</v>
      </c>
      <c r="G697">
        <v>396351</v>
      </c>
    </row>
    <row r="698" spans="1:8" x14ac:dyDescent="0.25">
      <c r="A698" t="s">
        <v>1083</v>
      </c>
      <c r="B698" t="s">
        <v>384</v>
      </c>
      <c r="C698" t="s">
        <v>10</v>
      </c>
      <c r="D698" s="1">
        <v>45220</v>
      </c>
      <c r="E698">
        <v>340912</v>
      </c>
      <c r="F698">
        <v>647</v>
      </c>
      <c r="G698">
        <v>0</v>
      </c>
      <c r="H698" t="s">
        <v>39</v>
      </c>
    </row>
    <row r="699" spans="1:8" x14ac:dyDescent="0.25">
      <c r="A699" t="s">
        <v>1084</v>
      </c>
      <c r="B699" t="s">
        <v>657</v>
      </c>
      <c r="C699" t="s">
        <v>13</v>
      </c>
      <c r="D699" s="1">
        <v>44554</v>
      </c>
      <c r="E699">
        <v>35903</v>
      </c>
      <c r="F699">
        <v>737</v>
      </c>
      <c r="G699">
        <v>0</v>
      </c>
    </row>
    <row r="700" spans="1:8" x14ac:dyDescent="0.25">
      <c r="A700" t="s">
        <v>1085</v>
      </c>
      <c r="B700" t="s">
        <v>597</v>
      </c>
      <c r="C700" t="s">
        <v>10</v>
      </c>
      <c r="D700" s="1">
        <v>42385</v>
      </c>
      <c r="E700">
        <v>203561</v>
      </c>
      <c r="F700">
        <v>514</v>
      </c>
      <c r="G700">
        <v>452603</v>
      </c>
      <c r="H700" t="s">
        <v>39</v>
      </c>
    </row>
    <row r="701" spans="1:8" x14ac:dyDescent="0.25">
      <c r="A701" t="s">
        <v>1086</v>
      </c>
      <c r="B701" t="s">
        <v>652</v>
      </c>
      <c r="C701" t="s">
        <v>13</v>
      </c>
      <c r="D701" s="1">
        <v>43847</v>
      </c>
      <c r="E701">
        <v>425309</v>
      </c>
      <c r="F701">
        <v>728</v>
      </c>
      <c r="G701">
        <v>0</v>
      </c>
    </row>
    <row r="702" spans="1:8" x14ac:dyDescent="0.25">
      <c r="A702" t="s">
        <v>1087</v>
      </c>
      <c r="B702" t="s">
        <v>114</v>
      </c>
      <c r="C702" t="s">
        <v>10</v>
      </c>
      <c r="D702" s="1">
        <v>44178</v>
      </c>
      <c r="E702">
        <v>91036</v>
      </c>
      <c r="F702">
        <v>797</v>
      </c>
      <c r="G702">
        <v>0</v>
      </c>
      <c r="H702" t="s">
        <v>18</v>
      </c>
    </row>
    <row r="703" spans="1:8" x14ac:dyDescent="0.25">
      <c r="A703" t="s">
        <v>1088</v>
      </c>
      <c r="B703" t="s">
        <v>190</v>
      </c>
      <c r="C703" t="s">
        <v>10</v>
      </c>
      <c r="D703" s="1">
        <v>45204</v>
      </c>
      <c r="E703">
        <v>87954</v>
      </c>
      <c r="F703">
        <v>839</v>
      </c>
      <c r="G703">
        <v>0</v>
      </c>
    </row>
    <row r="704" spans="1:8" x14ac:dyDescent="0.25">
      <c r="A704" t="s">
        <v>1089</v>
      </c>
      <c r="B704" t="s">
        <v>350</v>
      </c>
      <c r="C704" t="s">
        <v>25</v>
      </c>
      <c r="D704" s="1">
        <v>42906</v>
      </c>
      <c r="E704">
        <v>427530</v>
      </c>
      <c r="F704">
        <v>666</v>
      </c>
      <c r="G704">
        <v>449958</v>
      </c>
    </row>
    <row r="705" spans="1:8" x14ac:dyDescent="0.25">
      <c r="A705" t="s">
        <v>1090</v>
      </c>
      <c r="B705" t="s">
        <v>148</v>
      </c>
      <c r="C705" t="s">
        <v>10</v>
      </c>
      <c r="D705" s="1">
        <v>42712</v>
      </c>
      <c r="E705">
        <v>441441</v>
      </c>
      <c r="F705">
        <v>612</v>
      </c>
      <c r="G705">
        <v>307666</v>
      </c>
    </row>
    <row r="706" spans="1:8" x14ac:dyDescent="0.25">
      <c r="A706" t="s">
        <v>1091</v>
      </c>
      <c r="B706" t="s">
        <v>1092</v>
      </c>
      <c r="C706" t="s">
        <v>10</v>
      </c>
      <c r="D706" s="1">
        <v>43503</v>
      </c>
      <c r="E706">
        <v>481201</v>
      </c>
      <c r="F706">
        <v>837</v>
      </c>
      <c r="G706">
        <v>0</v>
      </c>
    </row>
    <row r="707" spans="1:8" x14ac:dyDescent="0.25">
      <c r="A707" t="s">
        <v>1093</v>
      </c>
      <c r="B707" t="s">
        <v>43</v>
      </c>
      <c r="C707" t="s">
        <v>10</v>
      </c>
      <c r="D707" s="1">
        <v>43221</v>
      </c>
      <c r="E707">
        <v>345158</v>
      </c>
      <c r="F707">
        <v>353</v>
      </c>
      <c r="G707">
        <v>0</v>
      </c>
    </row>
    <row r="708" spans="1:8" x14ac:dyDescent="0.25">
      <c r="A708" t="s">
        <v>1094</v>
      </c>
      <c r="B708" t="s">
        <v>1095</v>
      </c>
      <c r="C708" t="s">
        <v>13</v>
      </c>
      <c r="D708" s="1">
        <v>44760</v>
      </c>
      <c r="E708">
        <v>428395</v>
      </c>
      <c r="F708">
        <v>840</v>
      </c>
      <c r="G708">
        <v>0</v>
      </c>
    </row>
    <row r="709" spans="1:8" x14ac:dyDescent="0.25">
      <c r="A709" t="s">
        <v>1096</v>
      </c>
      <c r="B709" t="s">
        <v>235</v>
      </c>
      <c r="C709" t="s">
        <v>10</v>
      </c>
      <c r="D709" s="1">
        <v>45272</v>
      </c>
      <c r="E709">
        <v>117305</v>
      </c>
      <c r="F709">
        <v>766</v>
      </c>
      <c r="G709">
        <v>0</v>
      </c>
      <c r="H709" t="s">
        <v>18</v>
      </c>
    </row>
    <row r="710" spans="1:8" x14ac:dyDescent="0.25">
      <c r="A710" t="s">
        <v>1097</v>
      </c>
      <c r="B710" t="s">
        <v>281</v>
      </c>
      <c r="C710" t="s">
        <v>13</v>
      </c>
      <c r="D710" s="1">
        <v>42810</v>
      </c>
      <c r="E710">
        <v>418554</v>
      </c>
      <c r="F710">
        <v>463</v>
      </c>
      <c r="G710">
        <v>366541</v>
      </c>
    </row>
    <row r="711" spans="1:8" x14ac:dyDescent="0.25">
      <c r="A711" t="s">
        <v>1098</v>
      </c>
      <c r="B711" t="s">
        <v>1099</v>
      </c>
      <c r="C711" t="s">
        <v>32</v>
      </c>
      <c r="D711" s="1">
        <v>43698</v>
      </c>
      <c r="E711">
        <v>485651</v>
      </c>
      <c r="F711">
        <v>633</v>
      </c>
      <c r="G711">
        <v>8880</v>
      </c>
      <c r="H711" t="s">
        <v>59</v>
      </c>
    </row>
    <row r="712" spans="1:8" x14ac:dyDescent="0.25">
      <c r="A712" t="s">
        <v>1100</v>
      </c>
      <c r="B712" t="s">
        <v>662</v>
      </c>
      <c r="C712" t="s">
        <v>13</v>
      </c>
      <c r="D712" s="1">
        <v>42305</v>
      </c>
      <c r="E712">
        <v>200753</v>
      </c>
      <c r="F712">
        <v>846</v>
      </c>
      <c r="G712">
        <v>0</v>
      </c>
    </row>
    <row r="713" spans="1:8" x14ac:dyDescent="0.25">
      <c r="A713" t="s">
        <v>1101</v>
      </c>
      <c r="B713" t="s">
        <v>1102</v>
      </c>
      <c r="C713" t="s">
        <v>10</v>
      </c>
      <c r="D713" s="1">
        <v>44180</v>
      </c>
      <c r="E713">
        <v>32101</v>
      </c>
      <c r="F713">
        <v>647</v>
      </c>
      <c r="G713">
        <v>453927</v>
      </c>
    </row>
    <row r="714" spans="1:8" x14ac:dyDescent="0.25">
      <c r="A714" t="s">
        <v>1103</v>
      </c>
      <c r="B714" t="s">
        <v>672</v>
      </c>
      <c r="C714" t="s">
        <v>10</v>
      </c>
      <c r="D714" s="1">
        <v>43020</v>
      </c>
      <c r="E714">
        <v>2775</v>
      </c>
      <c r="F714">
        <v>572</v>
      </c>
      <c r="G714">
        <v>0</v>
      </c>
    </row>
    <row r="715" spans="1:8" x14ac:dyDescent="0.25">
      <c r="A715" t="s">
        <v>1104</v>
      </c>
      <c r="B715" t="s">
        <v>433</v>
      </c>
      <c r="C715" t="s">
        <v>10</v>
      </c>
      <c r="D715" s="1">
        <v>45063</v>
      </c>
      <c r="E715">
        <v>111497</v>
      </c>
      <c r="F715">
        <v>713</v>
      </c>
      <c r="G715">
        <v>0</v>
      </c>
    </row>
    <row r="716" spans="1:8" x14ac:dyDescent="0.25">
      <c r="A716" t="s">
        <v>1105</v>
      </c>
      <c r="B716" t="s">
        <v>1106</v>
      </c>
      <c r="C716" t="s">
        <v>13</v>
      </c>
      <c r="D716" s="1">
        <v>44894</v>
      </c>
      <c r="E716">
        <v>490399</v>
      </c>
      <c r="F716">
        <v>799</v>
      </c>
      <c r="G716">
        <v>466537</v>
      </c>
      <c r="H716" t="s">
        <v>18</v>
      </c>
    </row>
    <row r="717" spans="1:8" x14ac:dyDescent="0.25">
      <c r="A717" t="s">
        <v>1107</v>
      </c>
      <c r="B717" t="s">
        <v>9</v>
      </c>
      <c r="C717" t="s">
        <v>10</v>
      </c>
      <c r="D717" s="1">
        <v>44170</v>
      </c>
      <c r="E717">
        <v>45619</v>
      </c>
      <c r="F717">
        <v>392</v>
      </c>
      <c r="G717">
        <v>0</v>
      </c>
    </row>
    <row r="718" spans="1:8" x14ac:dyDescent="0.25">
      <c r="A718" t="s">
        <v>1108</v>
      </c>
      <c r="B718" t="s">
        <v>727</v>
      </c>
      <c r="C718" t="s">
        <v>10</v>
      </c>
      <c r="D718" s="1">
        <v>43459</v>
      </c>
      <c r="E718">
        <v>439054</v>
      </c>
      <c r="F718">
        <v>378</v>
      </c>
      <c r="G718">
        <v>0</v>
      </c>
    </row>
    <row r="719" spans="1:8" x14ac:dyDescent="0.25">
      <c r="A719" t="s">
        <v>1109</v>
      </c>
      <c r="B719" t="s">
        <v>393</v>
      </c>
      <c r="C719" t="s">
        <v>25</v>
      </c>
      <c r="D719" s="1">
        <v>43635</v>
      </c>
      <c r="E719">
        <v>252388</v>
      </c>
      <c r="F719">
        <v>516</v>
      </c>
      <c r="G719">
        <v>0</v>
      </c>
    </row>
    <row r="720" spans="1:8" x14ac:dyDescent="0.25">
      <c r="A720" t="s">
        <v>1110</v>
      </c>
      <c r="B720" t="s">
        <v>433</v>
      </c>
      <c r="C720" t="s">
        <v>13</v>
      </c>
      <c r="D720" s="1">
        <v>42305</v>
      </c>
      <c r="E720">
        <v>412755</v>
      </c>
      <c r="F720">
        <v>657</v>
      </c>
      <c r="G720">
        <v>458318</v>
      </c>
    </row>
    <row r="721" spans="1:8" x14ac:dyDescent="0.25">
      <c r="A721" t="s">
        <v>1111</v>
      </c>
      <c r="B721" t="s">
        <v>458</v>
      </c>
      <c r="C721" t="s">
        <v>10</v>
      </c>
      <c r="D721" s="1">
        <v>44241</v>
      </c>
      <c r="E721">
        <v>233346</v>
      </c>
      <c r="F721">
        <v>806</v>
      </c>
      <c r="G721">
        <v>0</v>
      </c>
      <c r="H721" t="s">
        <v>39</v>
      </c>
    </row>
    <row r="722" spans="1:8" x14ac:dyDescent="0.25">
      <c r="A722" t="s">
        <v>1112</v>
      </c>
      <c r="B722" t="s">
        <v>535</v>
      </c>
      <c r="C722" t="s">
        <v>10</v>
      </c>
      <c r="D722" s="1">
        <v>45536</v>
      </c>
      <c r="E722">
        <v>319268</v>
      </c>
      <c r="F722">
        <v>480</v>
      </c>
      <c r="G722">
        <v>0</v>
      </c>
    </row>
    <row r="723" spans="1:8" x14ac:dyDescent="0.25">
      <c r="A723" t="s">
        <v>1113</v>
      </c>
      <c r="B723" t="s">
        <v>443</v>
      </c>
      <c r="C723" t="s">
        <v>10</v>
      </c>
      <c r="D723" s="1">
        <v>42583</v>
      </c>
      <c r="E723">
        <v>65149</v>
      </c>
      <c r="F723">
        <v>545</v>
      </c>
      <c r="G723">
        <v>0</v>
      </c>
    </row>
    <row r="724" spans="1:8" x14ac:dyDescent="0.25">
      <c r="A724" t="s">
        <v>1114</v>
      </c>
      <c r="B724" t="s">
        <v>388</v>
      </c>
      <c r="C724" t="s">
        <v>10</v>
      </c>
      <c r="D724" s="1">
        <v>43405</v>
      </c>
      <c r="E724">
        <v>26616</v>
      </c>
      <c r="F724">
        <v>543</v>
      </c>
      <c r="G724">
        <v>0</v>
      </c>
    </row>
    <row r="725" spans="1:8" x14ac:dyDescent="0.25">
      <c r="A725" t="s">
        <v>1115</v>
      </c>
      <c r="B725" t="s">
        <v>55</v>
      </c>
      <c r="C725" t="s">
        <v>10</v>
      </c>
      <c r="D725" s="1">
        <v>45139</v>
      </c>
      <c r="E725">
        <v>472871</v>
      </c>
      <c r="F725">
        <v>805</v>
      </c>
      <c r="G725">
        <v>0</v>
      </c>
    </row>
    <row r="726" spans="1:8" x14ac:dyDescent="0.25">
      <c r="A726" t="s">
        <v>1116</v>
      </c>
      <c r="B726" t="s">
        <v>727</v>
      </c>
      <c r="C726" t="s">
        <v>13</v>
      </c>
      <c r="D726" s="1">
        <v>44638</v>
      </c>
      <c r="E726">
        <v>221767</v>
      </c>
      <c r="F726">
        <v>721</v>
      </c>
      <c r="G726">
        <v>0</v>
      </c>
    </row>
    <row r="727" spans="1:8" x14ac:dyDescent="0.25">
      <c r="A727" t="s">
        <v>1117</v>
      </c>
      <c r="B727" t="s">
        <v>806</v>
      </c>
      <c r="C727" t="s">
        <v>13</v>
      </c>
      <c r="D727" s="1">
        <v>44573</v>
      </c>
      <c r="E727">
        <v>185639</v>
      </c>
      <c r="F727">
        <v>619</v>
      </c>
      <c r="G727">
        <v>0</v>
      </c>
    </row>
    <row r="728" spans="1:8" x14ac:dyDescent="0.25">
      <c r="A728" t="s">
        <v>1118</v>
      </c>
      <c r="B728" t="s">
        <v>1119</v>
      </c>
      <c r="C728" t="s">
        <v>13</v>
      </c>
      <c r="D728" s="1">
        <v>45082</v>
      </c>
      <c r="E728">
        <v>168171</v>
      </c>
      <c r="F728">
        <v>386</v>
      </c>
      <c r="G728">
        <v>0</v>
      </c>
      <c r="H728" t="s">
        <v>18</v>
      </c>
    </row>
    <row r="729" spans="1:8" x14ac:dyDescent="0.25">
      <c r="A729" t="s">
        <v>1120</v>
      </c>
      <c r="B729" t="s">
        <v>43</v>
      </c>
      <c r="C729" t="s">
        <v>13</v>
      </c>
      <c r="D729" s="1">
        <v>42697</v>
      </c>
      <c r="E729">
        <v>206903</v>
      </c>
      <c r="F729">
        <v>516</v>
      </c>
      <c r="G729">
        <v>0</v>
      </c>
    </row>
    <row r="730" spans="1:8" x14ac:dyDescent="0.25">
      <c r="A730" t="s">
        <v>1121</v>
      </c>
      <c r="B730" t="s">
        <v>537</v>
      </c>
      <c r="C730" t="s">
        <v>10</v>
      </c>
      <c r="D730" s="1">
        <v>44314</v>
      </c>
      <c r="E730">
        <v>231318</v>
      </c>
      <c r="F730">
        <v>789</v>
      </c>
      <c r="G730">
        <v>417289</v>
      </c>
    </row>
    <row r="731" spans="1:8" x14ac:dyDescent="0.25">
      <c r="A731" t="s">
        <v>1122</v>
      </c>
      <c r="B731" t="s">
        <v>399</v>
      </c>
      <c r="C731" t="s">
        <v>10</v>
      </c>
      <c r="D731" s="1">
        <v>42800</v>
      </c>
      <c r="E731">
        <v>323943</v>
      </c>
      <c r="F731">
        <v>818</v>
      </c>
      <c r="G731">
        <v>369543</v>
      </c>
    </row>
    <row r="732" spans="1:8" x14ac:dyDescent="0.25">
      <c r="A732" t="s">
        <v>1123</v>
      </c>
      <c r="B732" t="s">
        <v>844</v>
      </c>
      <c r="C732" t="s">
        <v>13</v>
      </c>
      <c r="D732" s="1">
        <v>43067</v>
      </c>
      <c r="E732">
        <v>352365</v>
      </c>
      <c r="F732">
        <v>577</v>
      </c>
      <c r="G732">
        <v>0</v>
      </c>
    </row>
    <row r="733" spans="1:8" x14ac:dyDescent="0.25">
      <c r="A733" t="s">
        <v>1124</v>
      </c>
      <c r="B733" t="s">
        <v>616</v>
      </c>
      <c r="C733" t="s">
        <v>32</v>
      </c>
      <c r="D733" s="1">
        <v>44420</v>
      </c>
      <c r="E733">
        <v>377023</v>
      </c>
      <c r="F733">
        <v>468</v>
      </c>
      <c r="G733">
        <v>0</v>
      </c>
    </row>
    <row r="734" spans="1:8" x14ac:dyDescent="0.25">
      <c r="A734" t="s">
        <v>1125</v>
      </c>
      <c r="B734" t="s">
        <v>813</v>
      </c>
      <c r="C734" t="s">
        <v>13</v>
      </c>
      <c r="D734" s="1">
        <v>45195</v>
      </c>
      <c r="E734">
        <v>287623</v>
      </c>
      <c r="F734">
        <v>629</v>
      </c>
      <c r="G734">
        <v>0</v>
      </c>
    </row>
    <row r="735" spans="1:8" x14ac:dyDescent="0.25">
      <c r="A735" t="s">
        <v>1126</v>
      </c>
      <c r="B735" t="s">
        <v>297</v>
      </c>
      <c r="C735" t="s">
        <v>25</v>
      </c>
      <c r="D735" s="1">
        <v>45387</v>
      </c>
      <c r="E735">
        <v>439388</v>
      </c>
      <c r="F735">
        <v>740</v>
      </c>
      <c r="G735">
        <v>0</v>
      </c>
    </row>
    <row r="736" spans="1:8" x14ac:dyDescent="0.25">
      <c r="A736" t="s">
        <v>1127</v>
      </c>
      <c r="B736" t="s">
        <v>834</v>
      </c>
      <c r="C736" t="s">
        <v>10</v>
      </c>
      <c r="D736" s="1">
        <v>44258</v>
      </c>
      <c r="E736">
        <v>361309</v>
      </c>
      <c r="F736">
        <v>690</v>
      </c>
      <c r="G736">
        <v>0</v>
      </c>
    </row>
    <row r="737" spans="1:8" x14ac:dyDescent="0.25">
      <c r="A737" t="s">
        <v>1128</v>
      </c>
      <c r="B737" t="s">
        <v>1129</v>
      </c>
      <c r="C737" t="s">
        <v>13</v>
      </c>
      <c r="D737" s="1">
        <v>45798</v>
      </c>
      <c r="E737">
        <v>55863</v>
      </c>
      <c r="F737">
        <v>795</v>
      </c>
      <c r="G737">
        <v>0</v>
      </c>
    </row>
    <row r="738" spans="1:8" x14ac:dyDescent="0.25">
      <c r="A738" t="s">
        <v>1130</v>
      </c>
      <c r="B738" t="s">
        <v>773</v>
      </c>
      <c r="C738" t="s">
        <v>13</v>
      </c>
      <c r="D738" s="1">
        <v>45036</v>
      </c>
      <c r="E738">
        <v>173115</v>
      </c>
      <c r="F738">
        <v>680</v>
      </c>
      <c r="G738">
        <v>0</v>
      </c>
    </row>
    <row r="739" spans="1:8" x14ac:dyDescent="0.25">
      <c r="A739" t="s">
        <v>1131</v>
      </c>
      <c r="B739" t="s">
        <v>489</v>
      </c>
      <c r="C739" t="s">
        <v>10</v>
      </c>
      <c r="D739" s="1">
        <v>43862</v>
      </c>
      <c r="E739">
        <v>344713</v>
      </c>
      <c r="F739">
        <v>605</v>
      </c>
      <c r="G739">
        <v>0</v>
      </c>
      <c r="H739" t="s">
        <v>18</v>
      </c>
    </row>
    <row r="740" spans="1:8" x14ac:dyDescent="0.25">
      <c r="A740" t="s">
        <v>1132</v>
      </c>
      <c r="B740" t="s">
        <v>743</v>
      </c>
      <c r="C740" t="s">
        <v>13</v>
      </c>
      <c r="D740" s="1">
        <v>45889</v>
      </c>
      <c r="E740">
        <v>495654</v>
      </c>
      <c r="F740">
        <v>812</v>
      </c>
      <c r="G740">
        <v>361004</v>
      </c>
    </row>
    <row r="741" spans="1:8" x14ac:dyDescent="0.25">
      <c r="A741" t="s">
        <v>1133</v>
      </c>
      <c r="B741" t="s">
        <v>45</v>
      </c>
      <c r="C741" t="s">
        <v>32</v>
      </c>
      <c r="D741" s="1">
        <v>45572</v>
      </c>
      <c r="E741">
        <v>408624</v>
      </c>
      <c r="F741">
        <v>487</v>
      </c>
      <c r="G741">
        <v>29624</v>
      </c>
    </row>
    <row r="742" spans="1:8" x14ac:dyDescent="0.25">
      <c r="A742" t="s">
        <v>1134</v>
      </c>
      <c r="B742" t="s">
        <v>983</v>
      </c>
      <c r="C742" t="s">
        <v>10</v>
      </c>
      <c r="D742" s="1">
        <v>45374</v>
      </c>
      <c r="E742">
        <v>253347</v>
      </c>
      <c r="F742">
        <v>815</v>
      </c>
      <c r="G742">
        <v>0</v>
      </c>
    </row>
    <row r="743" spans="1:8" x14ac:dyDescent="0.25">
      <c r="A743" t="s">
        <v>1135</v>
      </c>
      <c r="B743" t="s">
        <v>553</v>
      </c>
      <c r="C743" t="s">
        <v>32</v>
      </c>
      <c r="D743" s="1">
        <v>45147</v>
      </c>
      <c r="E743">
        <v>189052</v>
      </c>
      <c r="F743">
        <v>726</v>
      </c>
      <c r="G743">
        <v>239784</v>
      </c>
    </row>
    <row r="744" spans="1:8" x14ac:dyDescent="0.25">
      <c r="A744" t="s">
        <v>1136</v>
      </c>
      <c r="B744" t="s">
        <v>508</v>
      </c>
      <c r="C744" t="s">
        <v>13</v>
      </c>
      <c r="D744" s="1">
        <v>42268</v>
      </c>
      <c r="E744">
        <v>476172</v>
      </c>
      <c r="F744">
        <v>801</v>
      </c>
      <c r="G744">
        <v>0</v>
      </c>
    </row>
    <row r="745" spans="1:8" x14ac:dyDescent="0.25">
      <c r="A745" t="s">
        <v>1137</v>
      </c>
      <c r="B745" t="s">
        <v>355</v>
      </c>
      <c r="C745" t="s">
        <v>25</v>
      </c>
      <c r="D745" s="1">
        <v>44660</v>
      </c>
      <c r="E745">
        <v>278495</v>
      </c>
      <c r="F745">
        <v>559</v>
      </c>
      <c r="G745">
        <v>0</v>
      </c>
    </row>
    <row r="746" spans="1:8" x14ac:dyDescent="0.25">
      <c r="A746" t="s">
        <v>1138</v>
      </c>
      <c r="B746" t="s">
        <v>24</v>
      </c>
      <c r="C746" t="s">
        <v>10</v>
      </c>
      <c r="D746" s="1">
        <v>45654</v>
      </c>
      <c r="E746">
        <v>135203</v>
      </c>
      <c r="F746">
        <v>812</v>
      </c>
      <c r="G746">
        <v>0</v>
      </c>
      <c r="H746" t="s">
        <v>39</v>
      </c>
    </row>
    <row r="747" spans="1:8" x14ac:dyDescent="0.25">
      <c r="A747" t="s">
        <v>1139</v>
      </c>
      <c r="B747" t="s">
        <v>539</v>
      </c>
      <c r="C747" t="s">
        <v>25</v>
      </c>
      <c r="D747" s="1">
        <v>45267</v>
      </c>
      <c r="E747">
        <v>247908</v>
      </c>
      <c r="F747">
        <v>370</v>
      </c>
      <c r="G747">
        <v>424972</v>
      </c>
    </row>
    <row r="748" spans="1:8" x14ac:dyDescent="0.25">
      <c r="A748" t="s">
        <v>1140</v>
      </c>
      <c r="B748" t="s">
        <v>355</v>
      </c>
      <c r="C748" t="s">
        <v>13</v>
      </c>
      <c r="D748" s="1">
        <v>45127</v>
      </c>
      <c r="E748">
        <v>306969</v>
      </c>
      <c r="F748">
        <v>777</v>
      </c>
      <c r="G748">
        <v>0</v>
      </c>
    </row>
    <row r="749" spans="1:8" x14ac:dyDescent="0.25">
      <c r="A749" t="s">
        <v>1141</v>
      </c>
      <c r="B749" t="s">
        <v>94</v>
      </c>
      <c r="C749" t="s">
        <v>10</v>
      </c>
      <c r="D749" s="1">
        <v>43852</v>
      </c>
      <c r="E749">
        <v>273493</v>
      </c>
      <c r="F749">
        <v>477</v>
      </c>
      <c r="G749">
        <v>0</v>
      </c>
    </row>
    <row r="750" spans="1:8" x14ac:dyDescent="0.25">
      <c r="A750" t="s">
        <v>1142</v>
      </c>
      <c r="B750" t="s">
        <v>291</v>
      </c>
      <c r="C750" t="s">
        <v>10</v>
      </c>
      <c r="D750" s="1">
        <v>45637</v>
      </c>
      <c r="E750">
        <v>192003</v>
      </c>
      <c r="F750">
        <v>756</v>
      </c>
      <c r="G750">
        <v>0</v>
      </c>
    </row>
    <row r="751" spans="1:8" x14ac:dyDescent="0.25">
      <c r="A751" t="s">
        <v>1143</v>
      </c>
      <c r="B751" t="s">
        <v>82</v>
      </c>
      <c r="C751" t="s">
        <v>25</v>
      </c>
      <c r="D751" s="1">
        <v>45162</v>
      </c>
      <c r="E751">
        <v>306398</v>
      </c>
      <c r="F751">
        <v>488</v>
      </c>
      <c r="G751">
        <v>0</v>
      </c>
    </row>
    <row r="752" spans="1:8" x14ac:dyDescent="0.25">
      <c r="A752" t="s">
        <v>1144</v>
      </c>
      <c r="B752" t="s">
        <v>114</v>
      </c>
      <c r="C752" t="s">
        <v>13</v>
      </c>
      <c r="D752" s="1">
        <v>45168</v>
      </c>
      <c r="E752">
        <v>300369</v>
      </c>
      <c r="F752">
        <v>590</v>
      </c>
      <c r="G752">
        <v>0</v>
      </c>
    </row>
    <row r="753" spans="1:8" x14ac:dyDescent="0.25">
      <c r="A753" t="s">
        <v>1145</v>
      </c>
      <c r="B753" t="s">
        <v>1146</v>
      </c>
      <c r="C753" t="s">
        <v>25</v>
      </c>
      <c r="D753" s="1">
        <v>45317</v>
      </c>
      <c r="E753">
        <v>497599</v>
      </c>
      <c r="F753">
        <v>819</v>
      </c>
      <c r="G753">
        <v>0</v>
      </c>
    </row>
    <row r="754" spans="1:8" x14ac:dyDescent="0.25">
      <c r="A754" t="s">
        <v>1147</v>
      </c>
      <c r="B754" t="s">
        <v>71</v>
      </c>
      <c r="C754" t="s">
        <v>13</v>
      </c>
      <c r="D754" s="1">
        <v>45136</v>
      </c>
      <c r="E754">
        <v>274597</v>
      </c>
      <c r="F754">
        <v>591</v>
      </c>
      <c r="G754">
        <v>0</v>
      </c>
    </row>
    <row r="755" spans="1:8" x14ac:dyDescent="0.25">
      <c r="A755" t="s">
        <v>1148</v>
      </c>
      <c r="B755" t="s">
        <v>279</v>
      </c>
      <c r="C755" t="s">
        <v>25</v>
      </c>
      <c r="D755" s="1">
        <v>44551</v>
      </c>
      <c r="E755">
        <v>149886</v>
      </c>
      <c r="F755">
        <v>582</v>
      </c>
      <c r="G755">
        <v>180858</v>
      </c>
    </row>
    <row r="756" spans="1:8" x14ac:dyDescent="0.25">
      <c r="A756" t="s">
        <v>1149</v>
      </c>
      <c r="B756" t="s">
        <v>1150</v>
      </c>
      <c r="C756" t="s">
        <v>25</v>
      </c>
      <c r="D756" s="1">
        <v>45733</v>
      </c>
      <c r="E756">
        <v>149335</v>
      </c>
      <c r="F756">
        <v>843</v>
      </c>
      <c r="G756">
        <v>0</v>
      </c>
    </row>
    <row r="757" spans="1:8" x14ac:dyDescent="0.25">
      <c r="A757" t="s">
        <v>1151</v>
      </c>
      <c r="B757" t="s">
        <v>542</v>
      </c>
      <c r="C757" t="s">
        <v>25</v>
      </c>
      <c r="D757" s="1">
        <v>45211</v>
      </c>
      <c r="E757">
        <v>77694</v>
      </c>
      <c r="F757">
        <v>676</v>
      </c>
      <c r="G757">
        <v>0</v>
      </c>
    </row>
    <row r="758" spans="1:8" x14ac:dyDescent="0.25">
      <c r="A758" t="s">
        <v>1152</v>
      </c>
      <c r="B758" t="s">
        <v>1039</v>
      </c>
      <c r="C758" t="s">
        <v>10</v>
      </c>
      <c r="D758" s="1">
        <v>45024</v>
      </c>
      <c r="E758">
        <v>15735</v>
      </c>
      <c r="F758">
        <v>455</v>
      </c>
      <c r="G758">
        <v>0</v>
      </c>
    </row>
    <row r="759" spans="1:8" x14ac:dyDescent="0.25">
      <c r="A759" t="s">
        <v>1153</v>
      </c>
      <c r="B759" t="s">
        <v>750</v>
      </c>
      <c r="C759" t="s">
        <v>10</v>
      </c>
      <c r="D759" s="1">
        <v>44684</v>
      </c>
      <c r="E759">
        <v>409046</v>
      </c>
      <c r="F759">
        <v>807</v>
      </c>
      <c r="G759">
        <v>0</v>
      </c>
    </row>
    <row r="760" spans="1:8" x14ac:dyDescent="0.25">
      <c r="A760" t="s">
        <v>1154</v>
      </c>
      <c r="B760" t="s">
        <v>209</v>
      </c>
      <c r="C760" t="s">
        <v>32</v>
      </c>
      <c r="D760" s="1">
        <v>42955</v>
      </c>
      <c r="E760">
        <v>310037</v>
      </c>
      <c r="F760">
        <v>712</v>
      </c>
      <c r="G760">
        <v>0</v>
      </c>
    </row>
    <row r="761" spans="1:8" x14ac:dyDescent="0.25">
      <c r="A761" t="s">
        <v>1155</v>
      </c>
      <c r="B761" t="s">
        <v>777</v>
      </c>
      <c r="C761" t="s">
        <v>13</v>
      </c>
      <c r="D761" s="1">
        <v>43172</v>
      </c>
      <c r="E761">
        <v>175745</v>
      </c>
      <c r="F761">
        <v>827</v>
      </c>
      <c r="G761">
        <v>0</v>
      </c>
    </row>
    <row r="762" spans="1:8" x14ac:dyDescent="0.25">
      <c r="A762" t="s">
        <v>1156</v>
      </c>
      <c r="B762" t="s">
        <v>629</v>
      </c>
      <c r="C762" t="s">
        <v>10</v>
      </c>
      <c r="D762" s="1">
        <v>45336</v>
      </c>
      <c r="E762">
        <v>389150</v>
      </c>
      <c r="F762">
        <v>654</v>
      </c>
      <c r="G762">
        <v>0</v>
      </c>
    </row>
    <row r="763" spans="1:8" x14ac:dyDescent="0.25">
      <c r="A763" t="s">
        <v>1157</v>
      </c>
      <c r="B763" t="s">
        <v>139</v>
      </c>
      <c r="C763" t="s">
        <v>10</v>
      </c>
      <c r="D763" s="1">
        <v>44959</v>
      </c>
      <c r="E763">
        <v>220534</v>
      </c>
      <c r="F763">
        <v>486</v>
      </c>
      <c r="G763">
        <v>0</v>
      </c>
    </row>
    <row r="764" spans="1:8" x14ac:dyDescent="0.25">
      <c r="A764" t="s">
        <v>1158</v>
      </c>
      <c r="B764" t="s">
        <v>690</v>
      </c>
      <c r="C764" t="s">
        <v>25</v>
      </c>
      <c r="D764" s="1">
        <v>42567</v>
      </c>
      <c r="E764">
        <v>45066</v>
      </c>
      <c r="F764">
        <v>330</v>
      </c>
      <c r="G764">
        <v>0</v>
      </c>
    </row>
    <row r="765" spans="1:8" x14ac:dyDescent="0.25">
      <c r="A765" t="s">
        <v>1159</v>
      </c>
      <c r="B765" t="s">
        <v>857</v>
      </c>
      <c r="C765" t="s">
        <v>13</v>
      </c>
      <c r="D765" s="1">
        <v>44569</v>
      </c>
      <c r="E765">
        <v>231387</v>
      </c>
      <c r="F765">
        <v>559</v>
      </c>
      <c r="G765">
        <v>0</v>
      </c>
    </row>
    <row r="766" spans="1:8" x14ac:dyDescent="0.25">
      <c r="A766" t="s">
        <v>1160</v>
      </c>
      <c r="B766" t="s">
        <v>391</v>
      </c>
      <c r="C766" t="s">
        <v>10</v>
      </c>
      <c r="D766" s="1">
        <v>43688</v>
      </c>
      <c r="E766">
        <v>134445</v>
      </c>
      <c r="F766">
        <v>720</v>
      </c>
      <c r="G766">
        <v>0</v>
      </c>
    </row>
    <row r="767" spans="1:8" x14ac:dyDescent="0.25">
      <c r="A767" t="s">
        <v>1161</v>
      </c>
      <c r="B767" t="s">
        <v>1162</v>
      </c>
      <c r="C767" t="s">
        <v>25</v>
      </c>
      <c r="D767" s="1">
        <v>45014</v>
      </c>
      <c r="E767">
        <v>403551</v>
      </c>
      <c r="F767">
        <v>828</v>
      </c>
      <c r="G767">
        <v>0</v>
      </c>
    </row>
    <row r="768" spans="1:8" x14ac:dyDescent="0.25">
      <c r="A768" t="s">
        <v>1163</v>
      </c>
      <c r="B768" t="s">
        <v>1070</v>
      </c>
      <c r="C768" t="s">
        <v>13</v>
      </c>
      <c r="D768" s="1">
        <v>44649</v>
      </c>
      <c r="E768">
        <v>416957</v>
      </c>
      <c r="F768">
        <v>603</v>
      </c>
      <c r="G768">
        <v>0</v>
      </c>
      <c r="H768" t="s">
        <v>18</v>
      </c>
    </row>
    <row r="769" spans="1:8" x14ac:dyDescent="0.25">
      <c r="A769" t="s">
        <v>1164</v>
      </c>
      <c r="B769" t="s">
        <v>277</v>
      </c>
      <c r="C769" t="s">
        <v>32</v>
      </c>
      <c r="D769" s="1">
        <v>44363</v>
      </c>
      <c r="E769">
        <v>272836</v>
      </c>
      <c r="F769">
        <v>338</v>
      </c>
      <c r="G769">
        <v>37930</v>
      </c>
    </row>
    <row r="770" spans="1:8" x14ac:dyDescent="0.25">
      <c r="A770" t="s">
        <v>1165</v>
      </c>
      <c r="B770" t="s">
        <v>63</v>
      </c>
      <c r="C770" t="s">
        <v>13</v>
      </c>
      <c r="D770" s="1">
        <v>42291</v>
      </c>
      <c r="E770">
        <v>440511</v>
      </c>
      <c r="F770">
        <v>788</v>
      </c>
      <c r="G770">
        <v>0</v>
      </c>
    </row>
    <row r="771" spans="1:8" x14ac:dyDescent="0.25">
      <c r="A771" t="s">
        <v>1166</v>
      </c>
      <c r="B771" t="s">
        <v>688</v>
      </c>
      <c r="C771" t="s">
        <v>13</v>
      </c>
      <c r="D771" s="1">
        <v>43909</v>
      </c>
      <c r="E771">
        <v>45541</v>
      </c>
      <c r="F771">
        <v>841</v>
      </c>
      <c r="G771">
        <v>0</v>
      </c>
    </row>
    <row r="772" spans="1:8" x14ac:dyDescent="0.25">
      <c r="A772" t="s">
        <v>1167</v>
      </c>
      <c r="B772" t="s">
        <v>968</v>
      </c>
      <c r="C772" t="s">
        <v>13</v>
      </c>
      <c r="D772" s="1">
        <v>43164</v>
      </c>
      <c r="E772">
        <v>165129</v>
      </c>
      <c r="F772">
        <v>577</v>
      </c>
      <c r="G772">
        <v>0</v>
      </c>
    </row>
    <row r="773" spans="1:8" x14ac:dyDescent="0.25">
      <c r="A773" t="s">
        <v>1168</v>
      </c>
      <c r="B773" t="s">
        <v>604</v>
      </c>
      <c r="C773" t="s">
        <v>13</v>
      </c>
      <c r="D773" s="1">
        <v>44127</v>
      </c>
      <c r="E773">
        <v>66983</v>
      </c>
      <c r="F773">
        <v>502</v>
      </c>
      <c r="G773">
        <v>0</v>
      </c>
      <c r="H773" t="s">
        <v>18</v>
      </c>
    </row>
    <row r="774" spans="1:8" x14ac:dyDescent="0.25">
      <c r="A774" t="s">
        <v>1169</v>
      </c>
      <c r="B774" t="s">
        <v>84</v>
      </c>
      <c r="C774" t="s">
        <v>32</v>
      </c>
      <c r="D774" s="1">
        <v>42631</v>
      </c>
      <c r="E774">
        <v>150655</v>
      </c>
      <c r="F774">
        <v>365</v>
      </c>
      <c r="G774">
        <v>0</v>
      </c>
      <c r="H774" t="s">
        <v>39</v>
      </c>
    </row>
    <row r="775" spans="1:8" x14ac:dyDescent="0.25">
      <c r="A775" t="s">
        <v>1170</v>
      </c>
      <c r="B775" t="s">
        <v>297</v>
      </c>
      <c r="C775" t="s">
        <v>13</v>
      </c>
      <c r="D775" s="1">
        <v>42794</v>
      </c>
      <c r="E775">
        <v>153837</v>
      </c>
      <c r="F775">
        <v>407</v>
      </c>
      <c r="G775">
        <v>0</v>
      </c>
    </row>
    <row r="776" spans="1:8" x14ac:dyDescent="0.25">
      <c r="A776" t="s">
        <v>1171</v>
      </c>
      <c r="B776" t="s">
        <v>1172</v>
      </c>
      <c r="C776" t="s">
        <v>10</v>
      </c>
      <c r="D776" s="1">
        <v>44686</v>
      </c>
      <c r="E776">
        <v>190359</v>
      </c>
      <c r="F776">
        <v>567</v>
      </c>
      <c r="G776">
        <v>0</v>
      </c>
    </row>
    <row r="777" spans="1:8" x14ac:dyDescent="0.25">
      <c r="A777" t="s">
        <v>1173</v>
      </c>
      <c r="B777" t="s">
        <v>333</v>
      </c>
      <c r="C777" t="s">
        <v>13</v>
      </c>
      <c r="D777" s="1">
        <v>42864</v>
      </c>
      <c r="E777">
        <v>417122</v>
      </c>
      <c r="F777">
        <v>521</v>
      </c>
      <c r="G777">
        <v>0</v>
      </c>
    </row>
    <row r="778" spans="1:8" x14ac:dyDescent="0.25">
      <c r="A778" t="s">
        <v>1174</v>
      </c>
      <c r="B778" t="s">
        <v>549</v>
      </c>
      <c r="C778" t="s">
        <v>10</v>
      </c>
      <c r="D778" s="1">
        <v>42605</v>
      </c>
      <c r="E778">
        <v>382891</v>
      </c>
      <c r="F778">
        <v>829</v>
      </c>
      <c r="G778">
        <v>0</v>
      </c>
      <c r="H778" t="s">
        <v>18</v>
      </c>
    </row>
    <row r="779" spans="1:8" x14ac:dyDescent="0.25">
      <c r="A779" t="s">
        <v>1175</v>
      </c>
      <c r="B779" t="s">
        <v>844</v>
      </c>
      <c r="C779" t="s">
        <v>10</v>
      </c>
      <c r="D779" s="1">
        <v>45382</v>
      </c>
      <c r="E779">
        <v>347247</v>
      </c>
      <c r="F779">
        <v>389</v>
      </c>
      <c r="G779">
        <v>0</v>
      </c>
      <c r="H779" t="s">
        <v>39</v>
      </c>
    </row>
    <row r="780" spans="1:8" x14ac:dyDescent="0.25">
      <c r="A780" t="s">
        <v>1176</v>
      </c>
      <c r="B780" t="s">
        <v>1177</v>
      </c>
      <c r="C780" t="s">
        <v>13</v>
      </c>
      <c r="D780" s="1">
        <v>45712</v>
      </c>
      <c r="E780">
        <v>210747</v>
      </c>
      <c r="F780">
        <v>554</v>
      </c>
      <c r="G780">
        <v>0</v>
      </c>
    </row>
    <row r="781" spans="1:8" x14ac:dyDescent="0.25">
      <c r="A781" t="s">
        <v>1178</v>
      </c>
      <c r="B781" t="s">
        <v>636</v>
      </c>
      <c r="C781" t="s">
        <v>13</v>
      </c>
      <c r="D781" s="1">
        <v>45714</v>
      </c>
      <c r="E781">
        <v>177597</v>
      </c>
      <c r="F781">
        <v>754</v>
      </c>
      <c r="G781">
        <v>0</v>
      </c>
    </row>
    <row r="782" spans="1:8" x14ac:dyDescent="0.25">
      <c r="A782" t="s">
        <v>1179</v>
      </c>
      <c r="B782" t="s">
        <v>437</v>
      </c>
      <c r="C782" t="s">
        <v>25</v>
      </c>
      <c r="D782" s="1">
        <v>44038</v>
      </c>
      <c r="E782">
        <v>169302</v>
      </c>
      <c r="F782">
        <v>552</v>
      </c>
      <c r="G782">
        <v>0</v>
      </c>
    </row>
    <row r="783" spans="1:8" x14ac:dyDescent="0.25">
      <c r="A783" t="s">
        <v>1180</v>
      </c>
      <c r="B783" t="s">
        <v>221</v>
      </c>
      <c r="C783" t="s">
        <v>13</v>
      </c>
      <c r="D783" s="1">
        <v>43288</v>
      </c>
      <c r="E783">
        <v>412736</v>
      </c>
      <c r="F783">
        <v>556</v>
      </c>
      <c r="G783">
        <v>0</v>
      </c>
    </row>
    <row r="784" spans="1:8" x14ac:dyDescent="0.25">
      <c r="A784" t="s">
        <v>1181</v>
      </c>
      <c r="B784" t="s">
        <v>57</v>
      </c>
      <c r="C784" t="s">
        <v>10</v>
      </c>
      <c r="D784" s="1">
        <v>43136</v>
      </c>
      <c r="E784">
        <v>478454</v>
      </c>
      <c r="F784">
        <v>682</v>
      </c>
      <c r="G784">
        <v>0</v>
      </c>
    </row>
    <row r="785" spans="1:8" x14ac:dyDescent="0.25">
      <c r="A785" t="s">
        <v>1182</v>
      </c>
      <c r="B785" t="s">
        <v>820</v>
      </c>
      <c r="C785" t="s">
        <v>13</v>
      </c>
      <c r="D785" s="1">
        <v>42778</v>
      </c>
      <c r="E785">
        <v>445150</v>
      </c>
      <c r="F785">
        <v>741</v>
      </c>
      <c r="G785">
        <v>0</v>
      </c>
      <c r="H785" t="s">
        <v>18</v>
      </c>
    </row>
    <row r="786" spans="1:8" x14ac:dyDescent="0.25">
      <c r="A786" t="s">
        <v>1183</v>
      </c>
      <c r="B786" t="s">
        <v>983</v>
      </c>
      <c r="C786" t="s">
        <v>25</v>
      </c>
      <c r="D786" s="1">
        <v>45608</v>
      </c>
      <c r="E786">
        <v>287710</v>
      </c>
      <c r="F786">
        <v>389</v>
      </c>
      <c r="G786">
        <v>0</v>
      </c>
      <c r="H786" t="s">
        <v>39</v>
      </c>
    </row>
    <row r="787" spans="1:8" x14ac:dyDescent="0.25">
      <c r="A787" t="s">
        <v>1184</v>
      </c>
      <c r="B787" t="s">
        <v>1185</v>
      </c>
      <c r="C787" t="s">
        <v>13</v>
      </c>
      <c r="D787" s="1">
        <v>43793</v>
      </c>
      <c r="E787">
        <v>335337</v>
      </c>
      <c r="F787">
        <v>689</v>
      </c>
      <c r="G787">
        <v>0</v>
      </c>
    </row>
    <row r="788" spans="1:8" x14ac:dyDescent="0.25">
      <c r="A788" t="s">
        <v>1186</v>
      </c>
      <c r="B788" t="s">
        <v>449</v>
      </c>
      <c r="C788" t="s">
        <v>10</v>
      </c>
      <c r="D788" s="1">
        <v>43938</v>
      </c>
      <c r="E788">
        <v>496440</v>
      </c>
      <c r="F788">
        <v>343</v>
      </c>
      <c r="G788">
        <v>0</v>
      </c>
    </row>
    <row r="789" spans="1:8" x14ac:dyDescent="0.25">
      <c r="A789" t="s">
        <v>1187</v>
      </c>
      <c r="B789" t="s">
        <v>311</v>
      </c>
      <c r="C789" t="s">
        <v>13</v>
      </c>
      <c r="D789" s="1">
        <v>45822</v>
      </c>
      <c r="E789">
        <v>423350</v>
      </c>
      <c r="F789">
        <v>318</v>
      </c>
      <c r="G789">
        <v>0</v>
      </c>
    </row>
    <row r="790" spans="1:8" x14ac:dyDescent="0.25">
      <c r="A790" t="s">
        <v>1188</v>
      </c>
      <c r="B790" t="s">
        <v>727</v>
      </c>
      <c r="C790" t="s">
        <v>32</v>
      </c>
      <c r="D790" s="1">
        <v>44910</v>
      </c>
      <c r="E790">
        <v>403561</v>
      </c>
      <c r="F790">
        <v>400</v>
      </c>
      <c r="G790">
        <v>0</v>
      </c>
    </row>
    <row r="791" spans="1:8" x14ac:dyDescent="0.25">
      <c r="A791" t="s">
        <v>1189</v>
      </c>
      <c r="B791" t="s">
        <v>388</v>
      </c>
      <c r="C791" t="s">
        <v>13</v>
      </c>
      <c r="D791" s="1">
        <v>44863</v>
      </c>
      <c r="E791">
        <v>252084</v>
      </c>
      <c r="F791">
        <v>656</v>
      </c>
      <c r="G791">
        <v>497442</v>
      </c>
    </row>
    <row r="792" spans="1:8" x14ac:dyDescent="0.25">
      <c r="A792" t="s">
        <v>1190</v>
      </c>
      <c r="B792" t="s">
        <v>1191</v>
      </c>
      <c r="C792" t="s">
        <v>25</v>
      </c>
      <c r="D792" s="1">
        <v>45855</v>
      </c>
      <c r="E792">
        <v>121015</v>
      </c>
      <c r="F792">
        <v>841</v>
      </c>
      <c r="G792">
        <v>62241</v>
      </c>
    </row>
    <row r="793" spans="1:8" x14ac:dyDescent="0.25">
      <c r="A793" t="s">
        <v>1192</v>
      </c>
      <c r="B793" t="s">
        <v>499</v>
      </c>
      <c r="C793" t="s">
        <v>10</v>
      </c>
      <c r="D793" s="1">
        <v>44454</v>
      </c>
      <c r="E793">
        <v>172257</v>
      </c>
      <c r="F793">
        <v>332</v>
      </c>
      <c r="G793">
        <v>0</v>
      </c>
    </row>
    <row r="794" spans="1:8" x14ac:dyDescent="0.25">
      <c r="A794" t="s">
        <v>1193</v>
      </c>
      <c r="B794" t="s">
        <v>1194</v>
      </c>
      <c r="C794" t="s">
        <v>13</v>
      </c>
      <c r="D794" s="1">
        <v>43104</v>
      </c>
      <c r="E794">
        <v>246536</v>
      </c>
      <c r="F794">
        <v>528</v>
      </c>
      <c r="G794">
        <v>70030</v>
      </c>
      <c r="H794" t="s">
        <v>18</v>
      </c>
    </row>
    <row r="795" spans="1:8" x14ac:dyDescent="0.25">
      <c r="A795" t="s">
        <v>1195</v>
      </c>
      <c r="B795" t="s">
        <v>1196</v>
      </c>
      <c r="C795" t="s">
        <v>25</v>
      </c>
      <c r="D795" s="1">
        <v>44145</v>
      </c>
      <c r="E795">
        <v>224021</v>
      </c>
      <c r="F795">
        <v>823</v>
      </c>
      <c r="G795">
        <v>182577</v>
      </c>
    </row>
    <row r="796" spans="1:8" x14ac:dyDescent="0.25">
      <c r="A796" t="s">
        <v>1197</v>
      </c>
      <c r="B796" t="s">
        <v>1198</v>
      </c>
      <c r="C796" t="s">
        <v>13</v>
      </c>
      <c r="D796" s="1">
        <v>42496</v>
      </c>
      <c r="E796">
        <v>130956</v>
      </c>
      <c r="F796">
        <v>454</v>
      </c>
      <c r="G796">
        <v>0</v>
      </c>
    </row>
    <row r="797" spans="1:8" x14ac:dyDescent="0.25">
      <c r="A797" t="s">
        <v>1199</v>
      </c>
      <c r="B797" t="s">
        <v>688</v>
      </c>
      <c r="C797" t="s">
        <v>25</v>
      </c>
      <c r="D797" s="1">
        <v>42743</v>
      </c>
      <c r="E797">
        <v>70744</v>
      </c>
      <c r="F797">
        <v>722</v>
      </c>
      <c r="G797">
        <v>483394</v>
      </c>
    </row>
    <row r="798" spans="1:8" x14ac:dyDescent="0.25">
      <c r="A798" t="s">
        <v>1200</v>
      </c>
      <c r="B798" t="s">
        <v>535</v>
      </c>
      <c r="C798" t="s">
        <v>32</v>
      </c>
      <c r="D798" s="1">
        <v>45498</v>
      </c>
      <c r="E798">
        <v>295599</v>
      </c>
      <c r="F798">
        <v>545</v>
      </c>
      <c r="G798">
        <v>212397</v>
      </c>
    </row>
    <row r="799" spans="1:8" x14ac:dyDescent="0.25">
      <c r="A799" t="s">
        <v>1201</v>
      </c>
      <c r="B799" t="s">
        <v>1202</v>
      </c>
      <c r="C799" t="s">
        <v>25</v>
      </c>
      <c r="D799" s="1">
        <v>45174</v>
      </c>
      <c r="E799">
        <v>421234</v>
      </c>
      <c r="F799">
        <v>704</v>
      </c>
      <c r="G799">
        <v>0</v>
      </c>
      <c r="H799" t="s">
        <v>18</v>
      </c>
    </row>
    <row r="800" spans="1:8" x14ac:dyDescent="0.25">
      <c r="A800" t="s">
        <v>1203</v>
      </c>
      <c r="B800" t="s">
        <v>130</v>
      </c>
      <c r="C800" t="s">
        <v>13</v>
      </c>
      <c r="D800" s="1">
        <v>44735</v>
      </c>
      <c r="E800">
        <v>316363</v>
      </c>
      <c r="F800">
        <v>840</v>
      </c>
      <c r="G800">
        <v>0</v>
      </c>
    </row>
    <row r="801" spans="1:8" x14ac:dyDescent="0.25">
      <c r="A801" t="s">
        <v>1204</v>
      </c>
      <c r="B801" t="s">
        <v>1205</v>
      </c>
      <c r="C801" t="s">
        <v>25</v>
      </c>
      <c r="D801" s="1">
        <v>43330</v>
      </c>
      <c r="E801">
        <v>308135</v>
      </c>
      <c r="F801">
        <v>460</v>
      </c>
      <c r="G801">
        <v>0</v>
      </c>
      <c r="H801" t="s">
        <v>39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5DB82C-F9E3-4B1D-9946-83C6E903BB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vt:lpstr>
      <vt:lpstr>Customers Account</vt:lpstr>
      <vt:lpstr>Dashboard</vt:lpstr>
      <vt:lpstr>Pivot Table</vt:lpstr>
      <vt:lpstr>Accounts</vt:lpstr>
      <vt:lpstr>MetroBankAccounts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2026-08-10T11:05:11Z</dcterms:created>
  <dcterms:modified xsi:type="dcterms:W3CDTF">2026-08-19T11:25:31Z</dcterms:modified>
</cp:coreProperties>
</file>